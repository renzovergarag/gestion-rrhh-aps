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_HOJAS" sheetId="1" r:id="rId5"/>
    <sheet state="visible" name="BD_REF_GESTION" sheetId="2" r:id="rId6"/>
    <sheet state="visible" name="BD_REF_REUNIONES" sheetId="3" r:id="rId7"/>
    <sheet state="visible" name="BD_REF_DERECHOS" sheetId="4" r:id="rId8"/>
    <sheet state="visible" name="TIPO" sheetId="5" r:id="rId9"/>
    <sheet state="visible" name="AMBITO" sheetId="6" r:id="rId10"/>
    <sheet state="visible" name="REF_CARGO" sheetId="7" r:id="rId11"/>
    <sheet state="visible" name="RefIncl" sheetId="8" r:id="rId12"/>
    <sheet state="visible" name="REF" sheetId="9" r:id="rId13"/>
    <sheet state="visible" name="Copia de VALORES REF TIEMPO" sheetId="10" r:id="rId14"/>
    <sheet state="visible" name="BD" sheetId="11" r:id="rId15"/>
  </sheets>
  <definedNames>
    <definedName localSheetId="9" name="DURACION">'Copia de VALORES REF TIEMPO'!$G$5:$G$13</definedName>
    <definedName hidden="1" localSheetId="0" name="_xlnm._FilterDatabase">INDICE_HOJAS!$B$1:$D$28</definedName>
    <definedName hidden="1" localSheetId="1" name="_xlnm._FilterDatabase">BD_REF_GESTION!$A$1:$I$96</definedName>
    <definedName hidden="1" localSheetId="3" name="_xlnm._FilterDatabase">BD_REF_DERECHOS!$B$1:$E$41</definedName>
    <definedName hidden="1" localSheetId="8" name="_xlnm._FilterDatabase">REF!$M$1:$N$59</definedName>
  </definedNames>
  <calcPr/>
</workbook>
</file>

<file path=xl/sharedStrings.xml><?xml version="1.0" encoding="utf-8"?>
<sst xmlns="http://schemas.openxmlformats.org/spreadsheetml/2006/main" count="4036" uniqueCount="1517">
  <si>
    <t>HOJAS</t>
  </si>
  <si>
    <t>BD_REF_GESTION</t>
  </si>
  <si>
    <t>BD_REF_REUNIONES</t>
  </si>
  <si>
    <t>BD_REF_DERECHOS</t>
  </si>
  <si>
    <t>TIPO</t>
  </si>
  <si>
    <t>AMBITO</t>
  </si>
  <si>
    <t>REF_CARGO</t>
  </si>
  <si>
    <t>RefIncl</t>
  </si>
  <si>
    <t>REF</t>
  </si>
  <si>
    <t>Copia de VALORES REF TIEMPO</t>
  </si>
  <si>
    <t>ID</t>
  </si>
  <si>
    <t>ACTIVIDAD</t>
  </si>
  <si>
    <t>TIEMPO_SEMANA</t>
  </si>
  <si>
    <t>CRITERIOS (rangos)</t>
  </si>
  <si>
    <t>APLICA?</t>
  </si>
  <si>
    <t>GES_001</t>
  </si>
  <si>
    <t>GESTION</t>
  </si>
  <si>
    <t>COMUNIDAD</t>
  </si>
  <si>
    <t>ENCARGAD@ COMSE</t>
  </si>
  <si>
    <t>SI</t>
  </si>
  <si>
    <t>GES_002</t>
  </si>
  <si>
    <t>ENCARGAD@ COMSE (2 HRS)</t>
  </si>
  <si>
    <t>GES_003</t>
  </si>
  <si>
    <t>ENCARGAD@ GESTOR COMUNITARIO (22 HORAS)</t>
  </si>
  <si>
    <t>GES_004</t>
  </si>
  <si>
    <t>ENCARGAD@ GESTOR COMUNITARIO (33 HORAS)</t>
  </si>
  <si>
    <t>GES_005</t>
  </si>
  <si>
    <t>ENCARGAD@ GESTOR COMUNITARIO (44 HORAS)</t>
  </si>
  <si>
    <t>GES_006</t>
  </si>
  <si>
    <t>ENCARGAD@ PARTICIPACION SOCIAL (2 HORAS)</t>
  </si>
  <si>
    <t>GES_007</t>
  </si>
  <si>
    <t>ENCARGAD@ PARTICIPACION Y PROMOCION  (22 HORAS)</t>
  </si>
  <si>
    <t>22 a 44</t>
  </si>
  <si>
    <t>GES_008</t>
  </si>
  <si>
    <t>ENCARGAD@ PARTICIPACION Y PROMOCION  (44 HORAS)</t>
  </si>
  <si>
    <t>GES_009</t>
  </si>
  <si>
    <t>ENCARGAD@ PROMOCION (1 HR)</t>
  </si>
  <si>
    <t>GES_010</t>
  </si>
  <si>
    <t>PROFESIONAL APOYO EQUIPO PARTICIPACION Y PROMOCION (45 MIN)</t>
  </si>
  <si>
    <t>GES_011</t>
  </si>
  <si>
    <t>PROFESIONAL APOYO EQUIPO PARTICIPACION Y PROMOCION (DENTAL)</t>
  </si>
  <si>
    <t>GES_012</t>
  </si>
  <si>
    <t>PROFESIONAL APOYO EQUIPO PARTICIPACION Y PROMOCION (ENFERMERA)</t>
  </si>
  <si>
    <t>GES_013</t>
  </si>
  <si>
    <t>PROFESIONAL APOYO EQUIPO PARTICIPACION Y PROMOCION (KINE)</t>
  </si>
  <si>
    <t>GES_014</t>
  </si>
  <si>
    <t>PROFESIONAL APOYO EQUIPO PARTICIPACION Y PROMOCION (MATRONA)</t>
  </si>
  <si>
    <t>GES_015</t>
  </si>
  <si>
    <t>PROFESIONAL APOYO EQUIPO PARTICIPACION Y PROMOCION (NUTRICION)</t>
  </si>
  <si>
    <t>GES_016</t>
  </si>
  <si>
    <t>PROFESIONAL APOYO EQUIPO PARTICIPACION Y PROMOCION (PSICOLOGIA)</t>
  </si>
  <si>
    <t>GES_017</t>
  </si>
  <si>
    <t>PROFESIONAL APOYO EQUIPO PARTICIPACION Y PROMOCION (QF)</t>
  </si>
  <si>
    <t>GES_018</t>
  </si>
  <si>
    <t xml:space="preserve">PROFESIONAL APOYO EQUIPO PARTICIPACION Y PROMOCION (TO) </t>
  </si>
  <si>
    <t>GES_019</t>
  </si>
  <si>
    <t>PROFESIONAL APOYO EQUIPO PARTICIPACION Y PROMOCION (TRAB SOCIAL)</t>
  </si>
  <si>
    <t>GES_020</t>
  </si>
  <si>
    <t>DERECHOS Y DEBERES</t>
  </si>
  <si>
    <t>ENCARGAD@ MIGRANTES (1 HR)</t>
  </si>
  <si>
    <t>GES_021</t>
  </si>
  <si>
    <t>ENCARGAD@ MIGRANTES (10 HRS)</t>
  </si>
  <si>
    <t>GES_022</t>
  </si>
  <si>
    <t>ENCARGAD@ MIGRANTES (2 HRS)</t>
  </si>
  <si>
    <t>GES_023</t>
  </si>
  <si>
    <t>ENCARGAD@ MIGRANTES (3 HRS)</t>
  </si>
  <si>
    <t>GES_024</t>
  </si>
  <si>
    <t>ENCARGAD@ OIRS (11 HORAS)</t>
  </si>
  <si>
    <t>GES_025</t>
  </si>
  <si>
    <t>ENCARGAD@ OIRS (22 HORAS)</t>
  </si>
  <si>
    <t>GES_026</t>
  </si>
  <si>
    <t>ENCARGAD@ OIRS (5 HORAS)</t>
  </si>
  <si>
    <t>GES_027</t>
  </si>
  <si>
    <t>ENCARGAD@ OIRS (8 HORAS)</t>
  </si>
  <si>
    <t>GES_028</t>
  </si>
  <si>
    <t>ENCARGAD@ PRAIS (1 HR)</t>
  </si>
  <si>
    <t>GES_029</t>
  </si>
  <si>
    <t>ENCARGAD@ PRAIS (2 HRS)</t>
  </si>
  <si>
    <t>GES_030</t>
  </si>
  <si>
    <t>ENCARGAD@ PRAIS (3 HRS)</t>
  </si>
  <si>
    <t>GES_031</t>
  </si>
  <si>
    <t>ENCARGAD@ PUEBLOS ORIGINARIOS (1 HRS)</t>
  </si>
  <si>
    <t>GES_032</t>
  </si>
  <si>
    <t>ENCARGAD@ PUEBLOS ORIGINARIOS (2 HRS)</t>
  </si>
  <si>
    <t>GES_033</t>
  </si>
  <si>
    <t>ENCARGAD@ PUEBLOS ORIGINARIOS (8 HRS)</t>
  </si>
  <si>
    <t>GES_034</t>
  </si>
  <si>
    <t>FUNCIONARIO</t>
  </si>
  <si>
    <t xml:space="preserve"> MIEMBRO SALUDABLEMENTE - CUIDADOS MUTUOS (45 MIN)</t>
  </si>
  <si>
    <t>GES_035</t>
  </si>
  <si>
    <t>ENCARGAD@ CAPACITACION (a) (1 HR)</t>
  </si>
  <si>
    <t>GES_036</t>
  </si>
  <si>
    <t>ENCARGAD@ CAPACITACION (a) (2 HRS)</t>
  </si>
  <si>
    <t>GES_037</t>
  </si>
  <si>
    <t>ENCARGAD@ CAPACITACION (a) (3 HRS)</t>
  </si>
  <si>
    <t>GES_038</t>
  </si>
  <si>
    <t>ENCARGAD@ CAPACITACION (a) (4 HRS)</t>
  </si>
  <si>
    <t>GES_039</t>
  </si>
  <si>
    <t>ENCARGAD@ CAPACITACION (a) (8 HRS)</t>
  </si>
  <si>
    <t>GES_040</t>
  </si>
  <si>
    <t>ENCARGAD@ SALUDABLEMENTE - CUIDADOS MUTUOS</t>
  </si>
  <si>
    <t>11 a 44</t>
  </si>
  <si>
    <t>GES_041</t>
  </si>
  <si>
    <t>GES_042</t>
  </si>
  <si>
    <t>INTEGRANTE CPHS (1 HR)</t>
  </si>
  <si>
    <t>GES_043</t>
  </si>
  <si>
    <t>INTEGRANTE CPHS (30 MIN)</t>
  </si>
  <si>
    <t>GES_044</t>
  </si>
  <si>
    <t>GESTION CLINICA</t>
  </si>
  <si>
    <t>CONSOLIDADO CENSO (2 HORAS)</t>
  </si>
  <si>
    <t>GES_045</t>
  </si>
  <si>
    <t>CONTRALOR MEDICO (11 HORAS)</t>
  </si>
  <si>
    <t>GES_046</t>
  </si>
  <si>
    <t>CONTRALOR MEDICO (4 HORAS)</t>
  </si>
  <si>
    <t>GES_047</t>
  </si>
  <si>
    <t>CONTRALOR MEDICO (5 HORAS)</t>
  </si>
  <si>
    <t>5 a 10</t>
  </si>
  <si>
    <t>GES_048</t>
  </si>
  <si>
    <t>CONTRALOR MEDICO (8 HORAS)</t>
  </si>
  <si>
    <t>GES_049</t>
  </si>
  <si>
    <t>CONTRALOR ODONTOLOGICO (2 HORAS)</t>
  </si>
  <si>
    <t>GES_050</t>
  </si>
  <si>
    <t>GES_051</t>
  </si>
  <si>
    <t>ENCARGAD@ CLIMATERIO</t>
  </si>
  <si>
    <t>GES_052</t>
  </si>
  <si>
    <t>ENCARGAD@ COORDINACION MEDICA (MEDICAM CONTROLADOS)</t>
  </si>
  <si>
    <t>GES_053</t>
  </si>
  <si>
    <t>ENCARGAD@ GESTION DEMANDA + LISTA ESPERA</t>
  </si>
  <si>
    <t>GES_054</t>
  </si>
  <si>
    <t>ENCARGAD@ HOSPITAL DIGITAL (2 HRS)</t>
  </si>
  <si>
    <t>GES_055</t>
  </si>
  <si>
    <t>ENCARGAD@ HOSPITAL DIGITAL (3 HRS)</t>
  </si>
  <si>
    <t>GES_056</t>
  </si>
  <si>
    <t>ENCARGAD@ HOSPITAL DIGITAL (44 HRS)</t>
  </si>
  <si>
    <t>GES_057</t>
  </si>
  <si>
    <t>ENCARGAD@ MONITOR GES (11 HORAS)</t>
  </si>
  <si>
    <t>GES_058</t>
  </si>
  <si>
    <t>ENCARGAD@ MONITOR GES (22 HORAS)</t>
  </si>
  <si>
    <t>GES_059</t>
  </si>
  <si>
    <t>ENCARGAD@ MONITOR GES (5 HORAS)</t>
  </si>
  <si>
    <t>5 a 11</t>
  </si>
  <si>
    <t>GES_060</t>
  </si>
  <si>
    <t>ENCARGAD@ PROGRAMA CALIDAD (16 HORAS)</t>
  </si>
  <si>
    <t>GES_061</t>
  </si>
  <si>
    <t>ENCARGAD@ PROGRAMA CALIDAD (21 HORAS)</t>
  </si>
  <si>
    <t>GES_062</t>
  </si>
  <si>
    <t>ENCARGAD@ PROGRAMA CALIDAD (22 HORAS)</t>
  </si>
  <si>
    <t>GES_063</t>
  </si>
  <si>
    <t>ENCARGAD@ PROGRAMA CALIDAD (33 HORAS)</t>
  </si>
  <si>
    <t>GES_064</t>
  </si>
  <si>
    <t>ENCARGAD@ PROGRAMA CALIDAD (36 HORAS)</t>
  </si>
  <si>
    <t>GES_065</t>
  </si>
  <si>
    <t>ENCARGAD@ PROGRAMA CALIDAD (44 HORAS)</t>
  </si>
  <si>
    <t>GES_066</t>
  </si>
  <si>
    <t>GES 6 AÑOS (1 HR)</t>
  </si>
  <si>
    <t>GES_067</t>
  </si>
  <si>
    <t>GESTION DE REGISTROS (1 dia)</t>
  </si>
  <si>
    <t>GES_068</t>
  </si>
  <si>
    <t>GESTION DE REGISTROS (15 MIN)</t>
  </si>
  <si>
    <t>GES_069</t>
  </si>
  <si>
    <t>GESTION DE REGISTROS (2 dias)</t>
  </si>
  <si>
    <t>GES_070</t>
  </si>
  <si>
    <t>GESTION DE REGISTROS (3 dias)</t>
  </si>
  <si>
    <t>GES_071</t>
  </si>
  <si>
    <t>GESTION DE REGISTROS (4 dias)</t>
  </si>
  <si>
    <t>GES_072</t>
  </si>
  <si>
    <t>GESTION DE REGISTROS (5 dias)</t>
  </si>
  <si>
    <t>GES_073</t>
  </si>
  <si>
    <t>GESTION EMBARAZADAS (2 HORAS)</t>
  </si>
  <si>
    <t>GES_074</t>
  </si>
  <si>
    <t>GESTION URGENCIAS (1 HR)</t>
  </si>
  <si>
    <t>GES_075</t>
  </si>
  <si>
    <t xml:space="preserve">INTEGRANTE COMITE CALIDAD </t>
  </si>
  <si>
    <t>GES_076</t>
  </si>
  <si>
    <t>INTEGRANTE COMITE CALIDAD (3 HRS)</t>
  </si>
  <si>
    <t>GES_077</t>
  </si>
  <si>
    <t>INTEGRANTE COMITE CALIDAD (5 HRS)</t>
  </si>
  <si>
    <t>GES_078</t>
  </si>
  <si>
    <t>MONITOREO DE AGENDAS Y METAS</t>
  </si>
  <si>
    <t>GES_079</t>
  </si>
  <si>
    <t>MONITOREO DE AGENDAS Y METAS (10 HRS)</t>
  </si>
  <si>
    <t>GES_080</t>
  </si>
  <si>
    <t>MONITOREO DE AGENDAS Y METAS (5 HRS)</t>
  </si>
  <si>
    <t>GES_081</t>
  </si>
  <si>
    <t>OPI (2 HRS)</t>
  </si>
  <si>
    <t>GES_082</t>
  </si>
  <si>
    <t>ORTODONCIA Y ORTOPEDIA (5 HRS)</t>
  </si>
  <si>
    <t>GES_083</t>
  </si>
  <si>
    <t>PRAPS DENTAL (1 HR)</t>
  </si>
  <si>
    <t>GES_084</t>
  </si>
  <si>
    <t>REFERENTE MEDICO ECICEP (2 HORAS)</t>
  </si>
  <si>
    <t>GES_085</t>
  </si>
  <si>
    <t>REVISION EXAMENES (2 HRS)</t>
  </si>
  <si>
    <t>GES_086</t>
  </si>
  <si>
    <t>SELECTOR DE LA DEMANDA MORBILIDAD MEDICA</t>
  </si>
  <si>
    <t>GES_087</t>
  </si>
  <si>
    <t>SELECTOR DE LA DEMANDA MORBILIDAD ODONTOLOGICA</t>
  </si>
  <si>
    <t>GES_088</t>
  </si>
  <si>
    <t>SELECTOR DE LA DEMANDA MORBILIDAD ODONTOLOGICA (10 HRS)</t>
  </si>
  <si>
    <t>GES_089</t>
  </si>
  <si>
    <t>TRIAGISTA TELESALUD (18HR)</t>
  </si>
  <si>
    <t>GES_090</t>
  </si>
  <si>
    <t>TRIAGISTA TELESALUD (22 HR)</t>
  </si>
  <si>
    <t>GES_091</t>
  </si>
  <si>
    <t>TRIAGISTA TELESALUD (4 HR)</t>
  </si>
  <si>
    <t>GES_092</t>
  </si>
  <si>
    <t>TRIAGISTA TELESALUD (6 HR)</t>
  </si>
  <si>
    <t>GES_093</t>
  </si>
  <si>
    <t>MAISFC</t>
  </si>
  <si>
    <t>DIRECTOR TECNICO (44 HRS)</t>
  </si>
  <si>
    <t>2 a 8 horas según PIV y desarrollo Modelo MAISFC ECICEP</t>
  </si>
  <si>
    <t>GES_094</t>
  </si>
  <si>
    <t>ENCARGAD@ ECICEP (11 HRS)</t>
  </si>
  <si>
    <t>GES_095</t>
  </si>
  <si>
    <t>ENCARGAD@ ECICEP (2 HRS)</t>
  </si>
  <si>
    <t>GES_096</t>
  </si>
  <si>
    <t>ENCARGAD@ ECICEP (22 HRS)</t>
  </si>
  <si>
    <t>GES_097</t>
  </si>
  <si>
    <t>ENCARGAD@ ECICEP (8 HRS)</t>
  </si>
  <si>
    <t>GES_098</t>
  </si>
  <si>
    <t>ENCARGAD@ EQUIDAD RURAL</t>
  </si>
  <si>
    <t>GES_099</t>
  </si>
  <si>
    <t>ENCARGAD@ SALUD FAMILIAR</t>
  </si>
  <si>
    <t>GES_100</t>
  </si>
  <si>
    <t>GESTION DE CASOS ( 3 HRS)</t>
  </si>
  <si>
    <t>GES_101</t>
  </si>
  <si>
    <t>GESTION DE CASOS (0,5)</t>
  </si>
  <si>
    <t>GES_102</t>
  </si>
  <si>
    <t>GESTION DE CASOS (4 hrs/semana)</t>
  </si>
  <si>
    <t>GES_103</t>
  </si>
  <si>
    <t>GESTION DE CASOS (6 hrs/semana)</t>
  </si>
  <si>
    <t>GES_104</t>
  </si>
  <si>
    <t>GESTION DE CASOS (8 hrs/semana)</t>
  </si>
  <si>
    <t>GES_105</t>
  </si>
  <si>
    <t>JEFE SECTOR (11 HORAS)</t>
  </si>
  <si>
    <t>GES_106</t>
  </si>
  <si>
    <t>JEFE SECTOR (2 HORAS)</t>
  </si>
  <si>
    <t>GES_107</t>
  </si>
  <si>
    <t>JEFE SECTOR (22HORAS)</t>
  </si>
  <si>
    <t>GES_108</t>
  </si>
  <si>
    <t>JEFE SECTOR (44 HORAS)</t>
  </si>
  <si>
    <t>GES_109</t>
  </si>
  <si>
    <t>JEFE SECTOR (5 HORAS)</t>
  </si>
  <si>
    <t>GES_110</t>
  </si>
  <si>
    <t>JEFE SECTOR (7 HORAS)</t>
  </si>
  <si>
    <t>GES_111</t>
  </si>
  <si>
    <t>PROGRAMA - CICLO VITAL</t>
  </si>
  <si>
    <t>ENCARGAD@ MEJOR NIÑEZ</t>
  </si>
  <si>
    <t>GES_112</t>
  </si>
  <si>
    <t>ENCARGAD@ MEJOR NIÑEZ (2 HRS)</t>
  </si>
  <si>
    <t>GES_113</t>
  </si>
  <si>
    <t>ENCARGAD@ MEJOR NIÑEZ (3 HRS)</t>
  </si>
  <si>
    <t>GES_114</t>
  </si>
  <si>
    <t>ENCARGAD@ MEJOR NIÑEZ (5 HRS)</t>
  </si>
  <si>
    <t>GES_115</t>
  </si>
  <si>
    <t>ENCARGAD@ PROGRAMA ADULTO Y ADULTO MAYOR (PSCV)</t>
  </si>
  <si>
    <t>GES_116</t>
  </si>
  <si>
    <t>ENCARGAD@ PROGRAMA ADULTO Y ADULTO MAYOR (PSCV) (22 HRS)</t>
  </si>
  <si>
    <t>GES_117</t>
  </si>
  <si>
    <t>ENCARGAD@ PROGRAMA CHCC (2 HRS)</t>
  </si>
  <si>
    <t>GES_118</t>
  </si>
  <si>
    <t>ENCARGAD@ PROGRAMA INFANCIA - ADOLESCENCIA - CHCC</t>
  </si>
  <si>
    <t>GES_119</t>
  </si>
  <si>
    <t>ENCARGAD@ PROGRAMA INFANCIA - ADOLESCENCIA - CHCC (22HRS)</t>
  </si>
  <si>
    <t>GES_120</t>
  </si>
  <si>
    <t>ENCARGAD@ SALA ESTIMULACION</t>
  </si>
  <si>
    <t>GES_121</t>
  </si>
  <si>
    <t>ENCARGAD@ SECTORIALISTA CHCC</t>
  </si>
  <si>
    <t>GES_122</t>
  </si>
  <si>
    <t>ENCARGAD@ SECTORIALISTA SECTOR</t>
  </si>
  <si>
    <t>GES_123</t>
  </si>
  <si>
    <t>ENCARGADO COMUNAL COMITÉ ELEAM</t>
  </si>
  <si>
    <t>GES_124</t>
  </si>
  <si>
    <t>PROGRAMA - TRANSVERSAL</t>
  </si>
  <si>
    <t>ACTIVIDAD FISICA PILOTO (1 HRS)</t>
  </si>
  <si>
    <t>GES_125</t>
  </si>
  <si>
    <t>ACTIVIDADES DE MICROGESTIÓN SALUD MENTAL (10 MIN)</t>
  </si>
  <si>
    <t>GES_126</t>
  </si>
  <si>
    <t>ACTIVIDADES DE MICROGESTIÓN SALUD MENTAL (15 MIN)</t>
  </si>
  <si>
    <t>0,16 A 0,42</t>
  </si>
  <si>
    <t>GES_127</t>
  </si>
  <si>
    <t>ACTIVIDADES DE MICROGESTIÓN SALUD MENTAL (25 MIN)</t>
  </si>
  <si>
    <t>GES_128</t>
  </si>
  <si>
    <t>APOYO PSCV (2 HRS)</t>
  </si>
  <si>
    <t>GES_129</t>
  </si>
  <si>
    <t>CONTRALOR MATRONA (5 HRS)</t>
  </si>
  <si>
    <t>GES_130</t>
  </si>
  <si>
    <t>CONTRALOR SALUD ORAL (1 HR)</t>
  </si>
  <si>
    <t>GES_131</t>
  </si>
  <si>
    <t>CONTRALOR SALUD ORAL (2 HRS)</t>
  </si>
  <si>
    <t>GES_132</t>
  </si>
  <si>
    <t>CONTRALOR SALUD ORAL (3 HRS)</t>
  </si>
  <si>
    <t>GES_133</t>
  </si>
  <si>
    <t>CONTRALOR SALUD ORAL (4 HRS)</t>
  </si>
  <si>
    <t>GES_134</t>
  </si>
  <si>
    <t>CONTRALOR SALUD SEXUAL Y REPRODUCTIVA (2 HRS)</t>
  </si>
  <si>
    <t>2 a 4</t>
  </si>
  <si>
    <t>GES_135</t>
  </si>
  <si>
    <t>CONTRALOR SALUD SEXUAL Y REPRODUCTIVA (3 HRS)</t>
  </si>
  <si>
    <t>GES_136</t>
  </si>
  <si>
    <t>CONTRALOR SALUD SEXUAL Y REPRODUCTIVA (4 HRS)</t>
  </si>
  <si>
    <t>GES_137</t>
  </si>
  <si>
    <t>CONTRALOR SALUD SEXUAL Y REPRODUCTIVA (5 HRS)</t>
  </si>
  <si>
    <t>GES_138</t>
  </si>
  <si>
    <t>ENCARGAD@ ADOLESCENCIA (2 HRS)</t>
  </si>
  <si>
    <t>GES_139</t>
  </si>
  <si>
    <t>ENCARGAD@ ADOLESCENCIA (3 HRS)</t>
  </si>
  <si>
    <t>GES_140</t>
  </si>
  <si>
    <t>ENCARGAD@ ADOLESCENCIA (8 HRS)</t>
  </si>
  <si>
    <t>GES_141</t>
  </si>
  <si>
    <t>ENCARGAD@ ADOLESCENCIA (9 HRS)</t>
  </si>
  <si>
    <t>GES_142</t>
  </si>
  <si>
    <t>ENCARGAD@ COMUNAL PSM (22 HRS)</t>
  </si>
  <si>
    <t>GES_143</t>
  </si>
  <si>
    <t>ENCARGAD@ LACTANCIA MATERNA</t>
  </si>
  <si>
    <t>GES_144</t>
  </si>
  <si>
    <t>ENCARGAD@ LACTANCIA MATERNA (2 HRS)</t>
  </si>
  <si>
    <t>GES_145</t>
  </si>
  <si>
    <t>GES_146</t>
  </si>
  <si>
    <t>ENCARGAD@ PROGRAMA ADULTO Y ADULTO MAYOR (PSCV) (15 HRS)</t>
  </si>
  <si>
    <t>GES_147</t>
  </si>
  <si>
    <t>GES_148</t>
  </si>
  <si>
    <t>ENCARGAD@ PROGRAMA ADULTO Y ADULTO MAYOR (PSCV) (3 HRS)</t>
  </si>
  <si>
    <t>GES_149</t>
  </si>
  <si>
    <t>ENCARGAD@ PROGRAMA ADULTO Y ADULTO MAYOR (PSCV) (5 HRS)</t>
  </si>
  <si>
    <t>GES_150</t>
  </si>
  <si>
    <t>ENCARGAD@ PROGRAMA ADULTO Y ADULTO MAYOR (PSCV) (6 HRS)</t>
  </si>
  <si>
    <t>GES_151</t>
  </si>
  <si>
    <t>ENCARGAD@ PROGRAMA ADULTO Y ADULTO MAYOR (PSCV) (8 HRS)</t>
  </si>
  <si>
    <t>GES_152</t>
  </si>
  <si>
    <t>ENCARGAD@ PROGRAMA DEPENDENCIA SEVERA Y CPNO  (11 HORAS)</t>
  </si>
  <si>
    <t>GES_153</t>
  </si>
  <si>
    <t>ENCARGAD@ PROGRAMA DEPENDENCIA SEVERA Y CPNO  (2 HORAS)</t>
  </si>
  <si>
    <t>GES_154</t>
  </si>
  <si>
    <t>ENCARGAD@ PROGRAMA DEPENDENCIA SEVERA Y CPNO  (22 HORAS)</t>
  </si>
  <si>
    <t>GES_155</t>
  </si>
  <si>
    <t>ENCARGAD@ PROGRAMA DEPENDENCIA SEVERA Y CPNO  (3 HORAS)</t>
  </si>
  <si>
    <t>GES_156</t>
  </si>
  <si>
    <t>ENCARGAD@ PROGRAMA DEPENDENCIA SEVERA Y CPNO  (5 HORAS)</t>
  </si>
  <si>
    <t>GES_157</t>
  </si>
  <si>
    <t xml:space="preserve">ENCARGAD@ PROGRAMA INFANCIA - ADOLESCENCIA </t>
  </si>
  <si>
    <t>GES_158</t>
  </si>
  <si>
    <t>ENCARGAD@ PROGRAMA ODONTOLOGICO (11 HRS)</t>
  </si>
  <si>
    <t>8 a 11</t>
  </si>
  <si>
    <t>GES_159</t>
  </si>
  <si>
    <t>ENCARGAD@ PROGRAMA ODONTOLOGICO (22 HRS)</t>
  </si>
  <si>
    <t>GES_160</t>
  </si>
  <si>
    <t>ENCARGAD@ PROGRAMA ODONTOLOGICO (4 HRS)</t>
  </si>
  <si>
    <t>GES_161</t>
  </si>
  <si>
    <t>ENCARGAD@ PROGRAMA ODONTOLOGICO (9 HRS)</t>
  </si>
  <si>
    <t>GES_162</t>
  </si>
  <si>
    <t>ENCARGAD@ PROGRAMA REHABILITACION ( 11  HORAS)</t>
  </si>
  <si>
    <t>GES_163</t>
  </si>
  <si>
    <t>ENCARGAD@ PROGRAMA REHABILITACION ( 3 HORAS)</t>
  </si>
  <si>
    <t>GES_164</t>
  </si>
  <si>
    <t>ENCARGAD@ PROGRAMA REHABILITACION ( 6 HORAS)</t>
  </si>
  <si>
    <t>GES_165</t>
  </si>
  <si>
    <t>ENCARGAD@ PROGRAMA REHABILITACION (4 HORAS)</t>
  </si>
  <si>
    <t>GES_166</t>
  </si>
  <si>
    <t>ENCARGAD@ PROGRAMA REHABILITACION (5 HORAS)</t>
  </si>
  <si>
    <t>NO</t>
  </si>
  <si>
    <t>GES_167</t>
  </si>
  <si>
    <t>ENCARGAD@ PROGRAMA RESPIRATORIO ERA (2 HRS)</t>
  </si>
  <si>
    <t>GES_168</t>
  </si>
  <si>
    <t>ENCARGAD@ PROGRAMA RESPIRATORIO ERA (3,5 HRS)</t>
  </si>
  <si>
    <t>GES_169</t>
  </si>
  <si>
    <t>ENCARGAD@ PROGRAMA RESPIRATORIO ERA (5 HRS)</t>
  </si>
  <si>
    <t>GES_170</t>
  </si>
  <si>
    <t>GES_171</t>
  </si>
  <si>
    <t>ENCARGAD@ PROGRAMA RESPIRATORIO ERA (6 HRS)</t>
  </si>
  <si>
    <t>GES_172</t>
  </si>
  <si>
    <t>ENCARGAD@ PROGRAMA RESPIRATORIO ERA (8 HRS)</t>
  </si>
  <si>
    <t>GES_173</t>
  </si>
  <si>
    <t>ENCARGAD@ PROGRAMA RESPIRATORIO IRA (2 HRS)</t>
  </si>
  <si>
    <t>GES_174</t>
  </si>
  <si>
    <t>ENCARGAD@ PROGRAMA RESPIRATORIO IRA (5 HRS)</t>
  </si>
  <si>
    <t>GES_175</t>
  </si>
  <si>
    <t>ENCARGAD@ PROGRAMA RESPIRATORIO IRA (8 HRS)</t>
  </si>
  <si>
    <t>GES_176</t>
  </si>
  <si>
    <t>ENCARGAD@ PROGRAMA SALUD MENTAL (11 HRS)</t>
  </si>
  <si>
    <t>GES_177</t>
  </si>
  <si>
    <t>ENCARGAD@ PROGRAMA SALUD MENTAL (15 HRS)</t>
  </si>
  <si>
    <t>GES_178</t>
  </si>
  <si>
    <t>ENCARGAD@ PROGRAMA SALUD MENTAL (22 HRS)</t>
  </si>
  <si>
    <t>GES_179</t>
  </si>
  <si>
    <t>ENCARGAD@ PROGRAMA SALUD MENTAL (25 HRS)</t>
  </si>
  <si>
    <t>GES_180</t>
  </si>
  <si>
    <t>ENCARGAD@ PROGRAMA SALUD MENTAL (30 HRS)</t>
  </si>
  <si>
    <t>GES_181</t>
  </si>
  <si>
    <t>ENCARGAD@ PROGRAMA SALUD MENTAL (33 HRS)</t>
  </si>
  <si>
    <t>GES_182</t>
  </si>
  <si>
    <t>ENCARGAD@ PROGRAMA SALUD MENTAL (44 HRS)</t>
  </si>
  <si>
    <t>GES_183</t>
  </si>
  <si>
    <t>ENCARGAD@ PROGRAMA SALUD MENTAL (6 HRS)</t>
  </si>
  <si>
    <t>GES_184</t>
  </si>
  <si>
    <t>ENCARGAD@ PROGRAMA SALUD SEXUAL Y REPRODUCTIVA (11 HRS)</t>
  </si>
  <si>
    <t>GES_185</t>
  </si>
  <si>
    <t>ENCARGAD@ PROGRAMA SALUD SEXUAL Y REPRODUCTIVA (3 HRS)</t>
  </si>
  <si>
    <t>GES_186</t>
  </si>
  <si>
    <t>ENCARGAD@ PROGRAMA SALUD SEXUAL Y REPRODUCTIVA (4 HRS)</t>
  </si>
  <si>
    <t>GES_187</t>
  </si>
  <si>
    <t>ENCARGAD@ PROGRAMA SALUD SEXUAL Y REPRODUCTIVA (9 HRS)</t>
  </si>
  <si>
    <t>GES_188</t>
  </si>
  <si>
    <t>ENCARGAD@ PROGRAMA SALUD TRANSAFIRMATIVA</t>
  </si>
  <si>
    <t>GES_189</t>
  </si>
  <si>
    <t>ENCARGAD@ TRASMISIBLES (VIH)/ITS/Chagas/hepatitis B y C . Incluye Transimsión vertical (11 HRS)</t>
  </si>
  <si>
    <t>GES_190</t>
  </si>
  <si>
    <t>ENCARGAD@ TRASMISIBLES (VIH)/ITS/Chagas/hepatitis B y C . Incluye Transimsión vertical (2 HRS)</t>
  </si>
  <si>
    <t>GES_191</t>
  </si>
  <si>
    <t>ENCARGAD@ TRASMISIBLES (VIH)/ITS/Chagas/hepatitis B y C . Incluye Transimsión vertical (4 HRS)</t>
  </si>
  <si>
    <t>GES_192</t>
  </si>
  <si>
    <t>ENCARGAD@ TRASMISIBLES (VIH)/ITS/Chagas/hepatitis B y C . Incluye Transimsión vertical (6 HRS)</t>
  </si>
  <si>
    <t>GES_193</t>
  </si>
  <si>
    <t>ENCARGAD@ TRASMISIBLES (VIH)/ITS/Chagas/hepatitis B y C . Incluye Transimsión vertical (8 HRS)</t>
  </si>
  <si>
    <t>6 a 11</t>
  </si>
  <si>
    <t>GES_194</t>
  </si>
  <si>
    <t>ENCARGAD@ UAPO (10 HRS)</t>
  </si>
  <si>
    <t>GES_195</t>
  </si>
  <si>
    <t>ENCARGAD@ UAPO (8 HRS)</t>
  </si>
  <si>
    <t>GES_196</t>
  </si>
  <si>
    <t>ENCARGAD@ UAPORINO (11 HRS)</t>
  </si>
  <si>
    <t>GES_197</t>
  </si>
  <si>
    <t>ENCARGAD@ UAPORINO (7 HRS)</t>
  </si>
  <si>
    <t>GES_198</t>
  </si>
  <si>
    <t>ENCARGADO  PROGRAMA (1 HRS)</t>
  </si>
  <si>
    <t>GES_199</t>
  </si>
  <si>
    <t>ENCARGADO  PROGRAMA (3 HRS)</t>
  </si>
  <si>
    <t>GES_200</t>
  </si>
  <si>
    <t>ENCARGADO  PROGRAMA (5 HRS)</t>
  </si>
  <si>
    <t>GES_201</t>
  </si>
  <si>
    <t>ENCARGADO COMUNAL PROGRAMA TBC</t>
  </si>
  <si>
    <t>GES_202</t>
  </si>
  <si>
    <t>ENCARGADO COMUNAL PROGRAMA TBC (2 HRS)</t>
  </si>
  <si>
    <t>GES_203</t>
  </si>
  <si>
    <t>ENCARGADO DIR</t>
  </si>
  <si>
    <t>GES_204</t>
  </si>
  <si>
    <t>ENCARGADO DIR (2 HRS)</t>
  </si>
  <si>
    <t>GES_205</t>
  </si>
  <si>
    <t xml:space="preserve">ENCARGADO ELIGE VIDA SANA </t>
  </si>
  <si>
    <t>GES_206</t>
  </si>
  <si>
    <t>ENCARGADO ELIGE VIDA SANA (5 HRS)</t>
  </si>
  <si>
    <t>GES_207</t>
  </si>
  <si>
    <t>ENCARGADO ESPACIOS AMIGABLES</t>
  </si>
  <si>
    <t>GES_208</t>
  </si>
  <si>
    <t>GES_209</t>
  </si>
  <si>
    <t>ENCARGADO SEMBRANDO SONRISAS</t>
  </si>
  <si>
    <t>GES_210</t>
  </si>
  <si>
    <t>ENCARGADO@ GESTION CIRUGIA MENOR (2 HRS)</t>
  </si>
  <si>
    <t>GES_211</t>
  </si>
  <si>
    <t>ENCARGADO@ GESTION CIRUGIA MENOR (5 HRS)</t>
  </si>
  <si>
    <t>GES_212</t>
  </si>
  <si>
    <t>ENCARGADO@ GESTION CUIDADOS PALIATIVOS UNIVERSALES (CPU) (11 HRS)</t>
  </si>
  <si>
    <t>GES_213</t>
  </si>
  <si>
    <t>ENCARGADO@ GESTION CUIDADOS PALIATIVOS UNIVERSALES (CPU) (22 HRS)</t>
  </si>
  <si>
    <t>GES_214</t>
  </si>
  <si>
    <t>ENCARGADO@ GESTION CUIDADOS PALIATIVOS UNIVERSALES (CPU) (6 HRS)</t>
  </si>
  <si>
    <t>GES_215</t>
  </si>
  <si>
    <t>ENCARGADO@GESTION SOCIAL LOCAL (GSL) (11 HRS)</t>
  </si>
  <si>
    <t>GES_216</t>
  </si>
  <si>
    <t>ENCARGADO@GESTION SOCIAL LOCAL (GSL) (2 HRS)</t>
  </si>
  <si>
    <t>GES_217</t>
  </si>
  <si>
    <t>ENCARGADO@GESTION SOCIAL LOCAL (GSL) (22 HRS)</t>
  </si>
  <si>
    <t>GES_218</t>
  </si>
  <si>
    <t>ENCARGADO@GESTION SOCIAL LOCAL (GSL) (44 HRS)</t>
  </si>
  <si>
    <t>GES_219</t>
  </si>
  <si>
    <t>ENCARGADO@GESTION SOCIAL LOCAL (GSL) (5 HRS)</t>
  </si>
  <si>
    <t>GES_220</t>
  </si>
  <si>
    <t>GESTIÓN AYUDAS TECNICAS ( 1 HRS)</t>
  </si>
  <si>
    <t>GES_221</t>
  </si>
  <si>
    <t>GESTIÓN AYUDAS TECNICAS (2 HRS)</t>
  </si>
  <si>
    <t>GES_222</t>
  </si>
  <si>
    <t>GESTIÓN AYUDAS TECNICAS (5 HRS)</t>
  </si>
  <si>
    <t>GES_223</t>
  </si>
  <si>
    <t>GESTIÓN AYUDAS TECNICAS (6 HRS)</t>
  </si>
  <si>
    <t>GES_224</t>
  </si>
  <si>
    <t>IMAGENES</t>
  </si>
  <si>
    <t>GES_225</t>
  </si>
  <si>
    <t>REFERENTES MEDICINA COMPLEMENTARIAS (3 HRS)</t>
  </si>
  <si>
    <t>GES_226</t>
  </si>
  <si>
    <t>REFERENTES MEDICINA COMPLEMENTARIAS (45 MIN)</t>
  </si>
  <si>
    <t>GES_227</t>
  </si>
  <si>
    <t>REFERENTES MEDICINA COMPLEMENTARIAS (5 HRS)</t>
  </si>
  <si>
    <t>GES_228</t>
  </si>
  <si>
    <t>SALUD PUBLICA</t>
  </si>
  <si>
    <t>ENCARGAD@ COMUNAL  PNI (11 HRS)</t>
  </si>
  <si>
    <t>GES_229</t>
  </si>
  <si>
    <t>ENCARGAD@ COMUNAL  PNSI (11 HRS)</t>
  </si>
  <si>
    <t>GES_230</t>
  </si>
  <si>
    <t>ENCARGAD@ COMUNAL  PNSI (2 HRS)</t>
  </si>
  <si>
    <t>GES_231</t>
  </si>
  <si>
    <t>ENCARGAD@ EPIDEMIOLOGIA  2 (2 HRS)</t>
  </si>
  <si>
    <t>GES_232</t>
  </si>
  <si>
    <t>ENCARGAD@ IAAS</t>
  </si>
  <si>
    <t>GES_233</t>
  </si>
  <si>
    <t>ENCARGAD@ IAAS ( 11  HORAS)</t>
  </si>
  <si>
    <t>GES_234</t>
  </si>
  <si>
    <t>ENCARGAD@ IAAS (2 HRS)</t>
  </si>
  <si>
    <t>GES_235</t>
  </si>
  <si>
    <t>ENCARGAD@ IAAS (4 HRS)</t>
  </si>
  <si>
    <t>GES_236</t>
  </si>
  <si>
    <t>ENCARGAD@ NANEAS (2 HRS)</t>
  </si>
  <si>
    <t>GES_237</t>
  </si>
  <si>
    <t>ENCARGAD@ PNI (22 HRS)</t>
  </si>
  <si>
    <t>GES_238</t>
  </si>
  <si>
    <t>ENCARGAD@ PNI (44 HRS)</t>
  </si>
  <si>
    <t>GES_239</t>
  </si>
  <si>
    <t>ENCARGAD@ PNI (8 HRS)</t>
  </si>
  <si>
    <t>GES_240</t>
  </si>
  <si>
    <t>ENCARGAD@ PPAA (PNAC-PACAM) (10 HRS)</t>
  </si>
  <si>
    <t>GES_241</t>
  </si>
  <si>
    <t>ENCARGAD@ PPAA (PNAC-PACAM) (11 HRS)</t>
  </si>
  <si>
    <t>7,5 a 11</t>
  </si>
  <si>
    <t>GES_242</t>
  </si>
  <si>
    <t>ENCARGAD@ PPAA (PNAC-PACAM) (5 HRS)</t>
  </si>
  <si>
    <t>GES_243</t>
  </si>
  <si>
    <t>ENCARGAD@ PPAA (PNAC-PACAM) (7,5 HRS)</t>
  </si>
  <si>
    <t>GES_244</t>
  </si>
  <si>
    <t>ENCARGAD@ PROGRAMA TBC (2 HRS)</t>
  </si>
  <si>
    <t>GES_245</t>
  </si>
  <si>
    <t>ENCARGAD@ PROGRAMA TBC (3 HRS)</t>
  </si>
  <si>
    <t>3  a 5</t>
  </si>
  <si>
    <t>GES_246</t>
  </si>
  <si>
    <t>ENCARGAD@ PROGRAMA TBC (5 HRS)</t>
  </si>
  <si>
    <t>GES_247</t>
  </si>
  <si>
    <t>ENCARGAD@ REAS</t>
  </si>
  <si>
    <t>GES_248</t>
  </si>
  <si>
    <t>ENCARGAD@ VIGEP (11 HRS)</t>
  </si>
  <si>
    <t>GES_249</t>
  </si>
  <si>
    <t>ENCARGAD@ VIGEP (22 HRS)</t>
  </si>
  <si>
    <t>GES_250</t>
  </si>
  <si>
    <t>ENCARGAD@ VIGEP (5 HRS)</t>
  </si>
  <si>
    <t>5 a 11,5</t>
  </si>
  <si>
    <t>GES_251</t>
  </si>
  <si>
    <t>ENCARGAD@ VIGEP (6 HRS)</t>
  </si>
  <si>
    <t>GES_252</t>
  </si>
  <si>
    <t>ENCARGAD@ VIGEP (8 HRS)</t>
  </si>
  <si>
    <t>GES_253</t>
  </si>
  <si>
    <t>REFERENTE TBC - KINESIOLOGA</t>
  </si>
  <si>
    <t>GES_254</t>
  </si>
  <si>
    <t>REFERENTE TBC - MEDICO (15 MIN)</t>
  </si>
  <si>
    <t>GES_255</t>
  </si>
  <si>
    <t>REFERENTE TBC - MEDICO (2 HRS)</t>
  </si>
  <si>
    <t>GES_256</t>
  </si>
  <si>
    <t>REFERENTE TBC - PSICOLOGA</t>
  </si>
  <si>
    <t>GES_257</t>
  </si>
  <si>
    <t>REFERENTE TBC - QUIMICOFARMACEUTICO</t>
  </si>
  <si>
    <t>GES_258</t>
  </si>
  <si>
    <t>REFERENTE TBC - TRABAJADOR SOCIAL</t>
  </si>
  <si>
    <t>GES_259</t>
  </si>
  <si>
    <t>TECNICO - ADMNISTRATIVO</t>
  </si>
  <si>
    <t>BODEGA (2,5 HRS)</t>
  </si>
  <si>
    <t>GES_260</t>
  </si>
  <si>
    <t>CALIDAD MEDICION INDICADOR (20 MIN)</t>
  </si>
  <si>
    <t>GES_261</t>
  </si>
  <si>
    <t xml:space="preserve">CENSO MENSUAL </t>
  </si>
  <si>
    <t>GES_262</t>
  </si>
  <si>
    <t>CENSO TRIMESTRAL</t>
  </si>
  <si>
    <t>GES_263</t>
  </si>
  <si>
    <t xml:space="preserve">CONSOLIDAD CENSO MENSUAL </t>
  </si>
  <si>
    <t>GES_264</t>
  </si>
  <si>
    <t>DIRECTOR  (44 HRS)</t>
  </si>
  <si>
    <t>GES_265</t>
  </si>
  <si>
    <t>DOCENTE ASISTENCIAL (2 HRS)</t>
  </si>
  <si>
    <t>GES_266</t>
  </si>
  <si>
    <t>ENCARGAD@ APS UNIVERSAL</t>
  </si>
  <si>
    <t>GES_267</t>
  </si>
  <si>
    <t>ENCARGAD@ BOTIQUIN FARMACIA (28 HORAS)</t>
  </si>
  <si>
    <t>GES_268</t>
  </si>
  <si>
    <t>ENCARGAD@ BOTIQUIN FARMACIA (30 HORAS)</t>
  </si>
  <si>
    <t>GES_269</t>
  </si>
  <si>
    <t>ENCARGAD@ BOTIQUIN FARMACIA (33 HORAS)</t>
  </si>
  <si>
    <t>GES_270</t>
  </si>
  <si>
    <t>ENCARGAD@ BOTIQUIN FARMACIA (38 HORAS)</t>
  </si>
  <si>
    <t>GES_271</t>
  </si>
  <si>
    <t>ENCARGAD@ BOTIQUIN FARMACIA (44 HORAS)</t>
  </si>
  <si>
    <t>GES_272</t>
  </si>
  <si>
    <t>ENCARGAD@ CECOSF</t>
  </si>
  <si>
    <t>GES_273</t>
  </si>
  <si>
    <t>ENCARGAD@ COORDINACION MEDICA</t>
  </si>
  <si>
    <t>GES_274</t>
  </si>
  <si>
    <t>ENCARGAD@ COORDINADOR MEDICO SAPU/ CESFAM  (5 HORAS)</t>
  </si>
  <si>
    <t>GES_275</t>
  </si>
  <si>
    <t>ENCARGAD@ COORDINADOR SAPU (10 HORAS)</t>
  </si>
  <si>
    <t>GES_276</t>
  </si>
  <si>
    <t>ENCARGAD@ COORDINADOR SAPU (22 HORAS)</t>
  </si>
  <si>
    <t>GES_277</t>
  </si>
  <si>
    <t>ENCARGAD@ COORDINADOR SAPU (44 HORAS)</t>
  </si>
  <si>
    <t>23 a 44</t>
  </si>
  <si>
    <t>GES_278</t>
  </si>
  <si>
    <t>ENCARGAD@ COORDINADOR SAPU (5 HORAS)</t>
  </si>
  <si>
    <t>GES_279</t>
  </si>
  <si>
    <t>ENCARGAD@ DIFUSIÓN  (11 HORAS)</t>
  </si>
  <si>
    <t>GES_280</t>
  </si>
  <si>
    <t>ENCARGAD@ DIFUSIÓN  (2,5 HORAS)</t>
  </si>
  <si>
    <t>GES_281</t>
  </si>
  <si>
    <t>ENCARGAD@ DIFUSIÓN  (22 HORAS)</t>
  </si>
  <si>
    <t>GES_282</t>
  </si>
  <si>
    <t>ENCARGAD@ DIFUSIÓN  (4 HORAS)</t>
  </si>
  <si>
    <t>GES_283</t>
  </si>
  <si>
    <t>ENCARGAD@ DIFUSIÓN  (5 HORAS)</t>
  </si>
  <si>
    <t>GES_284</t>
  </si>
  <si>
    <t>ENCARGAD@ DIFUSIÓN  (8 HRS)</t>
  </si>
  <si>
    <t>GES_285</t>
  </si>
  <si>
    <t>ENCARGAD@ PROGRAMACION (2 HRS)</t>
  </si>
  <si>
    <t>GES_286</t>
  </si>
  <si>
    <t>ENCARGAD@ PROGRAMACION (30 MIN)</t>
  </si>
  <si>
    <t>GES_287</t>
  </si>
  <si>
    <t>ENCARGAD@ SOME (11)</t>
  </si>
  <si>
    <t>GES_288</t>
  </si>
  <si>
    <t>ENCARGAD@ SOME (22)</t>
  </si>
  <si>
    <t>GES_289</t>
  </si>
  <si>
    <t>ENCARGAD@ SOME (33)</t>
  </si>
  <si>
    <t>GES_290</t>
  </si>
  <si>
    <t>ENCARGAD@ SOME (44)</t>
  </si>
  <si>
    <t>GES_291</t>
  </si>
  <si>
    <t>ENCARGADO COMUNAL CALIDAD   (22  HRS)</t>
  </si>
  <si>
    <t>GES_292</t>
  </si>
  <si>
    <t>ENCARGADO ESTADISTICA (2,5 HRS)</t>
  </si>
  <si>
    <t>GES_293</t>
  </si>
  <si>
    <t>ENCARGADO ESTADISTICA (22 HRS)</t>
  </si>
  <si>
    <t>GES_294</t>
  </si>
  <si>
    <t>ENCARGADO ESTERILIZACIÓN (2 HRS)</t>
  </si>
  <si>
    <t>GES_295</t>
  </si>
  <si>
    <t>ENCARGADO RAD (4 HRS)</t>
  </si>
  <si>
    <t>GES_296</t>
  </si>
  <si>
    <t>ENCARGADO RESOLUTIVIDAD</t>
  </si>
  <si>
    <t>GES_297</t>
  </si>
  <si>
    <t>ENCARGADO TECNOVIGILANCIA (2 HRS)</t>
  </si>
  <si>
    <t>GES_298</t>
  </si>
  <si>
    <t>ENCARGADO TOMA DE MUESTRA (2 HRS)</t>
  </si>
  <si>
    <t>GES_299</t>
  </si>
  <si>
    <t>ENFERMERO/A SUPERVISOR/A (COORDINADORA) (11 HRS)</t>
  </si>
  <si>
    <t>GES_300</t>
  </si>
  <si>
    <t>ENFERMERO/A SUPERVISOR/A (COORDINADORA) (22 HRS)</t>
  </si>
  <si>
    <t>GES_301</t>
  </si>
  <si>
    <t>ENFERMERO/A SUPERVISOR/A (COORDINADORA) (33 HRS)</t>
  </si>
  <si>
    <t>GES_302</t>
  </si>
  <si>
    <t>ENFERMERO/A SUPERVISOR/A (COORDINADORA) (44 HRS)</t>
  </si>
  <si>
    <t>GES_303</t>
  </si>
  <si>
    <t>ESTADISTICA MENSUAL (1 DIA)</t>
  </si>
  <si>
    <t>1 DIA 12 VECES AL AÑO</t>
  </si>
  <si>
    <t>GES_304</t>
  </si>
  <si>
    <t>ESTADISTICA TRIMESTRAL (2 DIAS)</t>
  </si>
  <si>
    <t>2 DIAS 4 VECES AL AÑO</t>
  </si>
  <si>
    <t>GES_305</t>
  </si>
  <si>
    <t>GESTION DE LA DEMANDA</t>
  </si>
  <si>
    <t>GES_306</t>
  </si>
  <si>
    <t>SUBDIRECCION (22 HORAS)</t>
  </si>
  <si>
    <t>GES_307</t>
  </si>
  <si>
    <t>SUBDIRECCION (44 HORAS)</t>
  </si>
  <si>
    <t>GES_308</t>
  </si>
  <si>
    <t>JEFE SECTOR (7,5 HORAS)</t>
  </si>
  <si>
    <t>GES_309</t>
  </si>
  <si>
    <t>TRAZABILIDAD DE PAP Y MAMOGRAFIA (3 HRS)</t>
  </si>
  <si>
    <t>GES_310</t>
  </si>
  <si>
    <t>ENCARGAD@ ECICEP (3 HRS)</t>
  </si>
  <si>
    <t>GES_311</t>
  </si>
  <si>
    <t>ESTADISTICA TRIMESTRAL (16 HRS × 4 VECES)</t>
  </si>
  <si>
    <t>2 DÍAS × 4 VECES AL AÑO</t>
  </si>
  <si>
    <t>GES_312</t>
  </si>
  <si>
    <t>ESTADISTICA TRIMESTRAL (8 HRS × 4 VECES)</t>
  </si>
  <si>
    <t>1 DÍA × 4 VECES AL AÑO</t>
  </si>
  <si>
    <t>GES_313</t>
  </si>
  <si>
    <t>ESTADISTICA TRIMESTRAL (4 HRS × 4 VECES)</t>
  </si>
  <si>
    <t>4 hrs × 4 VECES AL AÑO</t>
  </si>
  <si>
    <t>GES_314</t>
  </si>
  <si>
    <t>ESTADISTICA MENSUAL AJUSTADA (8 HRS × 8 VECES)</t>
  </si>
  <si>
    <t>1 DÍA × 8 VECES AL AÑO</t>
  </si>
  <si>
    <t>GES_315</t>
  </si>
  <si>
    <t>ESTADISTICA MENSUAL AJUSTADA (4 HRS × 8 VECES)</t>
  </si>
  <si>
    <t>4 hrs × 8 VECES AL AÑO</t>
  </si>
  <si>
    <t>GES_316</t>
  </si>
  <si>
    <t>ESTADISTICA MENSUAL AJUSTADA (3 HRS × 8 VECES)</t>
  </si>
  <si>
    <t>3 hrs × 8 VECES AL AÑO</t>
  </si>
  <si>
    <t>GES_317</t>
  </si>
  <si>
    <t>ESTADISTICA MENSUAL AJUSTADA (2 HRS × 8 VECES)</t>
  </si>
  <si>
    <t>2 hrs × 8 VECES AL AÑO</t>
  </si>
  <si>
    <t>GES_318</t>
  </si>
  <si>
    <t>ESTADISTICA MENSUAL AJUSTADA (1 HR × 8 VECES)</t>
  </si>
  <si>
    <t>1 hr × 8 VECES AL AÑO</t>
  </si>
  <si>
    <t>GES_319</t>
  </si>
  <si>
    <t>ESTADISTICA MENSUAL COMPLETA (8 HRS × 12 VECES)</t>
  </si>
  <si>
    <t>1 DÍA × 12 VECES AL AÑO</t>
  </si>
  <si>
    <t>GES_320</t>
  </si>
  <si>
    <t>ESTADISTICA MENSUAL COMPLETA (4 HRS × 12 VECES)</t>
  </si>
  <si>
    <t>4 hrs × 12 VECES AL AÑO</t>
  </si>
  <si>
    <t>GES_321</t>
  </si>
  <si>
    <t>ESTADISTICA MENSUAL COMPLETA (3 HRS × 12 VECES)</t>
  </si>
  <si>
    <t>3 hrs × 12 VECES AL AÑO</t>
  </si>
  <si>
    <t>GES_322</t>
  </si>
  <si>
    <t>ESTADISTICA MENSUAL COMPLETA (2 HRS × 12 VECES)</t>
  </si>
  <si>
    <t>2 hrs × 12 VECES AL AÑO</t>
  </si>
  <si>
    <t>GES_323</t>
  </si>
  <si>
    <t>ESTADISTICA MENSUAL COMPLETA (1 HR × 12 VECES)</t>
  </si>
  <si>
    <t>1 hr × 12 VECES AL AÑO</t>
  </si>
  <si>
    <t>GES_324</t>
  </si>
  <si>
    <t>ENCARGAD@ TRASMISIBLES (VIH)/ITS/Chagas/hepatitis B y C . Incluye Transimsión vertical (5 HRS)</t>
  </si>
  <si>
    <t>GES_325</t>
  </si>
  <si>
    <t>ENCARGAD@ PROGRAMA SALUD SEXUAL Y REPRODUCTIVA ( 14 HRS)</t>
  </si>
  <si>
    <t>GES_326</t>
  </si>
  <si>
    <t>ENCARGAD@ MONITOR GES (9 HORAS)</t>
  </si>
  <si>
    <t>GES_327</t>
  </si>
  <si>
    <t>ENCARGAD@ MONITOR GES (6 HORAS)</t>
  </si>
  <si>
    <t>GES_328</t>
  </si>
  <si>
    <t>SEGUIMIENTO CAUSAS JUDICIALES ( 2 HORAS)</t>
  </si>
  <si>
    <t>GES_329</t>
  </si>
  <si>
    <t>ENCARGAD@ PROGRAMA CALIDAD (11 HORAS)</t>
  </si>
  <si>
    <t>GES_330</t>
  </si>
  <si>
    <t>CONTRALOR MEDICO ( 7 HORAS)</t>
  </si>
  <si>
    <t>GES_331</t>
  </si>
  <si>
    <t>CONTRALOR MEDICO ( 12 HORAS)</t>
  </si>
  <si>
    <t>GES_332</t>
  </si>
  <si>
    <t>CONTRALOR MEDICO ( 15 HORAS)</t>
  </si>
  <si>
    <t>CENSO MENSUAL (4 HORAS)</t>
  </si>
  <si>
    <t>CENSO MENSUAL  (12 HORAS)</t>
  </si>
  <si>
    <t>CENSO MENSUAL ( 3 HORAS)</t>
  </si>
  <si>
    <t xml:space="preserve">PROFESIONAL APOYO EQUIPO PARTICIPACION Y PROMOCION (MEDICO) </t>
  </si>
  <si>
    <t>DOCENTE ASISTENCIAL (15 M)</t>
  </si>
  <si>
    <t>UBICACION</t>
  </si>
  <si>
    <t>CALEND</t>
  </si>
  <si>
    <t>SEM</t>
  </si>
  <si>
    <t>DIA</t>
  </si>
  <si>
    <t>DESDE</t>
  </si>
  <si>
    <t>HASTA</t>
  </si>
  <si>
    <t>FREC
(nro veces año)</t>
  </si>
  <si>
    <t>DURACION</t>
  </si>
  <si>
    <t>TIEMPO reunion</t>
  </si>
  <si>
    <t>Horas año</t>
  </si>
  <si>
    <t>TIEMPO SEMANA</t>
  </si>
  <si>
    <t>CRITERIOS</t>
  </si>
  <si>
    <t>REU_001</t>
  </si>
  <si>
    <t>REUNION</t>
  </si>
  <si>
    <t>COMSE</t>
  </si>
  <si>
    <t>LOCAL</t>
  </si>
  <si>
    <t>REU_002</t>
  </si>
  <si>
    <t>COMSE (3 HRS)</t>
  </si>
  <si>
    <t>REU_003</t>
  </si>
  <si>
    <t>COMSE (5 HRS)</t>
  </si>
  <si>
    <t>REU_004</t>
  </si>
  <si>
    <t>MESA DE SEGURIDAD</t>
  </si>
  <si>
    <t>REU_005</t>
  </si>
  <si>
    <t>PRE COMSE</t>
  </si>
  <si>
    <t>REU_006</t>
  </si>
  <si>
    <t>PRE COMSE (1,5 HR - X10)</t>
  </si>
  <si>
    <t>REU_007</t>
  </si>
  <si>
    <t>PRE COMSE (3 HRS - X6)</t>
  </si>
  <si>
    <t>REU_008</t>
  </si>
  <si>
    <t>REUNION CONSEJO LOCAL DE SALUD</t>
  </si>
  <si>
    <t>REU_009</t>
  </si>
  <si>
    <t>REUNIÓN ENCARGADXS PYP (CENTRAL)</t>
  </si>
  <si>
    <t>CENTRAL</t>
  </si>
  <si>
    <t>REU_010</t>
  </si>
  <si>
    <t>REUNIÓN EQUIPO SEDE VECINAL (2 HRS - X6)</t>
  </si>
  <si>
    <t>REU_011</t>
  </si>
  <si>
    <t>REUNION MESA INTERINSTITUCIONAL ADULTO MAYOR</t>
  </si>
  <si>
    <t>REU_012</t>
  </si>
  <si>
    <t>REUNION UCAM UCOM OTROS</t>
  </si>
  <si>
    <t>REU_013</t>
  </si>
  <si>
    <t>REUNIÓN ENCARGADXS OIRS (CENTRAL)</t>
  </si>
  <si>
    <t>REU_014</t>
  </si>
  <si>
    <t>REUNIÓN OIRS - CESFAM (1 HORA)</t>
  </si>
  <si>
    <t>REU_015</t>
  </si>
  <si>
    <t>REUNIÓN OIRS - CESFAM (2 HORA)</t>
  </si>
  <si>
    <t>REU_016</t>
  </si>
  <si>
    <t>REUNIÓN REFERENTE DE MIGRANTES (CENTRAL)</t>
  </si>
  <si>
    <t>REU_017</t>
  </si>
  <si>
    <t>EQUIPO</t>
  </si>
  <si>
    <t>CONSEJO TECNICO AMPLIADO SM</t>
  </si>
  <si>
    <t>REU_018</t>
  </si>
  <si>
    <t>CONSEJO TECNICO AMPLIADO SM (CENTRAL)</t>
  </si>
  <si>
    <t>DIA DEL CENSO</t>
  </si>
  <si>
    <t>REU_019</t>
  </si>
  <si>
    <t>CONSEJO TECNICO TERRITORIAL SM</t>
  </si>
  <si>
    <t>REU_020</t>
  </si>
  <si>
    <t>CONSEJO TECNICO TERRITORIAL SM (CENTRAL)</t>
  </si>
  <si>
    <t>REU_021</t>
  </si>
  <si>
    <t>JEFES DE PROGRAMA</t>
  </si>
  <si>
    <t>REU_022</t>
  </si>
  <si>
    <t>PSM - REUNIÓN EQUIPO PSICOSOCIAL</t>
  </si>
  <si>
    <t>REU_023</t>
  </si>
  <si>
    <t>PSM - REUNIÓN EQUIPO PSICOSOCIAL (1,5 HRS -X12)</t>
  </si>
  <si>
    <t>REU_024</t>
  </si>
  <si>
    <t>PSM - REUNIÓN EQUIPO PSICOSOCIAL (2HRS -X10)</t>
  </si>
  <si>
    <t>REU_025</t>
  </si>
  <si>
    <t>PSM - REUNIÓN EQUIPO PSICOSOCIAL (2HRS -X12)</t>
  </si>
  <si>
    <t>REU_026</t>
  </si>
  <si>
    <t>PSM - REUNIÓN EQUIPO PSICOSOCIAL (2HRS -X24)</t>
  </si>
  <si>
    <t>REU_027</t>
  </si>
  <si>
    <t>PSM - REUNIÓN EQUIPO PSICOSOCIAL CECOSF (2HRS -X40)</t>
  </si>
  <si>
    <t>REU_028</t>
  </si>
  <si>
    <t>REUNIÓN  SALUDABLEMENTE (3 HRS - X 12)</t>
  </si>
  <si>
    <t>REU_029</t>
  </si>
  <si>
    <t>REUNIÓN COMITE DIFUSION</t>
  </si>
  <si>
    <t>REU_030</t>
  </si>
  <si>
    <t>REUNIÓN COMITE DIFUSION (2 HRS - X10)</t>
  </si>
  <si>
    <t>REU_031</t>
  </si>
  <si>
    <t>REUNIÓN COMITE DIFUSION (3 HRS - X3)</t>
  </si>
  <si>
    <t>REU_032</t>
  </si>
  <si>
    <t>REUNION EQUIPO CUIDADOS MUTUOS</t>
  </si>
  <si>
    <t>REU_033</t>
  </si>
  <si>
    <t>REUNION EQUIPO CUIDADOS MUTUOS  (3 HRS -X12)</t>
  </si>
  <si>
    <t>REU_034</t>
  </si>
  <si>
    <t>REUNIÓN EQUIPO DENTAL</t>
  </si>
  <si>
    <t>REU_035</t>
  </si>
  <si>
    <t>REUNIÓN EQUIPO ENFERMERIA</t>
  </si>
  <si>
    <t>BIMENSUAL</t>
  </si>
  <si>
    <t>REU_036</t>
  </si>
  <si>
    <t>REUNIÓN EQUIPO ENFERMERIA ( 3 HRS - X 5)</t>
  </si>
  <si>
    <t>OBS1</t>
  </si>
  <si>
    <t>REU_037</t>
  </si>
  <si>
    <t>REUNIÓN EQUIPO ENFERMERIA (1,5 HR - X6)</t>
  </si>
  <si>
    <t>REU_038</t>
  </si>
  <si>
    <t>REUNIÓN EQUIPO ENFERMERIA (2 HRS - X10)</t>
  </si>
  <si>
    <t>REU_039</t>
  </si>
  <si>
    <t>REUNIÓN EQUIPO ENFERMERIA (2HRS - X6)</t>
  </si>
  <si>
    <t>REU_040</t>
  </si>
  <si>
    <t>REUNIÓN EQUIPO KINESIOLOGÍA</t>
  </si>
  <si>
    <t>REU_041</t>
  </si>
  <si>
    <t>REUNIÓN EQUIPO MATRONAS</t>
  </si>
  <si>
    <t>REU_042</t>
  </si>
  <si>
    <t>REUNIÓN EQUIPO MATRONAS (1 HRS - X6)</t>
  </si>
  <si>
    <t>REU_043</t>
  </si>
  <si>
    <t>REUNIÓN EQUIPO MATRONAS (2 HRS - X10)</t>
  </si>
  <si>
    <t>REU_044</t>
  </si>
  <si>
    <t>REUNIÓN EQUIPO MATRONAS (2 HRS - X6)</t>
  </si>
  <si>
    <t>TRIMESTRAL</t>
  </si>
  <si>
    <t>REU_045</t>
  </si>
  <si>
    <t>REUNIÓN EQUIPO MÉDICO (LOCAL)</t>
  </si>
  <si>
    <t>0,25 a 1,12</t>
  </si>
  <si>
    <t>REU_046</t>
  </si>
  <si>
    <t>REUNIÓN EQUIPO MÉDICO (LOCAL) (1 HR-X 12)</t>
  </si>
  <si>
    <t>0,25 - BIMENSUAL</t>
  </si>
  <si>
    <t>REU_047</t>
  </si>
  <si>
    <t>REUNIÓN EQUIPO MÉDICO (LOCAL) (3 HRS-X 5)</t>
  </si>
  <si>
    <t>0,25 a 0,5</t>
  </si>
  <si>
    <t>REU_048</t>
  </si>
  <si>
    <t>REUNIÓN EQUIPO MÉDICO CMV (CENTRAL)</t>
  </si>
  <si>
    <t>REU_049</t>
  </si>
  <si>
    <t>REUNIÓN EQUIPO NUTRICION</t>
  </si>
  <si>
    <t>REU_050</t>
  </si>
  <si>
    <t>REUNIÓN EQUIPO NUTRICION (2 HRS - X10)</t>
  </si>
  <si>
    <t>REU_051</t>
  </si>
  <si>
    <t>REUNIÓN EQUIPO NUTRICION (2 HRS - X2)</t>
  </si>
  <si>
    <t>REU_052</t>
  </si>
  <si>
    <t>REUNIÓN EQUIPO PYP CESFAM</t>
  </si>
  <si>
    <t>0,13 A 0,75</t>
  </si>
  <si>
    <t>REU_053</t>
  </si>
  <si>
    <t>REUNIÓN EQUIPO PYP CESFAM (1 HR- X 12)</t>
  </si>
  <si>
    <t>REU_054</t>
  </si>
  <si>
    <t>REUNIÓN EQUIPO PYP INTERSECTOR</t>
  </si>
  <si>
    <t>REU_055</t>
  </si>
  <si>
    <t>REUNIÓN EQUIPO PYP INTERSECTOR (1 HR - X12)</t>
  </si>
  <si>
    <t>REU_056</t>
  </si>
  <si>
    <t>REUNIÓN EQUIPO PYP INTERSECTOR (3 HRS - X12)</t>
  </si>
  <si>
    <t>REU_057</t>
  </si>
  <si>
    <t>REUNIÓN EQUIPO SUPERV - TENS</t>
  </si>
  <si>
    <t>REU_058</t>
  </si>
  <si>
    <t>REUNIÓN EQUIPO SUPERV - TENS (2HRS-X 3)</t>
  </si>
  <si>
    <t>REU_059</t>
  </si>
  <si>
    <t>REUNIÓN EQUIPO TRABAJO SOCIAL</t>
  </si>
  <si>
    <t>no hay fecha exacta, se da dentro del mes y acude oficial y subrogante</t>
  </si>
  <si>
    <t>REU_060</t>
  </si>
  <si>
    <t>REUNIÓN EQUIPO UNIDAD DE SOME (2 HRS - X10)</t>
  </si>
  <si>
    <t>REU_061</t>
  </si>
  <si>
    <t>REUNIÓN EQUIPO UNIDAD DE SOME (2 HRS - X12)</t>
  </si>
  <si>
    <t>REU_062</t>
  </si>
  <si>
    <t>REUNIÓN JEFATURAS DE SECTOR</t>
  </si>
  <si>
    <t>REU_063</t>
  </si>
  <si>
    <t>AUTOCUIDADO</t>
  </si>
  <si>
    <t>REU_064</t>
  </si>
  <si>
    <t>AUTOCUIDADO (2 HRS)</t>
  </si>
  <si>
    <t>REU_065</t>
  </si>
  <si>
    <t>AUTOCUIDADO (3 HRS)</t>
  </si>
  <si>
    <t>REU_066</t>
  </si>
  <si>
    <t>REUNIÓN AFUSAM</t>
  </si>
  <si>
    <t>REU_067</t>
  </si>
  <si>
    <t>REUNIÓN APRUSAM (1 HR)</t>
  </si>
  <si>
    <t>REU_068</t>
  </si>
  <si>
    <t>REUNIÓN APRUSAM (1,5 HR X 10)</t>
  </si>
  <si>
    <t>REU_069</t>
  </si>
  <si>
    <t>REUNIÓN APRUSAM (1,5 HR)</t>
  </si>
  <si>
    <t>REU_070</t>
  </si>
  <si>
    <t>REUNION BUEN TRATO MUTUAL</t>
  </si>
  <si>
    <t>REU_071</t>
  </si>
  <si>
    <t>REUNION BUEN TRATO MUTUAL (3 HRS - X10)</t>
  </si>
  <si>
    <t>0,3 - TRIMESTRAL</t>
  </si>
  <si>
    <t>REU_072</t>
  </si>
  <si>
    <t>REUNIÓN COMITÉ DE CAPACITACIÓN (CENTRAL)</t>
  </si>
  <si>
    <t>REU_073</t>
  </si>
  <si>
    <t>REUNIÓN COMITÉ PARITARIO</t>
  </si>
  <si>
    <t>REU_074</t>
  </si>
  <si>
    <t>REUNIÓN COMITÉ PARITARIO (1 HR-X 12)</t>
  </si>
  <si>
    <t>REU_075</t>
  </si>
  <si>
    <t>REUNIÓN COMITÉ PARITARIO (1,5 HR - X12)</t>
  </si>
  <si>
    <t>REU_076</t>
  </si>
  <si>
    <t>REUNIÓN COMITÉ PARITARIO (2 HRS - X12)</t>
  </si>
  <si>
    <t>REU_077</t>
  </si>
  <si>
    <t>REUNIÓN COMITÉ PARITARIO (2,5 HR - X2)</t>
  </si>
  <si>
    <t>REU_078</t>
  </si>
  <si>
    <t>REUNIÓN DELEGADOS APRUSAM (CENTRAL)</t>
  </si>
  <si>
    <t>REU_079</t>
  </si>
  <si>
    <t>REUNIÓN EDF</t>
  </si>
  <si>
    <t>REU_080</t>
  </si>
  <si>
    <t>REUNIÓN ENCARGADOS COMITE PARITARIO</t>
  </si>
  <si>
    <t>REU_081</t>
  </si>
  <si>
    <t>REUNIÓN GREMIAL (1 HR-X 12)</t>
  </si>
  <si>
    <t>REU_082</t>
  </si>
  <si>
    <t>REUNIÓN CALIDAD</t>
  </si>
  <si>
    <t>REU_083</t>
  </si>
  <si>
    <t>REUNIÓN CALIDAD (1,5 HR)</t>
  </si>
  <si>
    <t>REU_084</t>
  </si>
  <si>
    <t>REUNIÓN CALIDAD (3 HRS)</t>
  </si>
  <si>
    <t>REU_085</t>
  </si>
  <si>
    <t>REUNIÓN COMITÉ CALIDAD</t>
  </si>
  <si>
    <t>REU_086</t>
  </si>
  <si>
    <t>REUNIÓN COMITÉ CALIDAD (CENTRAL)</t>
  </si>
  <si>
    <t>REU_087</t>
  </si>
  <si>
    <t>REUNIÓN COMITÉ CALIDAD (SSVSA)</t>
  </si>
  <si>
    <t>REU_088</t>
  </si>
  <si>
    <t>REUNIÓN COMITE CAPACITACIÓN LOCAL (2 HRS - X10)</t>
  </si>
  <si>
    <t>REU_089</t>
  </si>
  <si>
    <t>REUNIÓN COMITE CAPACITACIÓN LOCAL (2 HRS - X12)</t>
  </si>
  <si>
    <t>REU_090</t>
  </si>
  <si>
    <t>REUNIÓN COMITE CAPACITACIÓN LOCAL (4 HRS - X12)</t>
  </si>
  <si>
    <t>REU_091</t>
  </si>
  <si>
    <t>REUNIÓN COMITÉ CUIDADOS PALIATIVOS NO ONCOLOGICOS (SSVSA)</t>
  </si>
  <si>
    <t>REU_092</t>
  </si>
  <si>
    <t>REUNIÓN COMITE GES</t>
  </si>
  <si>
    <t>REU_093</t>
  </si>
  <si>
    <t>REUNIÓN DE MÉDICOS CONTRALORES (CENTRAL)</t>
  </si>
  <si>
    <t>REU_094</t>
  </si>
  <si>
    <t>REUNIÓN DE MÉDICOS CONTRALORES (SSVSA)</t>
  </si>
  <si>
    <t>REU_095</t>
  </si>
  <si>
    <t>REUNIÓN DE ODONTOLOGO CONTRALOR (1 HR -X 10)</t>
  </si>
  <si>
    <t>REU_096</t>
  </si>
  <si>
    <t>REUNIÓN PROA (SSVSA)</t>
  </si>
  <si>
    <t>REU_097</t>
  </si>
  <si>
    <t>REUNIÓN PROGRAMACION (SSVSA)</t>
  </si>
  <si>
    <t>REU_098</t>
  </si>
  <si>
    <t>CONSEJO AMPLIADO</t>
  </si>
  <si>
    <t>REU_099</t>
  </si>
  <si>
    <t>CONSEJO AMPLIADO (1 HR - 12)</t>
  </si>
  <si>
    <t>REU_100</t>
  </si>
  <si>
    <t>CONSEJO AMPLIADO (1 HR)</t>
  </si>
  <si>
    <t>REU_101</t>
  </si>
  <si>
    <t>CONSEJO AMPLIADO (2 HRS)</t>
  </si>
  <si>
    <t>REU_102</t>
  </si>
  <si>
    <t>CONSEJO AMPLIADO (3 HRS)</t>
  </si>
  <si>
    <t>REU_103</t>
  </si>
  <si>
    <t>CONSEJO TÉCNICO DE GESTIÓN</t>
  </si>
  <si>
    <t>REU_104</t>
  </si>
  <si>
    <t>CONSEJO TÉCNICO DE GESTIÓN (1 HR - X 26)</t>
  </si>
  <si>
    <t>REU_105</t>
  </si>
  <si>
    <t>CONSEJO TÉCNICO DE GESTIÓN (1 HR)</t>
  </si>
  <si>
    <t>REU_106</t>
  </si>
  <si>
    <t>CONSEJO TÉCNICO DE GESTIÓN (2 HRS)</t>
  </si>
  <si>
    <t>REU_107</t>
  </si>
  <si>
    <t>CONSEJO TÉCNICO DE GESTIÓN (3 HRS)</t>
  </si>
  <si>
    <t>REU_108</t>
  </si>
  <si>
    <t>CONSEJO TÉCNICO DE GESTIÓN CECOSF  (2 HRS -X10)</t>
  </si>
  <si>
    <t>REU_109</t>
  </si>
  <si>
    <t>CONSEJO TÉCNICO TERRITORIAL CECOSF  (2 HRS -X10)</t>
  </si>
  <si>
    <t>REU_110</t>
  </si>
  <si>
    <t>REUNIÓN CON ENCARGADXS MAISF</t>
  </si>
  <si>
    <t>REU_111</t>
  </si>
  <si>
    <t>REUNIÓN ENCARGADXS ECICEP (CENTRAL)</t>
  </si>
  <si>
    <t>REU_112</t>
  </si>
  <si>
    <t>REUNIÓN ENCARGADXS ECICEP (SSVSA)</t>
  </si>
  <si>
    <t>REU_113</t>
  </si>
  <si>
    <t>REUNIÓN EQUIPO CABECERA</t>
  </si>
  <si>
    <t>REU_114</t>
  </si>
  <si>
    <t>REUNIÓN EQUIPO CABECERA (2 HRS - X10)</t>
  </si>
  <si>
    <t>REU_115</t>
  </si>
  <si>
    <t>REUNIÓN EQUIPO CABECERA (3 HRS - X12)</t>
  </si>
  <si>
    <t>REU_116</t>
  </si>
  <si>
    <t>REUNIÓN EQUIPO CABECERA (4 HRS - X10)</t>
  </si>
  <si>
    <t>REU_117</t>
  </si>
  <si>
    <t>REUNIÓN EQUIPO MOTOR ECICEP (LOCAL)</t>
  </si>
  <si>
    <t>REU_118</t>
  </si>
  <si>
    <t>REUNIÓN EQUIPO MOTOR ECICEP (LOCAL) (1 HRS - X12)</t>
  </si>
  <si>
    <t>REU_119</t>
  </si>
  <si>
    <t>REUNIÓN EQUIPO MOTOR ECICEP (LOCAL) (2 HRS - X10)</t>
  </si>
  <si>
    <t>REU_120</t>
  </si>
  <si>
    <t>REUNIÓN EQUIPO MOTOR ECICEP (LOCAL) (3 HRS - X12)</t>
  </si>
  <si>
    <t>REU_121</t>
  </si>
  <si>
    <t>REUNIÓN GESTIÓN SALUD FAMILIAR (1a parte)</t>
  </si>
  <si>
    <t>REU_122</t>
  </si>
  <si>
    <t>REUNIÓN GESTIÓN SALUD FAMILIAR (2a parte)</t>
  </si>
  <si>
    <t>REU_123</t>
  </si>
  <si>
    <t>REUNIÓN GESTIÓN SALUD FAMILIAR (3 HRS - X10)</t>
  </si>
  <si>
    <t>REU_124</t>
  </si>
  <si>
    <t>REUNIÓN GESTIÓN SALUD FAMILIAR (4 HRS - X12)</t>
  </si>
  <si>
    <t>REU_125</t>
  </si>
  <si>
    <t>REUNIÓN GESTIÓN SALUD FAMILIAR CECOSF  (2HRS -X20)</t>
  </si>
  <si>
    <t>REU_126</t>
  </si>
  <si>
    <t>REUNIÓN SECTOR (1 HRS - X12)</t>
  </si>
  <si>
    <t>REU_127</t>
  </si>
  <si>
    <t>REUNIÓN SECTOR (2 HRS - X10)</t>
  </si>
  <si>
    <t>REU_128</t>
  </si>
  <si>
    <t>REU_129</t>
  </si>
  <si>
    <t>REUNIÓN SECTOR (2 HRS - X12)</t>
  </si>
  <si>
    <t>REU_130</t>
  </si>
  <si>
    <t>REUNIÓN SECTOR (3 HRS - X10)</t>
  </si>
  <si>
    <t>REU_131</t>
  </si>
  <si>
    <t>REUNIÓN SECTOR (3 HRS - X12)</t>
  </si>
  <si>
    <t>REU_132</t>
  </si>
  <si>
    <t>REUNIÓN SECTOR (4 HRS - X10)</t>
  </si>
  <si>
    <t>REU_133</t>
  </si>
  <si>
    <t>SECTOR 1 (a)</t>
  </si>
  <si>
    <t>REU_134</t>
  </si>
  <si>
    <t>REU_135</t>
  </si>
  <si>
    <t>SECTOR 1 (b)</t>
  </si>
  <si>
    <t>REU_136</t>
  </si>
  <si>
    <t>SECTOR 2 (a)</t>
  </si>
  <si>
    <t>REU_137</t>
  </si>
  <si>
    <t>SECTOR 2 (b)</t>
  </si>
  <si>
    <t>REU_138</t>
  </si>
  <si>
    <t>PSM - CONSULTORÍA ADULTO HDS (PROGRAMABLE)</t>
  </si>
  <si>
    <t>REU_139</t>
  </si>
  <si>
    <t>PSM - CONSULTORÍA API (PROGRAMABLE)</t>
  </si>
  <si>
    <t>REU_140</t>
  </si>
  <si>
    <t>PSM - PRECONSULTORÍA ADULTO</t>
  </si>
  <si>
    <t>REU_141</t>
  </si>
  <si>
    <t>PSM - PRECONSULTORÍA INFANTO-JUVENIL SM</t>
  </si>
  <si>
    <t>REU_142</t>
  </si>
  <si>
    <t>REUNIÓN CARDIOVASCULAR</t>
  </si>
  <si>
    <t>REU_143</t>
  </si>
  <si>
    <t>REUNIÓN CARDIOVASCULAR (1HR- X 24)</t>
  </si>
  <si>
    <t>REU_144</t>
  </si>
  <si>
    <t>REUNIÓN CARDIOVASCULAR (CENTRAL )</t>
  </si>
  <si>
    <t>REU_145</t>
  </si>
  <si>
    <t>REUNIÓN CVC</t>
  </si>
  <si>
    <t>REU_146</t>
  </si>
  <si>
    <t>REUNIÓN ENCARGADO MÁS AMA</t>
  </si>
  <si>
    <t>REU_147</t>
  </si>
  <si>
    <t>REUNIÓN INF/ADO - CONSULTORIA NEUROLOGÍA PEDIATRICA</t>
  </si>
  <si>
    <t>REU_148</t>
  </si>
  <si>
    <t>REUNIÓN INF/ADO - REUNIÓN CHCC, INFANCIA Y ADOLESCENCIA (CENTRAL)</t>
  </si>
  <si>
    <t>REU_149</t>
  </si>
  <si>
    <t>REUNIÓN INF/ADO - REUNIÓN CHCC, INFANCIA Y ADOLESCENCIA (SSVSA)</t>
  </si>
  <si>
    <t>REU_150</t>
  </si>
  <si>
    <t>REUNIÓN INF/ADO - REUNIÓN INFANCIA</t>
  </si>
  <si>
    <t>REU_151</t>
  </si>
  <si>
    <t>REUNIÓN INF/ADO - REUNIÓN INFANCIA ( 1HRS - X 6)</t>
  </si>
  <si>
    <t>REU_152</t>
  </si>
  <si>
    <t>REUNIÓN INF/ADO - REUNIÓN INFANCIA (1,5 HR - X12)</t>
  </si>
  <si>
    <t>REU_153</t>
  </si>
  <si>
    <t>REUNIÓN INF/ADO - REUNIÓN INFANCIA (1,5 HR - X6)</t>
  </si>
  <si>
    <t>REU_154</t>
  </si>
  <si>
    <t>REUNIÓN INF/ADO - REUNIÓN INFANCIA (2 HRS - X12)</t>
  </si>
  <si>
    <t>REU_155</t>
  </si>
  <si>
    <t>REUNIÓN INF/ADO - REUNIÓN INFANCIA (3 HRS - X 6)</t>
  </si>
  <si>
    <t>REU_156</t>
  </si>
  <si>
    <t>REUNIÓN INF/ADO - REUNIÓN INFANCIA (3 HRS - X6)</t>
  </si>
  <si>
    <t>REU_157</t>
  </si>
  <si>
    <t>REUNIÓN INF/ADO - REUNIÓN SALA DE ESTIMULACIÓN</t>
  </si>
  <si>
    <t>REU_158</t>
  </si>
  <si>
    <t>REUNIÓN MEJOR NIÑEZ</t>
  </si>
  <si>
    <t>REU_159</t>
  </si>
  <si>
    <t>REUNIÓN PROGRAMA ADULTO Y ADULTO MAYOR (CENTRAL)</t>
  </si>
  <si>
    <t>REU_160</t>
  </si>
  <si>
    <t>REUNIÓN PROGRAMA ADULTO Y ADULTO MAYOR (SSVSA)</t>
  </si>
  <si>
    <t>REU_161</t>
  </si>
  <si>
    <t>COMITÉ DEMENCIA</t>
  </si>
  <si>
    <t>REU_162</t>
  </si>
  <si>
    <t>PSM - CONSULTORÍA UNIDAD LA MEMORIA (PROGRAMABLE)</t>
  </si>
  <si>
    <t>REU_163</t>
  </si>
  <si>
    <t>PSM - REUNIÓN ENCARGADXS SALUD MENTAL (CENTRAL)</t>
  </si>
  <si>
    <t>REU_164</t>
  </si>
  <si>
    <t>PSM - REUNIÓN ENCARGADXS SALUD MENTAL (CENTRAL) (3 HRS - X12)</t>
  </si>
  <si>
    <t>REU_165</t>
  </si>
  <si>
    <t>REUNION CIRUGIA MENOR</t>
  </si>
  <si>
    <t>REU_166</t>
  </si>
  <si>
    <t>REUNIÓN COMITÉ LACTANCIA</t>
  </si>
  <si>
    <t>REU_167</t>
  </si>
  <si>
    <t>REUNIÓN COMITÉ LACTANCIA ( 2 HRS- X 6)</t>
  </si>
  <si>
    <t>REU_168</t>
  </si>
  <si>
    <t>REUNIÓN COMITÉ PAD (SSVSA)</t>
  </si>
  <si>
    <t>REU_169</t>
  </si>
  <si>
    <t>REUNIÓN CON REFERENTE MEDICO SM (CENTRAL)</t>
  </si>
  <si>
    <t>REU_170</t>
  </si>
  <si>
    <t>REUNIÓN ENCARGADO UAPO</t>
  </si>
  <si>
    <t>REU_171</t>
  </si>
  <si>
    <t>REU_172</t>
  </si>
  <si>
    <t>REUNIÓN ENCARGADO UAPO (CENTRAL) (3 HRS - X4)</t>
  </si>
  <si>
    <t>REU_173</t>
  </si>
  <si>
    <t>REUNIÓN ENCARGADO UAPO (LOCAL) (2 HRS - X6)</t>
  </si>
  <si>
    <t>REU_174</t>
  </si>
  <si>
    <t>REUNIÓN ENCARGADO UAPORINO</t>
  </si>
  <si>
    <t>REU_175</t>
  </si>
  <si>
    <t>REUNIÓN ENCARGADO UAPORINO (CENTRAL)</t>
  </si>
  <si>
    <t>REU_176</t>
  </si>
  <si>
    <t>REUNIÓN ENCARGADO UAPORINO (LOCAL) (2,5 HRS - X10)</t>
  </si>
  <si>
    <t>REU_177</t>
  </si>
  <si>
    <t>REUNION ENCARGADOS SALA RBC</t>
  </si>
  <si>
    <t>REU_178</t>
  </si>
  <si>
    <t>REUNION ENCARGADOS SALA REHABILITACION (CENTRAL)</t>
  </si>
  <si>
    <t>REU_179</t>
  </si>
  <si>
    <t>REUNION ENCARGADOS VIDA SANA (SSVSA)</t>
  </si>
  <si>
    <t>REU_180</t>
  </si>
  <si>
    <t>REUNION ENCARGADOS VIH /ITS</t>
  </si>
  <si>
    <t>REU_181</t>
  </si>
  <si>
    <t>REUNIÓN ENCARGADXS IRA/ERA (CENTRAL)</t>
  </si>
  <si>
    <t>REU_182</t>
  </si>
  <si>
    <t>REUNIÓN ENCARGADXS IRA/ERA (CENTRAL)  (2 HRS - X4 )</t>
  </si>
  <si>
    <t>REU_183</t>
  </si>
  <si>
    <t>REUNIÓN ENCARGADXS IRA/ERA (CENTRAL)  (3 HRS - X4 )</t>
  </si>
  <si>
    <t>REU_184</t>
  </si>
  <si>
    <t>REUNIÓN IRA/ERA LOCAL</t>
  </si>
  <si>
    <t>REU_185</t>
  </si>
  <si>
    <t>REUNIÓN IRA/ERA LOCAL (2 HRS - X12)</t>
  </si>
  <si>
    <t>REU_186</t>
  </si>
  <si>
    <t>REUNIÓN MEDICINAS COMPLEMENTARIAS Y PRACTICAS DE BIENESTAR EN SALUD (CENTRAL)</t>
  </si>
  <si>
    <t>REU_187</t>
  </si>
  <si>
    <t>REUNION MESA REHABILITACIÓN (SALAS RBC) SSVSA</t>
  </si>
  <si>
    <t>REU_188</t>
  </si>
  <si>
    <t>REUNIÓN PAD</t>
  </si>
  <si>
    <t>REU_189</t>
  </si>
  <si>
    <t>REUNIÓN PMAS (CENTRAL)</t>
  </si>
  <si>
    <t>REU_190</t>
  </si>
  <si>
    <t>REUNIÓN PMAS (SSVSA)</t>
  </si>
  <si>
    <t>REU_191</t>
  </si>
  <si>
    <t>REUNIÓN PROGRAMA ADULTO Y ADULTO MAYOR</t>
  </si>
  <si>
    <t>REU_192</t>
  </si>
  <si>
    <t>REUNIÓN PROGRAMA ADULTO Y ADULTO MAYOR (1,5 HR - X12)</t>
  </si>
  <si>
    <t>REU_193</t>
  </si>
  <si>
    <t>REUNIÓN PROGRAMA ADULTO Y ADULTO MAYOR (2 HRS - X6)</t>
  </si>
  <si>
    <t>REU_194</t>
  </si>
  <si>
    <t>REUNIÓN PROGRAMA ADULTO Y ADULTO MAYOR (3 HRS - X10)</t>
  </si>
  <si>
    <t>REU_195</t>
  </si>
  <si>
    <t>REUNIÓN PROGRAMA ADULTO Y ADULTO MAYOR (5 HRS - X6)</t>
  </si>
  <si>
    <t>REU_196</t>
  </si>
  <si>
    <t>REUNIÓN PROGRAMA ODONTOLOGICO</t>
  </si>
  <si>
    <t>REU_197</t>
  </si>
  <si>
    <t>REUNIÓN PROGRAMA ODONTOLOGICO (2 HRS-X 10)</t>
  </si>
  <si>
    <t>REU_198</t>
  </si>
  <si>
    <t>REUNIÓN PROGRAMA ODONTOLOGICO (CENTRAL)</t>
  </si>
  <si>
    <t>REU_199</t>
  </si>
  <si>
    <t>REUNIÓN PROGRAMA ODONTOLOGICO (CENTRAL) (3HRS -X 12)</t>
  </si>
  <si>
    <t>REU_200</t>
  </si>
  <si>
    <t>REUNIÓN PROGRAMA ODONTOLOGICO (SSVSA)</t>
  </si>
  <si>
    <t>REU_201</t>
  </si>
  <si>
    <t>REUNIÓN PROGRAMA ODONTOLOGICO (SSVSA) (9 HRS - X 5)</t>
  </si>
  <si>
    <t>REU_202</t>
  </si>
  <si>
    <t>REUNIÓN PROGRAMA SALUD SEXUAL Y REPRODUCTIVA (CENTRAL)</t>
  </si>
  <si>
    <t>REU_203</t>
  </si>
  <si>
    <t>REUNION SALA RBC</t>
  </si>
  <si>
    <t>REU_204</t>
  </si>
  <si>
    <t>REUNION SALA RBC (1 HR - X 12)</t>
  </si>
  <si>
    <t>REU_205</t>
  </si>
  <si>
    <t>REUNIÓN TECNICA ADMINISTRATIVA SALUD MENTAL EN APS (SSVSA)</t>
  </si>
  <si>
    <t>REU_206</t>
  </si>
  <si>
    <t>REUNIÓN TELECOMITE CPU (SSVSA)</t>
  </si>
  <si>
    <t>REU_207</t>
  </si>
  <si>
    <t>REUNION-CCR</t>
  </si>
  <si>
    <t>REU_208</t>
  </si>
  <si>
    <t>REUNION-CCR (3 HRS-X 12)</t>
  </si>
  <si>
    <t>REU_209</t>
  </si>
  <si>
    <t>REUNIÓN APS - U ( 2 HRS - X 12)</t>
  </si>
  <si>
    <t>REU_210</t>
  </si>
  <si>
    <t>REUNIÓN DE PROGRAMAS ALIMENTARIOS (CENTRAL)</t>
  </si>
  <si>
    <t>REU_211</t>
  </si>
  <si>
    <t xml:space="preserve">REUNIÓN DE PROGRAMAS ALIMENTARIOS( CENTRAL) (3 HRS - X12) </t>
  </si>
  <si>
    <t>REU_212</t>
  </si>
  <si>
    <t>REUNIÓN ENCARGADA TBC (CENTRAL)</t>
  </si>
  <si>
    <t>REU_213</t>
  </si>
  <si>
    <t>REUNIÓN ENCARGADA TBC (CENTRAL) (2 HRS - X4 )</t>
  </si>
  <si>
    <t>REU_214</t>
  </si>
  <si>
    <t>REUNIÓN ENCARGADOS TBC</t>
  </si>
  <si>
    <t>REU_215</t>
  </si>
  <si>
    <t>REUNIÓN ENCARGADXS COMITE DE LACTANCIA (CENTRAL)</t>
  </si>
  <si>
    <t>REU_216</t>
  </si>
  <si>
    <t>REUNIÓN ENCARGADXS COMITE DE LACTANCIA (SSVSA)</t>
  </si>
  <si>
    <t>REU_217</t>
  </si>
  <si>
    <t>REUNIÓN ENCARGADXS VIGEP</t>
  </si>
  <si>
    <t>REU_218</t>
  </si>
  <si>
    <t>REUNIÓN ENCARGADXS VIGEP (SEREMI)</t>
  </si>
  <si>
    <t>REU_219</t>
  </si>
  <si>
    <t>REUNIÓN ENCARGADXS VIGEP (SSVSA)</t>
  </si>
  <si>
    <t>REU_220</t>
  </si>
  <si>
    <t>REUNIÓN PNI</t>
  </si>
  <si>
    <t>REU_221</t>
  </si>
  <si>
    <t>REUNIÓN PNI (CENTRAL)</t>
  </si>
  <si>
    <t>REU_222</t>
  </si>
  <si>
    <t>REUNIÓN PNI (SSVSA)</t>
  </si>
  <si>
    <t>REU_223</t>
  </si>
  <si>
    <t>REUNIÓN PROCET ( 2 HRS - X 2)</t>
  </si>
  <si>
    <t>REU_224</t>
  </si>
  <si>
    <t>REUNIÓN TBC</t>
  </si>
  <si>
    <t>REU_225</t>
  </si>
  <si>
    <t>REUNIÓN TBC (1,5 HRS - X 12)</t>
  </si>
  <si>
    <t>REU_226</t>
  </si>
  <si>
    <t>SIGGES (SSVSA)</t>
  </si>
  <si>
    <t>REU_227</t>
  </si>
  <si>
    <t>REUNIÓN COMITE SATISFACCION USUARIA (1,5HR - X 12)</t>
  </si>
  <si>
    <t>REU_228</t>
  </si>
  <si>
    <t>REUNIÓN DEL COMITÉ DE FARMACIA (CENTRAL)</t>
  </si>
  <si>
    <t>REU_229</t>
  </si>
  <si>
    <t>REUNIÓN DEL COMITE EMERGENCIA</t>
  </si>
  <si>
    <t>REU_230</t>
  </si>
  <si>
    <t>REUNIÓN DEL COMITE EMERGENCIA (1HR - X 12)</t>
  </si>
  <si>
    <t>REU_231</t>
  </si>
  <si>
    <t>REUNIÓN ENCARGADXS DE SOME (CENTRAL)</t>
  </si>
  <si>
    <t>REU_232</t>
  </si>
  <si>
    <t>REUNIÓN JUNTA CALIFICADORA (4HR - X 12)</t>
  </si>
  <si>
    <t>REU_233</t>
  </si>
  <si>
    <t>REUNIÓN SUPERVISORES ENFERMERIA (CENTRAL)</t>
  </si>
  <si>
    <t>REU_234</t>
  </si>
  <si>
    <t>REUNIÓN EQUIPO MATRONAS (1,5 HRS - X 12)</t>
  </si>
  <si>
    <t>REU_235</t>
  </si>
  <si>
    <t>MONITOR GES (3 HRS X 2)</t>
  </si>
  <si>
    <t>REU_236</t>
  </si>
  <si>
    <t>REUNIÓN COMITE TRANSMISIÓN VERTICAL (SSVSA)</t>
  </si>
  <si>
    <t>REU_237</t>
  </si>
  <si>
    <t>Aplica?</t>
  </si>
  <si>
    <t>DER_001</t>
  </si>
  <si>
    <t>DERECHO FUNCIONARIO</t>
  </si>
  <si>
    <t>COLACION</t>
  </si>
  <si>
    <t>COLACION =  1 DIA/SEMANA</t>
  </si>
  <si>
    <t>DER_002</t>
  </si>
  <si>
    <t>COLACION =  2 DIAS/SEMANA</t>
  </si>
  <si>
    <t>DER_003</t>
  </si>
  <si>
    <t>COLACION =  3 DIAS/SEMANA</t>
  </si>
  <si>
    <t>DER_004</t>
  </si>
  <si>
    <t>COLACION =  4 DIAS/SEMANA</t>
  </si>
  <si>
    <t>DER_005</t>
  </si>
  <si>
    <t>COLACION =  5 DIAS/SEMANA</t>
  </si>
  <si>
    <t>DER_006</t>
  </si>
  <si>
    <t>FUERO ALIMENTACION HIJO</t>
  </si>
  <si>
    <t>FUERO 1 HORA POR DIA (2 DÍAS)</t>
  </si>
  <si>
    <t>DER_007</t>
  </si>
  <si>
    <t>FUERO 1 HORA POR DIA (5 DÍAS)</t>
  </si>
  <si>
    <t>DER_008</t>
  </si>
  <si>
    <t>FUERO 1 HORA POR DIA (5 DÍAS) + 1HORA TRASLADO FUERA DE LA COMUNA</t>
  </si>
  <si>
    <t>DER_009</t>
  </si>
  <si>
    <t>FUERO 1,5 HORA POR DIA (5 DÍAS) ( INCLUYE TRASLADO DENTRO DE LA COMUNA)</t>
  </si>
  <si>
    <t>DER_010</t>
  </si>
  <si>
    <t>FUERO 2 HORAS POR DIA (5 DÍAS)</t>
  </si>
  <si>
    <t>DER_011</t>
  </si>
  <si>
    <t>FUERO 2 HORAS POR DIA (5 DÍAS) +1 HORA DE TRASLADO FUERA DE LA COMUNA</t>
  </si>
  <si>
    <t>DER_012</t>
  </si>
  <si>
    <t>FUERO 2,5 HORAS POR DIA (5 DÍAS) INCLUYE TRASLADO DENTRO DE LA COMUNA</t>
  </si>
  <si>
    <t>DER_013</t>
  </si>
  <si>
    <t>GREMIAL</t>
  </si>
  <si>
    <t>DIRIGENTE GREMIAL (11 HRS)</t>
  </si>
  <si>
    <t>DER_014</t>
  </si>
  <si>
    <t>DIRIGENTE GREMIAL (18 HRS)</t>
  </si>
  <si>
    <t>DER_015</t>
  </si>
  <si>
    <t>DIRIGENTE GREMIAL (22)</t>
  </si>
  <si>
    <t>DER_016</t>
  </si>
  <si>
    <t>DIRIGENTE GREMIAL (44)</t>
  </si>
  <si>
    <t>DER_017</t>
  </si>
  <si>
    <t>PAUSA SALUDABLE</t>
  </si>
  <si>
    <t>PAUSA SALUDABLE = 1/SEMANA</t>
  </si>
  <si>
    <t>DER_018</t>
  </si>
  <si>
    <t>PAUSA SALUDABLE = 2/SEMANA</t>
  </si>
  <si>
    <t>DER_019</t>
  </si>
  <si>
    <t>PAUSA SALUDABLE = 3/SEMANA</t>
  </si>
  <si>
    <t>DER_020</t>
  </si>
  <si>
    <t>PAUSA SALUDABLE = 4/SEMANA</t>
  </si>
  <si>
    <t>DER_021</t>
  </si>
  <si>
    <t>PAUSA SALUDABLE = 5/SEMANA</t>
  </si>
  <si>
    <t>DER_022</t>
  </si>
  <si>
    <t>PAUSA SALUDABLE = 5/SEMANA (20  MIN)</t>
  </si>
  <si>
    <t>DER_023</t>
  </si>
  <si>
    <t>PAUSA SALUDABLE = 5/SEMANA (30  MIN)</t>
  </si>
  <si>
    <t>DER_024</t>
  </si>
  <si>
    <t>PAUSA SALUDABLE = 6/SEMANA</t>
  </si>
  <si>
    <t>DER_025</t>
  </si>
  <si>
    <t>TRASLADO</t>
  </si>
  <si>
    <t>TRASLADO (TELETRABAJO) = 30 MIN/SEMANA</t>
  </si>
  <si>
    <t>DER_026</t>
  </si>
  <si>
    <t>TRASLADO (TELETRABAJO) = 4 DIAS/SEMANA</t>
  </si>
  <si>
    <t>DER_027</t>
  </si>
  <si>
    <t>TRASLADO (TELETRABAJO) = 60 MIN/SEMANA</t>
  </si>
  <si>
    <t>DER_028</t>
  </si>
  <si>
    <t>TRASLADO A REUNIÓN CENTRAL</t>
  </si>
  <si>
    <t>DER_029</t>
  </si>
  <si>
    <t>DER_030</t>
  </si>
  <si>
    <t>TRASLADO A REUNIÓN CENTRAL = 30' x 10 veces/año</t>
  </si>
  <si>
    <t>DER_031</t>
  </si>
  <si>
    <t>TRASLADO entre CESFAM = 4 DIAS/SEMANA</t>
  </si>
  <si>
    <t>DER_032</t>
  </si>
  <si>
    <t>TRASLADO RONDAS RURALES (1 HR)</t>
  </si>
  <si>
    <t>DER_033</t>
  </si>
  <si>
    <t>TRASLADO RONDAS RURALES (12 HRS) (más distantes)</t>
  </si>
  <si>
    <t>DER_034</t>
  </si>
  <si>
    <t>TRASLADO RONDAS RURALES (2 HRS)</t>
  </si>
  <si>
    <t>DER_035</t>
  </si>
  <si>
    <t>TRASLADO RONDAS RURALES (3 HRS)</t>
  </si>
  <si>
    <t>DER_036</t>
  </si>
  <si>
    <t>TRASLADO RONDAS RURALES (3,5 HRS) (memos distantes)</t>
  </si>
  <si>
    <t>DER_037</t>
  </si>
  <si>
    <t>DER_038</t>
  </si>
  <si>
    <t>DER_039</t>
  </si>
  <si>
    <t>TRASLADO RONDAS RURALES (4 HRS)</t>
  </si>
  <si>
    <t>DER_040</t>
  </si>
  <si>
    <t>TRASLADO RONDAS RURALES (5 HRS)</t>
  </si>
  <si>
    <t>CATEG</t>
  </si>
  <si>
    <t>ESTAMENTO</t>
  </si>
  <si>
    <t>CARGO</t>
  </si>
  <si>
    <t>CAT_A</t>
  </si>
  <si>
    <t>ODONTOLOGO/A</t>
  </si>
  <si>
    <t>CIRUJANO DENTISTA</t>
  </si>
  <si>
    <t>MEDICO</t>
  </si>
  <si>
    <t>MEDICO CIRUJANO</t>
  </si>
  <si>
    <t>QUIMICO FARMACEUTICO</t>
  </si>
  <si>
    <t>CAT_B</t>
  </si>
  <si>
    <t>TRABAJADOR/A SOCIAL</t>
  </si>
  <si>
    <t>ACOMPAÑAMIENTO PSICOSOCIAL</t>
  </si>
  <si>
    <t>EDUCADORA DE PARVULOS</t>
  </si>
  <si>
    <t>ENFERMERA/O</t>
  </si>
  <si>
    <t>ENFERMERA(O)</t>
  </si>
  <si>
    <t>FONOAUDIOLOGO/A</t>
  </si>
  <si>
    <t>FONOAUDIOLOGA</t>
  </si>
  <si>
    <t>KINESIOLOGA/O</t>
  </si>
  <si>
    <t>MATRON/A</t>
  </si>
  <si>
    <t>NUTRICIONISTA</t>
  </si>
  <si>
    <t>PSICOLOGO/A</t>
  </si>
  <si>
    <t>PSICOLOGA/O</t>
  </si>
  <si>
    <t>CAT_C</t>
  </si>
  <si>
    <t>PODOLOGO/A</t>
  </si>
  <si>
    <t>PODOLOGA</t>
  </si>
  <si>
    <t>TECNICO EN ENFERMERIA</t>
  </si>
  <si>
    <t>TENS</t>
  </si>
  <si>
    <t>TECNICO EN ODONTOLOGIA</t>
  </si>
  <si>
    <t>TONS</t>
  </si>
  <si>
    <t>TECNICO DE FARMACIA</t>
  </si>
  <si>
    <t>TENS FARMACIA</t>
  </si>
  <si>
    <t>TERAPEUTA OCUPACIONAL</t>
  </si>
  <si>
    <t>AGENTE DE MEDICINA INDIGENA</t>
  </si>
  <si>
    <t>FACILITADOR/A INTERCULTURAL</t>
  </si>
  <si>
    <t>GESTOR COMUNITARIO</t>
  </si>
  <si>
    <t>MEDICO OFTALMOLOGIA</t>
  </si>
  <si>
    <t>MEDICO OTORRINOLARINGOLOGIA</t>
  </si>
  <si>
    <t>PROFESIONAL DE ACTIVIDAD FÍSICA</t>
  </si>
  <si>
    <t>TECNOLOGO MEDICO</t>
  </si>
  <si>
    <t>TENS PPAA</t>
  </si>
  <si>
    <t>TECNICO EN TRABAJO SOCIAL</t>
  </si>
  <si>
    <t>TONS (HIGIENISTA DENTAL)</t>
  </si>
  <si>
    <t>https://docs.google.com/spreadsheets/d/19lA0LE3oYFH-slmwUDYo5LWSarmAL4USx1z5iETkhWs/edit?gid=62634374#gid=62634374</t>
  </si>
  <si>
    <t>INCL en GESTION?</t>
  </si>
  <si>
    <t>Incluido en otras Horas Gestión</t>
  </si>
  <si>
    <t>Independiente</t>
  </si>
  <si>
    <t>todos los lunes</t>
  </si>
  <si>
    <t>ESTRATEGIA/PROGRAMA</t>
  </si>
  <si>
    <t>REUNIONES</t>
  </si>
  <si>
    <t>REF_ESTRATEGIA/PROGRAMA</t>
  </si>
  <si>
    <t>TODOS</t>
  </si>
  <si>
    <t>(Seleccionar funcionari@)</t>
  </si>
  <si>
    <t>1er lunes</t>
  </si>
  <si>
    <t>ADULTO Y ADULTO MAYOR (PSCV)</t>
  </si>
  <si>
    <t>GESTION DE PROGRAMA</t>
  </si>
  <si>
    <t>--------------------</t>
  </si>
  <si>
    <t>-------------------</t>
  </si>
  <si>
    <t>1er martes</t>
  </si>
  <si>
    <t>REUNIÓN PROGRAMA ADULTO Y ADULTO MAYOR (DAS)</t>
  </si>
  <si>
    <t>GESTION INTEGRACION EQUIPO</t>
  </si>
  <si>
    <t>1er miércoles</t>
  </si>
  <si>
    <t>CALIDAD</t>
  </si>
  <si>
    <t>DIRIGENTE GREMIAL</t>
  </si>
  <si>
    <t>ENCARGAD@ PROGRAMA CALIDAD</t>
  </si>
  <si>
    <t>1er jueves</t>
  </si>
  <si>
    <t>REUNIÓN COMITÉ CALIDAD (DAS)</t>
  </si>
  <si>
    <t>PROMOCION DE LA SALUD</t>
  </si>
  <si>
    <t>CAPACITACION</t>
  </si>
  <si>
    <t>ENCARGAD@ CAPACITACION</t>
  </si>
  <si>
    <t>1er viernes</t>
  </si>
  <si>
    <t>REUNIÓN COMITE CAPACITACIÓN LOCAL</t>
  </si>
  <si>
    <t>SATISFACCION USUARIA</t>
  </si>
  <si>
    <t>COORDINACION MEDICA</t>
  </si>
  <si>
    <t>CONTRALOR MEDICO</t>
  </si>
  <si>
    <t>2do lunes</t>
  </si>
  <si>
    <t>REUNIÓN COMITÉ DE CAPACITACIÓN (DAS)</t>
  </si>
  <si>
    <t>PARTICIPACION COMUNITARIA</t>
  </si>
  <si>
    <t>COORDINADOR SAPU</t>
  </si>
  <si>
    <t>2do martes</t>
  </si>
  <si>
    <t>CONSULTORIA NEUROLOGÍA PEDIATRICA</t>
  </si>
  <si>
    <t>GESTION CLINICO ADMINISTRATIVA</t>
  </si>
  <si>
    <t>CPHS</t>
  </si>
  <si>
    <t>ENCARGAD@ COORDINADOR SAPU</t>
  </si>
  <si>
    <t>2do miércoles</t>
  </si>
  <si>
    <t>REUNIÓN CON REFERENTE MEDICO SM (DAS)</t>
  </si>
  <si>
    <t>CUIDADOS MUTUOS</t>
  </si>
  <si>
    <t>ENCARGAD@ CPHS</t>
  </si>
  <si>
    <t>2do jueves</t>
  </si>
  <si>
    <t>REUNIÓN DE MÉDICOS CONTRALORES (DAS)</t>
  </si>
  <si>
    <t>PROGRAMA</t>
  </si>
  <si>
    <t>ENCARGAD@ CUIDADOS MUTUOS</t>
  </si>
  <si>
    <t>2do viernes</t>
  </si>
  <si>
    <t>DIFUSIÓN</t>
  </si>
  <si>
    <t>ENCARGAD@ SALUDABLEMENTE</t>
  </si>
  <si>
    <t>3er lunes</t>
  </si>
  <si>
    <t>REUNIÓN EQUIPO MÉDICO CMV (DAS)</t>
  </si>
  <si>
    <t>COMITE</t>
  </si>
  <si>
    <t>DIRECTIVO</t>
  </si>
  <si>
    <t>ENCARGAD@ MIGRANTES</t>
  </si>
  <si>
    <t>3er martes</t>
  </si>
  <si>
    <t>CESFAM</t>
  </si>
  <si>
    <t>ENFERMERÍA</t>
  </si>
  <si>
    <t>ENCARGAD@ OIRS</t>
  </si>
  <si>
    <t>3er miércoles</t>
  </si>
  <si>
    <t>FARMACIA</t>
  </si>
  <si>
    <t>ENCARGAD@ PRAIS</t>
  </si>
  <si>
    <t>3er jueves</t>
  </si>
  <si>
    <t>GES</t>
  </si>
  <si>
    <t>ENCARGAD@ PUEBLOS ORIGINARIOS</t>
  </si>
  <si>
    <t>3er viernes</t>
  </si>
  <si>
    <t>REUNIÓN ENCARGADXS OIRS (DAS)</t>
  </si>
  <si>
    <t>GESTION DE REGISTROS</t>
  </si>
  <si>
    <t>ENCARGAD@ DIFUSIÓN **</t>
  </si>
  <si>
    <t>4to lunes</t>
  </si>
  <si>
    <t>REUNIÓN OIRS - CESFAM</t>
  </si>
  <si>
    <t>GESTION DEMANDA</t>
  </si>
  <si>
    <t>ENCARGAD@ SOME</t>
  </si>
  <si>
    <t>4to martes</t>
  </si>
  <si>
    <t>SUBDIRECCION</t>
  </si>
  <si>
    <t>4to miércoles</t>
  </si>
  <si>
    <t>ENFERMERO/A SUPERVISOR/A</t>
  </si>
  <si>
    <t>4to jueves</t>
  </si>
  <si>
    <t>REUNIÓN DEL COMITÉ DE FARMACIA  (DAS)</t>
  </si>
  <si>
    <t>INFANCIA - ADOLESCENCIA - CHCC</t>
  </si>
  <si>
    <t>ENCARGAD@ BOTIQUIN FARMACIA</t>
  </si>
  <si>
    <t>4to viernes</t>
  </si>
  <si>
    <t>LACTANCIA MATERNA</t>
  </si>
  <si>
    <t>ENCARGAD@ COMITE FARMACIA</t>
  </si>
  <si>
    <t>REUNIÓN APRUSAM</t>
  </si>
  <si>
    <t>MATRON/A CONTRALOR</t>
  </si>
  <si>
    <t>ENCARGAD@ GES</t>
  </si>
  <si>
    <t>REUNIÓN DELEGADOS APRUSAM  (DAS)</t>
  </si>
  <si>
    <t>MEDICINAS COMPLEMENTARIAS</t>
  </si>
  <si>
    <t xml:space="preserve">PRECONSULTORÍA INFANTO-JUVENIL SM </t>
  </si>
  <si>
    <t>NUTRICION</t>
  </si>
  <si>
    <t>REUNIÓN CHCC, INFANCIA Y ADOLESCENCIA (DAS)</t>
  </si>
  <si>
    <t>ODONTOLOGICO</t>
  </si>
  <si>
    <t>REUNIÓN INFANCIA</t>
  </si>
  <si>
    <t>REUNIÓN SALA DE ESTIMULACIÓN</t>
  </si>
  <si>
    <t>PROGRAMA DEPENDENCIA SEVERA Y CPNO</t>
  </si>
  <si>
    <t>REUNIÓN SUPERVISORES ENFERMERIA (DAS)</t>
  </si>
  <si>
    <t>PROGRAMACION</t>
  </si>
  <si>
    <t>ENCARGAD@ SECTORIALISTA SECTOR 1</t>
  </si>
  <si>
    <t>PROGRAMAS ALIMENTARIOS</t>
  </si>
  <si>
    <t>ENCARGAD@ SECTORIALISTA SECTOR 2</t>
  </si>
  <si>
    <t>REUNIÓN ENCARGADXS COMITÉ DE LACTANCIA (DAS)</t>
  </si>
  <si>
    <t>REUNIÓN NUTRICION</t>
  </si>
  <si>
    <t>REHABILITACION</t>
  </si>
  <si>
    <t>REFERENTES MEDICINA COMPLEMENTARIAS</t>
  </si>
  <si>
    <t>REUNIÓN DENTAL</t>
  </si>
  <si>
    <t>RESOLUTIVIDAD</t>
  </si>
  <si>
    <t>ENCARGAD@ NUTRICION</t>
  </si>
  <si>
    <t>RESPIRATORIO</t>
  </si>
  <si>
    <t>CONTRALOR SALUD ORAL</t>
  </si>
  <si>
    <t>REUNIÓN JPO (DAS)</t>
  </si>
  <si>
    <t>SALUD FAMILIAR</t>
  </si>
  <si>
    <t>ENCARGAD@ PROGRAMA ODONTOLOGICO</t>
  </si>
  <si>
    <t>SALUD MENTAL</t>
  </si>
  <si>
    <t>ENCARGAD@ GESTOR COMUNITARIO</t>
  </si>
  <si>
    <t>REUNIÓN ENCARGADXS PYP (DAS)</t>
  </si>
  <si>
    <t>ENCARGAD@ PYP</t>
  </si>
  <si>
    <t>REUNIÓN PYP CESFAM</t>
  </si>
  <si>
    <t>SALUD SEXUAL Y REPRODUCTIVA</t>
  </si>
  <si>
    <t>ENCARGAD@ PROGRAMA DEPENDENCIA SEVERA Y CPNO</t>
  </si>
  <si>
    <t>REUNIÓN REFERENTE DE MIGRANTES (DAS)</t>
  </si>
  <si>
    <t>SALUDABLEMENTE</t>
  </si>
  <si>
    <t>ENCARGAD@ PROGRAMACION</t>
  </si>
  <si>
    <t>REUNIÓN COMITÉ PAD (DAS)</t>
  </si>
  <si>
    <t>SOME</t>
  </si>
  <si>
    <t>ENCARGAD@ PROGRAMA AYUDAS TECNICAS</t>
  </si>
  <si>
    <t>REUNIÓN PMAS (DAS)</t>
  </si>
  <si>
    <t>ENCARGAD@ PROGRAMA REHABILITACION</t>
  </si>
  <si>
    <t>REUNIÓN ENCARGADXS IRA/ERA (DAS)</t>
  </si>
  <si>
    <t>TRABAJO SOCIAL</t>
  </si>
  <si>
    <t>ENCARGAD@ GESTION DEMANDA</t>
  </si>
  <si>
    <t>ENCARGAD@ HOSPITAL DIGITAL</t>
  </si>
  <si>
    <t>ENCARGAD@ PROGRAMA RESPIRATORIO ERA</t>
  </si>
  <si>
    <t>ENCARGAD@ PROGRAMA RESPIRATORIO IRA</t>
  </si>
  <si>
    <t>REUNIÓN CON ENCARGADXS ECICEP EN CESFAM (DAS)</t>
  </si>
  <si>
    <t>ENCARGAD@ ECICEP</t>
  </si>
  <si>
    <t>REUNIÓN ENCARGADXS ECICEP (DAS)</t>
  </si>
  <si>
    <t>JEFE SECTOR 1</t>
  </si>
  <si>
    <t>JEFE SECTOR 2</t>
  </si>
  <si>
    <t>ENCARGAD@ DUPLA PSICOSOCIAL COMSE **</t>
  </si>
  <si>
    <t>ENCARGAD@ PROGRAMA SALUD MENTAL</t>
  </si>
  <si>
    <t>ENCARGAD@ PNI</t>
  </si>
  <si>
    <t>ENCARGAD@ PPAA (PNAC-PACAM)</t>
  </si>
  <si>
    <t>ENCARGAD@ PROGRAMA TBC</t>
  </si>
  <si>
    <t>CONSULTORÍA ADULTO HDS (PROGRAMABLE)</t>
  </si>
  <si>
    <t>ENCARGAD@ VIGEP</t>
  </si>
  <si>
    <t>CONSULTORÍA API (PROGRAMABLE)</t>
  </si>
  <si>
    <t>CONTRALOR SALUD SEXUAL Y REPRODUCTIVA</t>
  </si>
  <si>
    <t>CONSULTORÍA UNIDAD LA MEMORIA (PROGRAMABLE)</t>
  </si>
  <si>
    <t>ENCARGAD@ PROGRAMA SALUD SEXUAL Y REPRODUCTIVA</t>
  </si>
  <si>
    <t>PRECONSULTORÍA ADULTO</t>
  </si>
  <si>
    <t>ENCARGAD@ TRASMISION VERTICAL (VIH)/ITS/Chagas/Hepatitis</t>
  </si>
  <si>
    <t>REUNIÓN ENCARGADXS PSM (DAS)</t>
  </si>
  <si>
    <t>ENCARGAD@ TRABAJO SOCIAL</t>
  </si>
  <si>
    <t>REUNIÓN EQUIPO SALUD MENTAL</t>
  </si>
  <si>
    <t>REUNIÓN PSICOSOCIAL</t>
  </si>
  <si>
    <t>REUNIÓN DE PROGRAMAS ALIMENTARIOS (DAS)</t>
  </si>
  <si>
    <t>REUNIÓN ENCARGADA TBC (DAS)</t>
  </si>
  <si>
    <t>REUNIÓN PNI (DAS)</t>
  </si>
  <si>
    <t>REUNIÓN TBC BIMENSUAL (enero, marzo, mayo, julio, septiembre, noviembre y diciembre) + REUNIÓN TBC SERVICIO (30/08; 22/11 Y 27/12)</t>
  </si>
  <si>
    <t>REUNIÓN PROGRAMA DE LA MUJER (DAS)</t>
  </si>
  <si>
    <t>REUNIÓN ENCARGADXS DE SOME (DAS)</t>
  </si>
  <si>
    <t>REUNIÓN UNIDAD DE SOME</t>
  </si>
  <si>
    <t>REUNIÓN  EQUIPO TRABAJO SOCIAL</t>
  </si>
  <si>
    <t>Valores tiempo (duración) según formato:</t>
  </si>
  <si>
    <t>Ejemplos HORAS REUNION:</t>
  </si>
  <si>
    <t>Valor HORA</t>
  </si>
  <si>
    <t>Valor NUMERICO</t>
  </si>
  <si>
    <t>HORAS año</t>
  </si>
  <si>
    <t>TIEMPO SEMANA (*)</t>
  </si>
  <si>
    <t>=H5*24</t>
  </si>
  <si>
    <t>=J5*I5</t>
  </si>
  <si>
    <t>=K5/40</t>
  </si>
  <si>
    <t>(*) HORAS año / 40 semanas</t>
  </si>
  <si>
    <t>APLICA??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</si>
</sst>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);[Red](#,##0.00)"/>
    <numFmt numFmtId="165" formatCode="h&quot;:&quot;mm"/>
    <numFmt numFmtId="166" formatCode="0.0"/>
  </numFmts>
  <fonts count="45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Roboto"/>
    </font>
    <font>
      <b/>
      <sz val="16.0"/>
      <color rgb="FFF3F3F3"/>
      <name val="Roboto"/>
    </font>
    <font>
      <u/>
      <color rgb="FF0000FF"/>
    </font>
    <font>
      <b/>
      <sz val="12.0"/>
      <color theme="1"/>
      <name val="Arial"/>
    </font>
    <font>
      <b/>
      <sz val="12.0"/>
      <color rgb="FFFFFFFF"/>
      <name val="Roboto"/>
    </font>
    <font>
      <color theme="1"/>
      <name val="Arial"/>
    </font>
    <font>
      <color theme="1"/>
      <name val="Arial"/>
      <scheme val="minor"/>
    </font>
    <font>
      <sz val="9.0"/>
      <color theme="1"/>
      <name val="Roboto"/>
    </font>
    <font>
      <sz val="11.0"/>
      <color theme="1"/>
      <name val="Roboto"/>
    </font>
    <font>
      <sz val="11.0"/>
      <color theme="1"/>
      <name val="Arial"/>
    </font>
    <font>
      <sz val="5.0"/>
      <color theme="1"/>
      <name val="Roboto"/>
    </font>
    <font>
      <sz val="11.0"/>
      <color rgb="FF3C4043"/>
      <name val="Roboto"/>
    </font>
    <font>
      <color rgb="FFFFFFFF"/>
      <name val="Arial"/>
    </font>
    <font>
      <b/>
      <color theme="1"/>
      <name val="Arial"/>
    </font>
    <font>
      <u/>
      <color rgb="FF0000FF"/>
    </font>
    <font>
      <b/>
      <sz val="17.0"/>
      <color rgb="FFFFFFFF"/>
      <name val="Calibri"/>
    </font>
    <font>
      <b/>
      <sz val="17.0"/>
      <color theme="1"/>
      <name val="Calibri"/>
    </font>
    <font>
      <color theme="1"/>
      <name val="Calibri"/>
    </font>
    <font>
      <b/>
      <sz val="11.0"/>
      <color rgb="FF45818E"/>
      <name val="Calibri"/>
    </font>
    <font>
      <b/>
      <sz val="11.0"/>
      <color rgb="FFE06666"/>
      <name val="Calibri"/>
    </font>
    <font>
      <b/>
      <sz val="11.0"/>
      <color rgb="FFFFFFFF"/>
      <name val="Calibri"/>
    </font>
    <font>
      <sz val="8.0"/>
      <color theme="1"/>
      <name val="Calibri"/>
    </font>
    <font>
      <sz val="8.0"/>
      <color theme="1"/>
      <name val="Arial"/>
    </font>
    <font>
      <sz val="12.0"/>
      <color rgb="FFFFFFFF"/>
      <name val="Roboto"/>
    </font>
    <font>
      <sz val="17.0"/>
      <color rgb="FFFFFFFF"/>
      <name val="Roboto"/>
    </font>
    <font>
      <b/>
      <sz val="19.0"/>
      <color rgb="FFFFFFFF"/>
      <name val="Roboto"/>
    </font>
    <font/>
    <font>
      <b/>
      <sz val="17.0"/>
      <color rgb="FFFFFFFF"/>
      <name val="Roboto"/>
    </font>
    <font>
      <sz val="15.0"/>
      <color rgb="FFFFFFFF"/>
      <name val="Roboto"/>
    </font>
    <font>
      <b/>
      <sz val="11.0"/>
      <color rgb="FFFFFFFF"/>
      <name val="Roboto"/>
    </font>
    <font>
      <sz val="11.0"/>
      <color rgb="FFFFFFFF"/>
      <name val="Roboto"/>
    </font>
    <font>
      <sz val="11.0"/>
      <color rgb="FFCC0000"/>
      <name val="Roboto"/>
    </font>
    <font>
      <b/>
      <sz val="11.0"/>
      <color rgb="FFCC0000"/>
      <name val="Roboto"/>
    </font>
    <font>
      <i/>
      <sz val="11.0"/>
      <color rgb="FFCC0000"/>
      <name val="Roboto"/>
    </font>
    <font>
      <b/>
      <sz val="14.0"/>
      <color rgb="FFFFFFFF"/>
      <name val="Roboto"/>
    </font>
    <font>
      <sz val="12.0"/>
      <color rgb="FF0C343D"/>
      <name val="Roboto"/>
    </font>
    <font>
      <b/>
      <sz val="12.0"/>
      <color rgb="FF434343"/>
      <name val="Roboto"/>
    </font>
    <font>
      <sz val="12.0"/>
      <color rgb="FF434343"/>
      <name val="Roboto"/>
    </font>
    <font>
      <sz val="14.0"/>
      <color rgb="FFFFFFFF"/>
      <name val="Roboto"/>
    </font>
    <font>
      <color rgb="FF434343"/>
      <name val="Arial"/>
    </font>
    <font>
      <sz val="4.0"/>
      <color theme="1"/>
      <name val="Roboto"/>
    </font>
    <font>
      <b/>
      <sz val="11.0"/>
      <color theme="1"/>
      <name val="Roboto"/>
    </font>
    <font>
      <sz val="8.0"/>
      <color theme="1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rgb="FF073763"/>
        <bgColor rgb="FF07376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4A757B"/>
        <bgColor rgb="FF4A757B"/>
      </patternFill>
    </fill>
    <fill>
      <patternFill patternType="solid">
        <fgColor rgb="FF134F5C"/>
        <bgColor rgb="FF134F5C"/>
      </patternFill>
    </fill>
    <fill>
      <patternFill patternType="solid">
        <fgColor rgb="FF243C3F"/>
        <bgColor rgb="FF243C3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FFFF00"/>
      </patternFill>
    </fill>
  </fills>
  <borders count="39">
    <border/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999999"/>
      </left>
      <right style="hair">
        <color rgb="FF999999"/>
      </right>
      <bottom style="hair">
        <color rgb="FF999999"/>
      </bottom>
    </border>
    <border>
      <left style="thick">
        <color rgb="FFFF0000"/>
      </left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thick">
        <color rgb="FF134F5C"/>
      </left>
      <top style="thick">
        <color rgb="FF134F5C"/>
      </top>
      <bottom style="hair">
        <color rgb="FF999999"/>
      </bottom>
    </border>
    <border>
      <right style="thick">
        <color rgb="FF134F5C"/>
      </right>
      <top style="thick">
        <color rgb="FF134F5C"/>
      </top>
      <bottom style="hair">
        <color rgb="FF999999"/>
      </bottom>
    </border>
    <border>
      <left style="thick">
        <color rgb="FF134F5C"/>
      </left>
      <right style="thin">
        <color rgb="FFD9D9D9"/>
      </right>
      <top style="hair">
        <color rgb="FF999999"/>
      </top>
      <bottom style="thin">
        <color rgb="FFD9D9D9"/>
      </bottom>
    </border>
    <border>
      <left style="thin">
        <color rgb="FFD9D9D9"/>
      </left>
      <right style="thick">
        <color rgb="FF134F5C"/>
      </right>
      <top style="hair">
        <color rgb="FF99999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ck">
        <color rgb="FF134F5C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ck">
        <color rgb="FF134F5C"/>
      </right>
      <bottom style="thin">
        <color rgb="FFD9D9D9"/>
      </bottom>
    </border>
    <border>
      <left style="thick">
        <color rgb="FF666666"/>
      </left>
      <right style="thin">
        <color rgb="FFD9D9D9"/>
      </right>
      <top style="thick">
        <color rgb="FF666666"/>
      </top>
      <bottom style="thick">
        <color rgb="FF666666"/>
      </bottom>
    </border>
    <border>
      <left style="thin">
        <color rgb="FFD9D9D9"/>
      </left>
      <right style="thin">
        <color rgb="FFD9D9D9"/>
      </right>
      <top style="thick">
        <color rgb="FF666666"/>
      </top>
      <bottom style="thick">
        <color rgb="FF666666"/>
      </bottom>
    </border>
    <border>
      <left style="thin">
        <color rgb="FFD9D9D9"/>
      </left>
      <right style="thick">
        <color rgb="FF666666"/>
      </right>
      <top style="thick">
        <color rgb="FF666666"/>
      </top>
      <bottom style="thick">
        <color rgb="FF666666"/>
      </bottom>
    </border>
    <border>
      <left style="thick">
        <color rgb="FF134F5C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134F5C"/>
      </right>
      <top style="thin">
        <color rgb="FFD9D9D9"/>
      </top>
      <bottom style="thin">
        <color rgb="FFD9D9D9"/>
      </bottom>
    </border>
    <border>
      <left style="thick">
        <color rgb="FF666666"/>
      </left>
      <right style="hair">
        <color rgb="FF666666"/>
      </right>
      <top style="thick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top style="thick">
        <color rgb="FF666666"/>
      </top>
      <bottom style="hair">
        <color rgb="FF666666"/>
      </bottom>
    </border>
    <border>
      <left style="hair">
        <color rgb="FF666666"/>
      </left>
      <right style="thick">
        <color rgb="FF666666"/>
      </right>
      <top style="thick">
        <color rgb="FF666666"/>
      </top>
      <bottom style="hair">
        <color rgb="FF666666"/>
      </bottom>
    </border>
    <border>
      <left style="thick">
        <color rgb="FF666666"/>
      </left>
      <right style="hair">
        <color rgb="FF666666"/>
      </right>
      <top style="hair">
        <color rgb="FF666666"/>
      </top>
    </border>
    <border>
      <left style="hair">
        <color rgb="FF666666"/>
      </left>
      <right style="hair">
        <color rgb="FF666666"/>
      </right>
      <top style="hair">
        <color rgb="FF666666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thick">
        <color rgb="FF666666"/>
      </bottom>
    </border>
    <border>
      <left style="hair">
        <color rgb="FF666666"/>
      </left>
      <right style="thick">
        <color rgb="FF666666"/>
      </right>
      <top style="hair">
        <color rgb="FF666666"/>
      </top>
    </border>
    <border>
      <left style="thick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thick">
        <color rgb="FF666666"/>
      </right>
      <top style="hair">
        <color rgb="FF666666"/>
      </top>
      <bottom style="hair">
        <color rgb="FF666666"/>
      </bottom>
    </border>
    <border>
      <left style="thick">
        <color rgb="FF666666"/>
      </left>
      <right style="hair">
        <color rgb="FF666666"/>
      </right>
      <top style="hair">
        <color rgb="FF666666"/>
      </top>
      <bottom style="thick">
        <color rgb="FF666666"/>
      </bottom>
    </border>
    <border>
      <left style="hair">
        <color rgb="FF666666"/>
      </left>
      <right style="thick">
        <color rgb="FF666666"/>
      </right>
      <top style="hair">
        <color rgb="FF666666"/>
      </top>
      <bottom style="thick">
        <color rgb="FF666666"/>
      </bottom>
    </border>
    <border>
      <left style="thick">
        <color rgb="FF134F5C"/>
      </left>
      <right style="thin">
        <color rgb="FFD9D9D9"/>
      </right>
      <top style="thin">
        <color rgb="FFD9D9D9"/>
      </top>
      <bottom style="thick">
        <color rgb="FF134F5C"/>
      </bottom>
    </border>
    <border>
      <left style="thin">
        <color rgb="FFD9D9D9"/>
      </left>
      <right style="thick">
        <color rgb="FF134F5C"/>
      </right>
      <top style="thin">
        <color rgb="FFD9D9D9"/>
      </top>
      <bottom style="thick">
        <color rgb="FF134F5C"/>
      </bottom>
    </border>
    <border>
      <left style="thick">
        <color rgb="FF78909C"/>
      </left>
      <right style="thick">
        <color rgb="FF78909C"/>
      </right>
      <top style="thick">
        <color rgb="FF78909C"/>
      </top>
      <bottom style="thick">
        <color rgb="FF78909C"/>
      </bottom>
    </border>
    <border>
      <left style="thick">
        <color rgb="FF999999"/>
      </left>
      <right style="thick">
        <color rgb="FF999999"/>
      </right>
      <bottom style="thick">
        <color rgb="FF78909C"/>
      </bottom>
    </border>
    <border>
      <left style="thick">
        <color rgb="FF999999"/>
      </left>
      <right style="thick">
        <color rgb="FF999999"/>
      </right>
    </border>
    <border>
      <left style="hair">
        <color rgb="FF78909C"/>
      </left>
      <right style="hair">
        <color rgb="FF78909C"/>
      </right>
    </border>
    <border>
      <left style="hair">
        <color rgb="FF78909C"/>
      </left>
      <right style="hair">
        <color rgb="FF78909C"/>
      </right>
      <bottom style="hair">
        <color rgb="FF78909C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78909C"/>
      </right>
      <top style="hair">
        <color rgb="FF78909C"/>
      </top>
      <bottom style="hair">
        <color rgb="FF78909C"/>
      </bottom>
    </border>
    <border>
      <left style="hair">
        <color rgb="FF78909C"/>
      </left>
      <right style="hair">
        <color rgb="FF78909C"/>
      </right>
      <top style="hair">
        <color rgb="FF78909C"/>
      </top>
      <bottom style="hair">
        <color rgb="FF78909C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0" fontId="4" numFmtId="0" xfId="0" applyFont="1"/>
    <xf borderId="0" fillId="3" fontId="5" numFmtId="0" xfId="0" applyFill="1" applyFont="1"/>
    <xf borderId="1" fillId="4" fontId="6" numFmtId="0" xfId="0" applyAlignment="1" applyBorder="1" applyFill="1" applyFont="1">
      <alignment horizontal="center" shrinkToFit="0" vertical="center" wrapText="1"/>
    </xf>
    <xf borderId="1" fillId="5" fontId="6" numFmtId="49" xfId="0" applyAlignment="1" applyBorder="1" applyFill="1" applyFont="1" applyNumberFormat="1">
      <alignment horizontal="center" shrinkToFit="0" wrapText="1"/>
    </xf>
    <xf borderId="1" fillId="5" fontId="6" numFmtId="0" xfId="0" applyAlignment="1" applyBorder="1" applyFont="1">
      <alignment horizontal="center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49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1" fillId="6" fontId="6" numFmtId="0" xfId="0" applyAlignment="1" applyBorder="1" applyFill="1" applyFont="1">
      <alignment horizontal="center" shrinkToFit="0" wrapText="1"/>
    </xf>
    <xf borderId="0" fillId="7" fontId="6" numFmtId="0" xfId="0" applyAlignment="1" applyFill="1" applyFont="1">
      <alignment horizontal="center" shrinkToFit="0" wrapText="1"/>
    </xf>
    <xf borderId="0" fillId="7" fontId="6" numFmtId="4" xfId="0" applyAlignment="1" applyFont="1" applyNumberFormat="1">
      <alignment horizontal="center" shrinkToFit="0" wrapText="1"/>
    </xf>
    <xf borderId="0" fillId="0" fontId="7" numFmtId="4" xfId="0" applyAlignment="1" applyFont="1" applyNumberFormat="1">
      <alignment horizontal="center"/>
    </xf>
    <xf borderId="0" fillId="0" fontId="7" numFmtId="0" xfId="0" applyFont="1"/>
    <xf borderId="0" fillId="0" fontId="7" numFmtId="165" xfId="0" applyAlignment="1" applyFont="1" applyNumberFormat="1">
      <alignment readingOrder="0"/>
    </xf>
    <xf borderId="0" fillId="0" fontId="7" numFmtId="3" xfId="0" applyAlignment="1" applyFont="1" applyNumberFormat="1">
      <alignment horizontal="center" readingOrder="0"/>
    </xf>
    <xf borderId="2" fillId="8" fontId="9" numFmtId="46" xfId="0" applyAlignment="1" applyBorder="1" applyFill="1" applyFont="1" applyNumberFormat="1">
      <alignment horizontal="right" shrinkToFit="0" vertical="bottom" wrapText="1"/>
    </xf>
    <xf borderId="2" fillId="8" fontId="9" numFmtId="4" xfId="0" applyAlignment="1" applyBorder="1" applyFont="1" applyNumberFormat="1">
      <alignment horizontal="right" shrinkToFit="0" vertical="bottom" wrapText="1"/>
    </xf>
    <xf borderId="0" fillId="8" fontId="9" numFmtId="4" xfId="0" applyAlignment="1" applyFont="1" applyNumberFormat="1">
      <alignment horizontal="right" shrinkToFit="0" vertical="bottom" wrapText="1"/>
    </xf>
    <xf borderId="0" fillId="8" fontId="10" numFmtId="4" xfId="0" applyAlignment="1" applyFont="1" applyNumberFormat="1">
      <alignment horizontal="center" shrinkToFit="0" vertical="center" wrapText="1"/>
    </xf>
    <xf borderId="2" fillId="9" fontId="9" numFmtId="46" xfId="0" applyAlignment="1" applyBorder="1" applyFill="1" applyFont="1" applyNumberFormat="1">
      <alignment horizontal="right" shrinkToFit="0" vertical="bottom" wrapText="1"/>
    </xf>
    <xf borderId="2" fillId="9" fontId="9" numFmtId="4" xfId="0" applyAlignment="1" applyBorder="1" applyFont="1" applyNumberFormat="1">
      <alignment horizontal="right" shrinkToFit="0" vertical="bottom" wrapText="1"/>
    </xf>
    <xf borderId="0" fillId="10" fontId="2" numFmtId="0" xfId="0" applyAlignment="1" applyFill="1" applyFont="1">
      <alignment readingOrder="0" vertical="bottom"/>
    </xf>
    <xf borderId="0" fillId="10" fontId="2" numFmtId="164" xfId="0" applyAlignment="1" applyFont="1" applyNumberFormat="1">
      <alignment readingOrder="0" vertical="bottom"/>
    </xf>
    <xf borderId="0" fillId="0" fontId="2" numFmtId="4" xfId="0" applyAlignment="1" applyFont="1" applyNumberFormat="1">
      <alignment horizontal="center" vertical="bottom"/>
    </xf>
    <xf borderId="0" fillId="1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10" fontId="2" numFmtId="0" xfId="0" applyAlignment="1" applyFont="1">
      <alignment horizontal="right" vertical="bottom"/>
    </xf>
    <xf borderId="0" fillId="10" fontId="2" numFmtId="165" xfId="0" applyAlignment="1" applyFont="1" applyNumberFormat="1">
      <alignment horizontal="right" readingOrder="0" vertical="bottom"/>
    </xf>
    <xf borderId="0" fillId="10" fontId="2" numFmtId="3" xfId="0" applyAlignment="1" applyFont="1" applyNumberFormat="1">
      <alignment horizontal="center" readingOrder="0" vertical="bottom"/>
    </xf>
    <xf borderId="2" fillId="10" fontId="9" numFmtId="46" xfId="0" applyAlignment="1" applyBorder="1" applyFont="1" applyNumberFormat="1">
      <alignment horizontal="right" shrinkToFit="0" vertical="bottom" wrapText="1"/>
    </xf>
    <xf borderId="2" fillId="10" fontId="9" numFmtId="4" xfId="0" applyAlignment="1" applyBorder="1" applyFont="1" applyNumberFormat="1">
      <alignment horizontal="right" shrinkToFit="0" vertical="bottom" wrapText="1"/>
    </xf>
    <xf borderId="2" fillId="10" fontId="2" numFmtId="4" xfId="0" applyAlignment="1" applyBorder="1" applyFont="1" applyNumberFormat="1">
      <alignment vertical="bottom"/>
    </xf>
    <xf borderId="0" fillId="10" fontId="9" numFmtId="4" xfId="0" applyAlignment="1" applyFont="1" applyNumberFormat="1">
      <alignment horizontal="right" shrinkToFit="0" vertical="bottom" wrapText="1"/>
    </xf>
    <xf borderId="0" fillId="10" fontId="10" numFmtId="4" xfId="0" applyAlignment="1" applyFont="1" applyNumberFormat="1">
      <alignment horizontal="center" shrinkToFit="0" vertical="center" wrapText="1"/>
    </xf>
    <xf borderId="0" fillId="0" fontId="7" numFmtId="20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2" fillId="0" fontId="7" numFmtId="0" xfId="0" applyBorder="1" applyFont="1"/>
    <xf borderId="0" fillId="0" fontId="11" numFmtId="0" xfId="0" applyAlignment="1" applyFont="1">
      <alignment horizontal="center" vertical="center"/>
    </xf>
    <xf borderId="2" fillId="8" fontId="12" numFmtId="4" xfId="0" applyAlignment="1" applyBorder="1" applyFont="1" applyNumberFormat="1">
      <alignment horizontal="right" shrinkToFit="0" vertical="bottom" wrapText="1"/>
    </xf>
    <xf borderId="0" fillId="9" fontId="13" numFmtId="164" xfId="0" applyAlignment="1" applyFont="1" applyNumberFormat="1">
      <alignment horizontal="left" readingOrder="0" shrinkToFit="0" wrapText="1"/>
    </xf>
    <xf borderId="0" fillId="8" fontId="9" numFmtId="46" xfId="0" applyAlignment="1" applyFont="1" applyNumberFormat="1">
      <alignment horizontal="right" shrinkToFit="0" vertical="bottom" wrapText="1"/>
    </xf>
    <xf borderId="0" fillId="0" fontId="8" numFmtId="14" xfId="0" applyAlignment="1" applyFont="1" applyNumberFormat="1">
      <alignment readingOrder="0"/>
    </xf>
    <xf borderId="0" fillId="0" fontId="8" numFmtId="4" xfId="0" applyFont="1" applyNumberFormat="1"/>
    <xf borderId="0" fillId="0" fontId="8" numFmtId="0" xfId="0" applyFont="1"/>
    <xf borderId="0" fillId="3" fontId="7" numFmtId="0" xfId="0" applyFont="1"/>
    <xf borderId="0" fillId="3" fontId="7" numFmtId="4" xfId="0" applyAlignment="1" applyFont="1" applyNumberFormat="1">
      <alignment horizontal="center"/>
    </xf>
    <xf borderId="0" fillId="0" fontId="7" numFmtId="4" xfId="0" applyAlignment="1" applyFont="1" applyNumberFormat="1">
      <alignment horizontal="center" readingOrder="0"/>
    </xf>
    <xf borderId="0" fillId="5" fontId="14" numFmtId="0" xfId="0" applyFont="1"/>
    <xf borderId="0" fillId="0" fontId="7" numFmtId="166" xfId="0" applyFont="1" applyNumberFormat="1"/>
    <xf borderId="0" fillId="10" fontId="7" numFmtId="0" xfId="0" applyFont="1"/>
    <xf borderId="0" fillId="0" fontId="7" numFmtId="164" xfId="0" applyFont="1" applyNumberFormat="1"/>
    <xf borderId="0" fillId="0" fontId="1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11" fontId="17" numFmtId="0" xfId="0" applyFill="1" applyFont="1"/>
    <xf borderId="0" fillId="8" fontId="18" numFmtId="0" xfId="0" applyFont="1"/>
    <xf borderId="0" fillId="8" fontId="19" numFmtId="0" xfId="0" applyFont="1"/>
    <xf borderId="0" fillId="8" fontId="20" numFmtId="0" xfId="0" applyFont="1"/>
    <xf borderId="0" fillId="0" fontId="18" numFmtId="0" xfId="0" applyFont="1"/>
    <xf borderId="3" fillId="0" fontId="18" numFmtId="0" xfId="0" applyBorder="1" applyFont="1"/>
    <xf borderId="0" fillId="12" fontId="18" numFmtId="0" xfId="0" applyFill="1" applyFont="1"/>
    <xf borderId="0" fillId="0" fontId="21" numFmtId="0" xfId="0" applyFont="1"/>
    <xf borderId="0" fillId="13" fontId="21" numFmtId="0" xfId="0" applyFill="1" applyFont="1"/>
    <xf borderId="0" fillId="12" fontId="22" numFmtId="0" xfId="0" applyFont="1"/>
    <xf borderId="0" fillId="0" fontId="19" numFmtId="0" xfId="0" applyFont="1"/>
    <xf borderId="4" fillId="0" fontId="19" numFmtId="165" xfId="0" applyBorder="1" applyFont="1" applyNumberFormat="1"/>
    <xf borderId="5" fillId="0" fontId="19" numFmtId="0" xfId="0" applyBorder="1" applyFont="1"/>
    <xf borderId="3" fillId="0" fontId="19" numFmtId="0" xfId="0" applyBorder="1" applyFont="1"/>
    <xf borderId="0" fillId="0" fontId="23" numFmtId="0" xfId="0" applyFont="1"/>
    <xf borderId="4" fillId="0" fontId="19" numFmtId="165" xfId="0" applyBorder="1" applyFont="1" applyNumberFormat="1"/>
    <xf borderId="4" fillId="0" fontId="23" numFmtId="0" xfId="0" applyBorder="1" applyFont="1"/>
    <xf borderId="0" fillId="0" fontId="24" numFmtId="0" xfId="0" applyFont="1"/>
    <xf borderId="0" fillId="0" fontId="25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6" fillId="14" fontId="27" numFmtId="0" xfId="0" applyAlignment="1" applyBorder="1" applyFill="1" applyFont="1">
      <alignment horizontal="left" shrinkToFit="0" vertical="center" wrapText="1"/>
    </xf>
    <xf borderId="7" fillId="0" fontId="28" numFmtId="0" xfId="0" applyBorder="1" applyFont="1"/>
    <xf borderId="0" fillId="14" fontId="29" numFmtId="0" xfId="0" applyAlignment="1" applyFont="1">
      <alignment vertical="center"/>
    </xf>
    <xf borderId="0" fillId="14" fontId="25" numFmtId="0" xfId="0" applyAlignment="1" applyFont="1">
      <alignment horizontal="center" vertical="center"/>
    </xf>
    <xf borderId="0" fillId="0" fontId="30" numFmtId="0" xfId="0" applyAlignment="1" applyFont="1">
      <alignment vertical="center"/>
    </xf>
    <xf borderId="8" fillId="15" fontId="29" numFmtId="0" xfId="0" applyAlignment="1" applyBorder="1" applyFill="1" applyFont="1">
      <alignment horizontal="center" vertical="center"/>
    </xf>
    <xf borderId="9" fillId="15" fontId="29" numFmtId="0" xfId="0" applyAlignment="1" applyBorder="1" applyFont="1">
      <alignment horizontal="center" vertical="center"/>
    </xf>
    <xf borderId="10" fillId="16" fontId="6" numFmtId="0" xfId="0" applyAlignment="1" applyBorder="1" applyFill="1" applyFont="1">
      <alignment horizontal="center" vertical="center"/>
    </xf>
    <xf borderId="10" fillId="16" fontId="6" numFmtId="4" xfId="0" applyAlignment="1" applyBorder="1" applyFont="1" applyNumberFormat="1">
      <alignment horizontal="center" shrinkToFit="0" vertical="center" wrapText="1"/>
    </xf>
    <xf borderId="10" fillId="16" fontId="6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vertical="center"/>
    </xf>
    <xf borderId="11" fillId="14" fontId="31" numFmtId="20" xfId="0" applyAlignment="1" applyBorder="1" applyFont="1" applyNumberFormat="1">
      <alignment horizontal="center" vertical="center"/>
    </xf>
    <xf borderId="12" fillId="14" fontId="31" numFmtId="4" xfId="0" applyAlignment="1" applyBorder="1" applyFont="1" applyNumberFormat="1">
      <alignment horizontal="center" vertical="center"/>
    </xf>
    <xf borderId="0" fillId="0" fontId="32" numFmtId="0" xfId="0" applyAlignment="1" applyFont="1">
      <alignment vertical="center"/>
    </xf>
    <xf borderId="13" fillId="17" fontId="33" numFmtId="165" xfId="0" applyAlignment="1" applyBorder="1" applyFill="1" applyFont="1" applyNumberFormat="1">
      <alignment horizontal="center" shrinkToFit="0" vertical="center" wrapText="1"/>
    </xf>
    <xf borderId="14" fillId="17" fontId="33" numFmtId="165" xfId="0" applyAlignment="1" applyBorder="1" applyFont="1" applyNumberFormat="1">
      <alignment horizontal="center" shrinkToFit="0" vertical="center" wrapText="1"/>
    </xf>
    <xf borderId="14" fillId="17" fontId="34" numFmtId="46" xfId="0" applyAlignment="1" applyBorder="1" applyFont="1" applyNumberFormat="1">
      <alignment horizontal="center" shrinkToFit="0" vertical="center" wrapText="1"/>
    </xf>
    <xf quotePrefix="1" borderId="14" fillId="17" fontId="35" numFmtId="0" xfId="0" applyAlignment="1" applyBorder="1" applyFont="1">
      <alignment horizontal="center" shrinkToFit="0" vertical="center" wrapText="1"/>
    </xf>
    <xf borderId="14" fillId="17" fontId="35" numFmtId="3" xfId="0" applyAlignment="1" applyBorder="1" applyFont="1" applyNumberFormat="1">
      <alignment horizontal="center" shrinkToFit="0" vertical="center" wrapText="1"/>
    </xf>
    <xf quotePrefix="1" borderId="15" fillId="17" fontId="35" numFmtId="0" xfId="0" applyAlignment="1" applyBorder="1" applyFont="1">
      <alignment horizontal="center" shrinkToFit="0" vertical="center" wrapText="1"/>
    </xf>
    <xf borderId="0" fillId="0" fontId="11" numFmtId="0" xfId="0" applyFont="1"/>
    <xf borderId="0" fillId="0" fontId="6" numFmtId="0" xfId="0" applyAlignment="1" applyFont="1">
      <alignment vertical="center"/>
    </xf>
    <xf borderId="16" fillId="14" fontId="36" numFmtId="20" xfId="0" applyAlignment="1" applyBorder="1" applyFont="1" applyNumberFormat="1">
      <alignment horizontal="center" vertical="center"/>
    </xf>
    <xf borderId="17" fillId="14" fontId="36" numFmtId="4" xfId="0" applyAlignment="1" applyBorder="1" applyFont="1" applyNumberFormat="1">
      <alignment horizontal="center" vertical="center"/>
    </xf>
    <xf borderId="18" fillId="9" fontId="37" numFmtId="165" xfId="0" applyAlignment="1" applyBorder="1" applyFont="1" applyNumberFormat="1">
      <alignment horizontal="center" shrinkToFit="0" vertical="center" wrapText="1"/>
    </xf>
    <xf borderId="19" fillId="9" fontId="37" numFmtId="165" xfId="0" applyAlignment="1" applyBorder="1" applyFont="1" applyNumberFormat="1">
      <alignment horizontal="center" shrinkToFit="0" vertical="center" wrapText="1"/>
    </xf>
    <xf borderId="19" fillId="9" fontId="38" numFmtId="46" xfId="0" applyAlignment="1" applyBorder="1" applyFont="1" applyNumberFormat="1">
      <alignment horizontal="center" shrinkToFit="0" vertical="center" wrapText="1"/>
    </xf>
    <xf borderId="19" fillId="9" fontId="37" numFmtId="4" xfId="0" applyAlignment="1" applyBorder="1" applyFont="1" applyNumberFormat="1">
      <alignment horizontal="center" shrinkToFit="0" vertical="center" wrapText="1"/>
    </xf>
    <xf borderId="19" fillId="18" fontId="37" numFmtId="3" xfId="0" applyAlignment="1" applyBorder="1" applyFill="1" applyFont="1" applyNumberFormat="1">
      <alignment horizontal="center" shrinkToFit="0" vertical="center" wrapText="1"/>
    </xf>
    <xf borderId="20" fillId="9" fontId="37" numFmtId="4" xfId="0" applyAlignment="1" applyBorder="1" applyFont="1" applyNumberFormat="1">
      <alignment horizontal="center" shrinkToFit="0" vertical="center" wrapText="1"/>
    </xf>
    <xf borderId="21" fillId="9" fontId="37" numFmtId="165" xfId="0" applyAlignment="1" applyBorder="1" applyFont="1" applyNumberFormat="1">
      <alignment horizontal="center" shrinkToFit="0" vertical="center" wrapText="1"/>
    </xf>
    <xf borderId="22" fillId="9" fontId="37" numFmtId="165" xfId="0" applyAlignment="1" applyBorder="1" applyFont="1" applyNumberFormat="1">
      <alignment horizontal="center" shrinkToFit="0" vertical="center" wrapText="1"/>
    </xf>
    <xf borderId="22" fillId="9" fontId="38" numFmtId="46" xfId="0" applyAlignment="1" applyBorder="1" applyFont="1" applyNumberFormat="1">
      <alignment horizontal="center" shrinkToFit="0" vertical="center" wrapText="1"/>
    </xf>
    <xf borderId="23" fillId="9" fontId="37" numFmtId="4" xfId="0" applyAlignment="1" applyBorder="1" applyFont="1" applyNumberFormat="1">
      <alignment horizontal="center" shrinkToFit="0" vertical="center" wrapText="1"/>
    </xf>
    <xf borderId="22" fillId="18" fontId="37" numFmtId="3" xfId="0" applyAlignment="1" applyBorder="1" applyFont="1" applyNumberFormat="1">
      <alignment horizontal="center" shrinkToFit="0" vertical="center" wrapText="1"/>
    </xf>
    <xf borderId="22" fillId="9" fontId="37" numFmtId="4" xfId="0" applyAlignment="1" applyBorder="1" applyFont="1" applyNumberFormat="1">
      <alignment horizontal="center" shrinkToFit="0" vertical="center" wrapText="1"/>
    </xf>
    <xf borderId="24" fillId="9" fontId="37" numFmtId="4" xfId="0" applyAlignment="1" applyBorder="1" applyFont="1" applyNumberFormat="1">
      <alignment horizontal="center" shrinkToFit="0" vertical="center" wrapText="1"/>
    </xf>
    <xf borderId="19" fillId="8" fontId="37" numFmtId="3" xfId="0" applyAlignment="1" applyBorder="1" applyFont="1" applyNumberFormat="1">
      <alignment horizontal="center" shrinkToFit="0" vertical="center" wrapText="1"/>
    </xf>
    <xf borderId="25" fillId="9" fontId="37" numFmtId="165" xfId="0" applyAlignment="1" applyBorder="1" applyFont="1" applyNumberFormat="1">
      <alignment horizontal="center" shrinkToFit="0" vertical="center" wrapText="1"/>
    </xf>
    <xf borderId="1" fillId="9" fontId="37" numFmtId="165" xfId="0" applyAlignment="1" applyBorder="1" applyFont="1" applyNumberFormat="1">
      <alignment horizontal="center" shrinkToFit="0" vertical="center" wrapText="1"/>
    </xf>
    <xf borderId="1" fillId="9" fontId="38" numFmtId="46" xfId="0" applyAlignment="1" applyBorder="1" applyFont="1" applyNumberFormat="1">
      <alignment horizontal="center" shrinkToFit="0" vertical="center" wrapText="1"/>
    </xf>
    <xf borderId="1" fillId="9" fontId="37" numFmtId="4" xfId="0" applyAlignment="1" applyBorder="1" applyFont="1" applyNumberFormat="1">
      <alignment horizontal="center" shrinkToFit="0" vertical="center" wrapText="1"/>
    </xf>
    <xf borderId="1" fillId="8" fontId="37" numFmtId="3" xfId="0" applyAlignment="1" applyBorder="1" applyFont="1" applyNumberFormat="1">
      <alignment horizontal="center" shrinkToFit="0" vertical="center" wrapText="1"/>
    </xf>
    <xf borderId="26" fillId="9" fontId="37" numFmtId="4" xfId="0" applyAlignment="1" applyBorder="1" applyFont="1" applyNumberFormat="1">
      <alignment horizontal="center" shrinkToFit="0" vertical="center" wrapText="1"/>
    </xf>
    <xf borderId="27" fillId="9" fontId="37" numFmtId="165" xfId="0" applyAlignment="1" applyBorder="1" applyFont="1" applyNumberFormat="1">
      <alignment horizontal="center" shrinkToFit="0" vertical="center" wrapText="1"/>
    </xf>
    <xf borderId="23" fillId="9" fontId="37" numFmtId="165" xfId="0" applyAlignment="1" applyBorder="1" applyFont="1" applyNumberFormat="1">
      <alignment horizontal="center" shrinkToFit="0" vertical="center" wrapText="1"/>
    </xf>
    <xf borderId="23" fillId="9" fontId="38" numFmtId="46" xfId="0" applyAlignment="1" applyBorder="1" applyFont="1" applyNumberFormat="1">
      <alignment horizontal="center" shrinkToFit="0" vertical="center" wrapText="1"/>
    </xf>
    <xf borderId="23" fillId="8" fontId="37" numFmtId="3" xfId="0" applyAlignment="1" applyBorder="1" applyFont="1" applyNumberFormat="1">
      <alignment horizontal="center" shrinkToFit="0" vertical="center" wrapText="1"/>
    </xf>
    <xf borderId="28" fillId="9" fontId="37" numFmtId="4" xfId="0" applyAlignment="1" applyBorder="1" applyFont="1" applyNumberFormat="1">
      <alignment horizontal="center" shrinkToFit="0" vertical="center" wrapText="1"/>
    </xf>
    <xf borderId="29" fillId="14" fontId="36" numFmtId="20" xfId="0" applyAlignment="1" applyBorder="1" applyFont="1" applyNumberFormat="1">
      <alignment horizontal="center" vertical="center"/>
    </xf>
    <xf borderId="30" fillId="14" fontId="36" numFmtId="4" xfId="0" applyAlignment="1" applyBorder="1" applyFont="1" applyNumberFormat="1">
      <alignment horizontal="center" vertical="center"/>
    </xf>
    <xf borderId="0" fillId="0" fontId="39" numFmtId="0" xfId="0" applyAlignment="1" applyFont="1">
      <alignment horizontal="center" vertical="center"/>
    </xf>
    <xf quotePrefix="1" borderId="0" fillId="0" fontId="39" numFmtId="0" xfId="0" applyAlignment="1" applyFont="1">
      <alignment horizontal="right" vertical="center"/>
    </xf>
    <xf borderId="0" fillId="0" fontId="40" numFmtId="0" xfId="0" applyAlignment="1" applyFont="1">
      <alignment horizontal="center" vertical="center"/>
    </xf>
    <xf borderId="0" fillId="0" fontId="39" numFmtId="0" xfId="0" applyAlignment="1" applyFont="1">
      <alignment vertical="center"/>
    </xf>
    <xf borderId="0" fillId="0" fontId="41" numFmtId="0" xfId="0" applyFont="1"/>
    <xf borderId="31" fillId="4" fontId="6" numFmtId="0" xfId="0" applyAlignment="1" applyBorder="1" applyFont="1">
      <alignment horizontal="center" shrinkToFit="0" vertical="center" wrapText="1"/>
    </xf>
    <xf borderId="31" fillId="4" fontId="6" numFmtId="0" xfId="0" applyAlignment="1" applyBorder="1" applyFont="1">
      <alignment horizontal="left" shrinkToFit="0" vertical="center" wrapText="1"/>
    </xf>
    <xf borderId="0" fillId="4" fontId="6" numFmtId="0" xfId="0" applyAlignment="1" applyFont="1">
      <alignment horizontal="center" shrinkToFit="0" vertical="center" wrapText="1"/>
    </xf>
    <xf borderId="32" fillId="19" fontId="42" numFmtId="0" xfId="0" applyAlignment="1" applyBorder="1" applyFill="1" applyFont="1">
      <alignment shrinkToFit="0" vertical="top" wrapText="1"/>
    </xf>
    <xf borderId="33" fillId="19" fontId="43" numFmtId="0" xfId="0" applyAlignment="1" applyBorder="1" applyFont="1">
      <alignment shrinkToFit="0" vertical="top" wrapText="1"/>
    </xf>
    <xf borderId="34" fillId="20" fontId="44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35" fillId="0" fontId="44" numFmtId="0" xfId="0" applyAlignment="1" applyBorder="1" applyFont="1">
      <alignment shrinkToFit="0" vertical="center" wrapText="1"/>
    </xf>
    <xf borderId="35" fillId="0" fontId="9" numFmtId="0" xfId="0" applyAlignment="1" applyBorder="1" applyFont="1">
      <alignment horizontal="left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44" numFmtId="0" xfId="0" applyAlignment="1" applyFont="1">
      <alignment shrinkToFit="0" vertical="center" wrapText="1"/>
    </xf>
    <xf borderId="0" fillId="19" fontId="42" numFmtId="0" xfId="0" applyAlignment="1" applyFont="1">
      <alignment shrinkToFit="0" wrapText="1"/>
    </xf>
    <xf borderId="33" fillId="19" fontId="44" numFmtId="0" xfId="0" applyAlignment="1" applyBorder="1" applyFont="1">
      <alignment shrinkToFit="0" vertical="center" wrapText="1"/>
    </xf>
    <xf borderId="36" fillId="0" fontId="44" numFmtId="0" xfId="0" applyAlignment="1" applyBorder="1" applyFont="1">
      <alignment horizontal="center" shrinkToFit="0" vertical="center" wrapText="1"/>
    </xf>
    <xf borderId="37" fillId="0" fontId="44" numFmtId="0" xfId="0" applyAlignment="1" applyBorder="1" applyFont="1">
      <alignment horizontal="left" shrinkToFit="0" vertical="center" wrapText="1"/>
    </xf>
    <xf borderId="38" fillId="0" fontId="44" numFmtId="0" xfId="0" applyAlignment="1" applyBorder="1" applyFont="1">
      <alignment shrinkToFit="0" vertical="center" wrapText="1"/>
    </xf>
    <xf borderId="38" fillId="0" fontId="9" numFmtId="0" xfId="0" applyAlignment="1" applyBorder="1" applyFont="1">
      <alignment horizontal="left" shrinkToFit="0" vertical="center" wrapText="1"/>
    </xf>
    <xf borderId="38" fillId="0" fontId="44" numFmtId="164" xfId="0" applyAlignment="1" applyBorder="1" applyFont="1" applyNumberFormat="1">
      <alignment horizontal="center" shrinkToFit="0" vertical="center" wrapText="1"/>
    </xf>
    <xf borderId="38" fillId="0" fontId="44" numFmtId="4" xfId="0" applyAlignment="1" applyBorder="1" applyFont="1" applyNumberFormat="1">
      <alignment horizontal="center" shrinkToFit="0" vertical="center" wrapText="1"/>
    </xf>
    <xf borderId="38" fillId="0" fontId="9" numFmtId="164" xfId="0" applyAlignment="1" applyBorder="1" applyFont="1" applyNumberFormat="1">
      <alignment horizontal="left" shrinkToFit="0" vertical="center" wrapText="1"/>
    </xf>
    <xf borderId="0" fillId="0" fontId="44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44" numFmtId="0" xfId="0" applyAlignment="1" applyFont="1">
      <alignment horizontal="center" shrinkToFit="0" vertical="center" wrapText="1"/>
    </xf>
    <xf borderId="0" fillId="0" fontId="44" numFmtId="4" xfId="0" applyAlignment="1" applyFont="1" applyNumberFormat="1">
      <alignment horizontal="center" shrinkToFit="0" vertical="center" wrapText="1"/>
    </xf>
    <xf borderId="0" fillId="19" fontId="44" numFmtId="0" xfId="0" applyAlignment="1" applyFont="1">
      <alignment shrinkToFit="0" vertical="center" wrapText="1"/>
    </xf>
    <xf borderId="0" fillId="0" fontId="44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15">
    <dxf>
      <font>
        <color rgb="FFFF0000"/>
      </font>
      <fill>
        <patternFill patternType="none"/>
      </fill>
      <border/>
    </dxf>
    <dxf>
      <font>
        <color rgb="FF999999"/>
      </font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B7E1CD"/>
      </font>
      <fill>
        <patternFill patternType="solid">
          <fgColor rgb="FF78909C"/>
          <bgColor rgb="FF78909C"/>
        </patternFill>
      </fill>
      <border/>
    </dxf>
    <dxf>
      <font>
        <b/>
        <color rgb="FF073763"/>
      </font>
      <fill>
        <patternFill patternType="solid">
          <fgColor rgb="FFEA9999"/>
          <bgColor rgb="FFEA9999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FF0000"/>
      </font>
      <fill>
        <patternFill patternType="solid">
          <fgColor rgb="FFF3F3F3"/>
          <bgColor rgb="FFF3F3F3"/>
        </patternFill>
      </fill>
      <border/>
    </dxf>
    <dxf>
      <font>
        <b/>
        <color rgb="FF073763"/>
      </font>
      <fill>
        <patternFill patternType="solid">
          <fgColor rgb="FFD0E0E3"/>
          <bgColor rgb="FFD0E0E3"/>
        </patternFill>
      </fill>
      <border/>
    </dxf>
    <dxf>
      <font>
        <b/>
        <color rgb="FF073763"/>
      </font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none"/>
      </fill>
      <border/>
    </dxf>
  </dxfs>
  <tableStyles count="2">
    <tableStyle count="2" pivot="0" name="REF-style">
      <tableStyleElement dxfId="4" type="firstRowStripe"/>
      <tableStyleElement dxfId="5" type="secondRowStripe"/>
    </tableStyle>
    <tableStyle count="2" pivot="0" name="REF-style 2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:B10" displayName="Table_1" name="Table_1" id="1">
  <tableColumns count="1">
    <tableColumn name="Column1" id="1"/>
  </tableColumns>
  <tableStyleInfo name="REF-style" showColumnStripes="0" showFirstColumn="1" showLastColumn="1" showRowStripes="1"/>
</table>
</file>

<file path=xl/tables/table2.xml><?xml version="1.0" encoding="utf-8"?>
<table xmlns="http://schemas.openxmlformats.org/spreadsheetml/2006/main" headerRowCount="0" ref="B11" displayName="Table_2" name="Table_2" id="2">
  <tableColumns count="1">
    <tableColumn name="Column1" id="1"/>
  </tableColumns>
  <tableStyleInfo name="REF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lA0LE3oYFH-slmwUDYo5LWSarmAL4USx1z5iETkhWs/edit?gid=62634374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 outlineLevelCol="1"/>
  <cols>
    <col customWidth="1" min="1" max="1" width="3.13"/>
    <col customWidth="1" min="2" max="2" width="28.38" outlineLevel="1"/>
    <col customWidth="1" min="3" max="3" width="3.88" outlineLevel="1"/>
    <col customWidth="1" min="4" max="6" width="12.63"/>
  </cols>
  <sheetData>
    <row r="1" ht="15.75" customHeight="1">
      <c r="C1" s="1"/>
      <c r="D1" s="1"/>
    </row>
    <row r="2" ht="15.75" customHeight="1">
      <c r="A2" s="2"/>
      <c r="B2" s="3" t="s">
        <v>0</v>
      </c>
      <c r="C2" s="2"/>
      <c r="D2" s="2"/>
      <c r="E2" s="2"/>
    </row>
    <row r="3" ht="15.75" customHeight="1">
      <c r="B3" s="4" t="s">
        <v>1</v>
      </c>
      <c r="C3" s="1" t="b">
        <v>1</v>
      </c>
      <c r="D3" s="1"/>
    </row>
    <row r="4" ht="15.75" customHeight="1">
      <c r="B4" s="4" t="s">
        <v>2</v>
      </c>
      <c r="C4" s="1" t="b">
        <v>1</v>
      </c>
      <c r="D4" s="1"/>
    </row>
    <row r="5" ht="15.75" customHeight="1">
      <c r="B5" s="4" t="s">
        <v>3</v>
      </c>
      <c r="C5" s="1" t="b">
        <v>1</v>
      </c>
      <c r="D5" s="1"/>
    </row>
    <row r="6" ht="15.75" customHeight="1">
      <c r="B6" s="4" t="s">
        <v>4</v>
      </c>
      <c r="C6" s="1" t="b">
        <v>1</v>
      </c>
      <c r="D6" s="1"/>
    </row>
    <row r="7" ht="15.75" customHeight="1">
      <c r="B7" s="4" t="s">
        <v>5</v>
      </c>
      <c r="C7" s="1" t="b">
        <v>1</v>
      </c>
      <c r="D7" s="1"/>
    </row>
    <row r="8" ht="15.75" customHeight="1">
      <c r="B8" s="4" t="s">
        <v>6</v>
      </c>
      <c r="C8" s="1" t="b">
        <v>1</v>
      </c>
      <c r="D8" s="1"/>
    </row>
    <row r="9" ht="15.75" customHeight="1">
      <c r="B9" s="4" t="s">
        <v>7</v>
      </c>
      <c r="C9" s="1" t="b">
        <v>0</v>
      </c>
      <c r="D9" s="1"/>
    </row>
    <row r="10" ht="15.75" customHeight="1">
      <c r="B10" s="4" t="s">
        <v>8</v>
      </c>
      <c r="C10" s="1" t="b">
        <v>0</v>
      </c>
      <c r="D10" s="1"/>
    </row>
    <row r="11" ht="15.75" customHeight="1">
      <c r="B11" s="4" t="s">
        <v>9</v>
      </c>
      <c r="C11" s="1"/>
      <c r="D11" s="1"/>
    </row>
    <row r="12" ht="15.75" customHeight="1">
      <c r="C12" s="1"/>
      <c r="D12" s="1"/>
    </row>
    <row r="13" ht="15.75" customHeight="1">
      <c r="C13" s="1"/>
      <c r="D13" s="1"/>
    </row>
    <row r="14" ht="15.75" customHeight="1">
      <c r="C14" s="1"/>
      <c r="D14" s="1"/>
    </row>
    <row r="15" ht="15.75" customHeight="1">
      <c r="C15" s="1"/>
      <c r="D15" s="1"/>
    </row>
    <row r="16" ht="15.75" customHeight="1">
      <c r="C16" s="1"/>
      <c r="D16" s="1"/>
    </row>
    <row r="17" ht="15.75" customHeight="1">
      <c r="C17" s="1"/>
      <c r="D17" s="1"/>
    </row>
    <row r="18" ht="15.75" customHeight="1">
      <c r="C18" s="1"/>
      <c r="D18" s="1"/>
    </row>
    <row r="19" ht="15.75" customHeight="1">
      <c r="C19" s="1"/>
      <c r="D19" s="1"/>
    </row>
    <row r="20" ht="15.75" customHeight="1">
      <c r="C20" s="1"/>
      <c r="D20" s="1"/>
    </row>
    <row r="21" ht="15.75" customHeight="1">
      <c r="C21" s="1"/>
      <c r="D21" s="1"/>
    </row>
    <row r="22" ht="15.75" customHeight="1">
      <c r="C22" s="1"/>
      <c r="D22" s="1"/>
    </row>
    <row r="23" ht="15.75" customHeight="1">
      <c r="C23" s="1"/>
      <c r="D23" s="1"/>
    </row>
    <row r="24" ht="15.75" customHeight="1">
      <c r="C24" s="1"/>
      <c r="D24" s="1"/>
    </row>
    <row r="25" ht="15.75" customHeight="1">
      <c r="C25" s="1"/>
      <c r="D25" s="1"/>
    </row>
    <row r="26" ht="15.75" customHeight="1">
      <c r="C26" s="1"/>
      <c r="D26" s="1"/>
    </row>
    <row r="27" ht="15.75" customHeight="1">
      <c r="C27" s="1"/>
      <c r="D27" s="1"/>
    </row>
    <row r="28" ht="15.75" customHeight="1">
      <c r="C28" s="1"/>
      <c r="D28" s="1"/>
    </row>
    <row r="29" ht="15.75" customHeight="1"/>
    <row r="30" ht="15.75" customHeight="1">
      <c r="C30" s="1"/>
      <c r="D30" s="1"/>
    </row>
    <row r="31" ht="15.75" customHeight="1">
      <c r="C31" s="1"/>
      <c r="D31" s="1"/>
    </row>
    <row r="32" ht="15.75" customHeight="1">
      <c r="C32" s="1"/>
      <c r="D32" s="1"/>
    </row>
    <row r="33" ht="15.75" customHeight="1">
      <c r="C33" s="1"/>
      <c r="D33" s="1"/>
    </row>
    <row r="34" ht="15.75" customHeight="1">
      <c r="C34" s="1"/>
      <c r="D34" s="1"/>
    </row>
    <row r="35" ht="15.75" customHeight="1">
      <c r="C35" s="1"/>
      <c r="D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D$28">
    <sortState ref="B1:D28">
      <sortCondition descending="1" ref="C1:C28"/>
      <sortCondition ref="D1:D28"/>
    </sortState>
  </autoFilter>
  <hyperlinks>
    <hyperlink display="BD_REF_GESTION" location="BD_REF_GESTION!A1" ref="B3"/>
    <hyperlink display="BD_REF_REUNIONES" location="BD_REF_REUNIONES!A1" ref="B4"/>
    <hyperlink display="BD_REF_DERECHOS" location="BD_REF_DERECHOS!A1" ref="B5"/>
    <hyperlink display="TIPO" location="TIPO!A1" ref="B6"/>
    <hyperlink display="AMBITO" location="AMBITO!A1" ref="B7"/>
    <hyperlink display="REF_CARGO" location="REF_CARGO!A1" ref="B8"/>
    <hyperlink display="RefIncl" location="RefIncl!A1" ref="B9"/>
    <hyperlink display="REF" location="REF!A1" ref="B10"/>
    <hyperlink display="Copia de VALORES REF TIEMPO" location="'Copia de VALORES REF TIEMPO'!A1" ref="B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6.5"/>
    <col customWidth="1" min="4" max="4" width="69.63"/>
    <col customWidth="1" min="5" max="5" width="14.25"/>
    <col customWidth="1" min="6" max="6" width="45.25"/>
    <col customWidth="1" min="8" max="8" width="20.88"/>
    <col customWidth="1" min="9" max="9" width="26.75"/>
  </cols>
  <sheetData>
    <row r="1" ht="15.75" customHeight="1">
      <c r="A1" s="5" t="s">
        <v>10</v>
      </c>
      <c r="B1" s="5" t="s">
        <v>4</v>
      </c>
      <c r="C1" s="5" t="s">
        <v>5</v>
      </c>
      <c r="D1" s="5" t="s">
        <v>11</v>
      </c>
      <c r="E1" s="6" t="s">
        <v>12</v>
      </c>
      <c r="F1" s="7" t="s">
        <v>13</v>
      </c>
      <c r="G1" s="8" t="s">
        <v>14</v>
      </c>
      <c r="H1" s="9"/>
      <c r="I1" s="9"/>
    </row>
    <row r="2" ht="15.75" customHeight="1">
      <c r="A2" s="10" t="s">
        <v>15</v>
      </c>
      <c r="B2" s="10" t="s">
        <v>16</v>
      </c>
      <c r="C2" s="10" t="s">
        <v>17</v>
      </c>
      <c r="D2" s="10" t="s">
        <v>18</v>
      </c>
      <c r="E2" s="11">
        <v>8.0</v>
      </c>
      <c r="F2" s="12"/>
      <c r="G2" s="13" t="s">
        <v>19</v>
      </c>
    </row>
    <row r="3" ht="15.75" customHeight="1">
      <c r="A3" s="10" t="s">
        <v>20</v>
      </c>
      <c r="B3" s="10" t="s">
        <v>16</v>
      </c>
      <c r="C3" s="10" t="s">
        <v>17</v>
      </c>
      <c r="D3" s="10" t="s">
        <v>21</v>
      </c>
      <c r="E3" s="11">
        <v>2.0</v>
      </c>
      <c r="F3" s="14"/>
      <c r="G3" s="13" t="s">
        <v>19</v>
      </c>
    </row>
    <row r="4" ht="15.75" customHeight="1">
      <c r="A4" s="10" t="s">
        <v>22</v>
      </c>
      <c r="B4" s="10" t="s">
        <v>16</v>
      </c>
      <c r="C4" s="10" t="s">
        <v>17</v>
      </c>
      <c r="D4" s="10" t="s">
        <v>23</v>
      </c>
      <c r="E4" s="11">
        <v>22.0</v>
      </c>
      <c r="F4" s="14"/>
      <c r="G4" s="13" t="s">
        <v>19</v>
      </c>
    </row>
    <row r="5" ht="15.75" customHeight="1">
      <c r="A5" s="10" t="s">
        <v>24</v>
      </c>
      <c r="B5" s="10" t="s">
        <v>16</v>
      </c>
      <c r="C5" s="10" t="s">
        <v>17</v>
      </c>
      <c r="D5" s="10" t="s">
        <v>25</v>
      </c>
      <c r="E5" s="11">
        <v>33.0</v>
      </c>
      <c r="F5" s="14"/>
      <c r="G5" s="13" t="s">
        <v>19</v>
      </c>
    </row>
    <row r="6" ht="15.75" customHeight="1">
      <c r="A6" s="10" t="s">
        <v>26</v>
      </c>
      <c r="B6" s="10" t="s">
        <v>16</v>
      </c>
      <c r="C6" s="10" t="s">
        <v>17</v>
      </c>
      <c r="D6" s="10" t="s">
        <v>27</v>
      </c>
      <c r="E6" s="11">
        <v>44.0</v>
      </c>
      <c r="F6" s="14"/>
      <c r="G6" s="13" t="s">
        <v>19</v>
      </c>
    </row>
    <row r="7" ht="15.75" customHeight="1">
      <c r="A7" s="10" t="s">
        <v>28</v>
      </c>
      <c r="B7" s="10" t="s">
        <v>16</v>
      </c>
      <c r="C7" s="10" t="s">
        <v>17</v>
      </c>
      <c r="D7" s="10" t="s">
        <v>29</v>
      </c>
      <c r="E7" s="11">
        <v>2.0</v>
      </c>
      <c r="F7" s="13"/>
      <c r="G7" s="13" t="s">
        <v>19</v>
      </c>
    </row>
    <row r="8" ht="15.75" customHeight="1">
      <c r="A8" s="10" t="s">
        <v>30</v>
      </c>
      <c r="B8" s="10" t="s">
        <v>16</v>
      </c>
      <c r="C8" s="10" t="s">
        <v>17</v>
      </c>
      <c r="D8" s="10" t="s">
        <v>31</v>
      </c>
      <c r="E8" s="11">
        <v>22.0</v>
      </c>
      <c r="F8" s="13" t="s">
        <v>32</v>
      </c>
      <c r="G8" s="13" t="s">
        <v>19</v>
      </c>
    </row>
    <row r="9" ht="15.75" customHeight="1">
      <c r="A9" s="10" t="s">
        <v>33</v>
      </c>
      <c r="B9" s="10" t="s">
        <v>16</v>
      </c>
      <c r="C9" s="10" t="s">
        <v>17</v>
      </c>
      <c r="D9" s="10" t="s">
        <v>34</v>
      </c>
      <c r="E9" s="11">
        <v>44.0</v>
      </c>
      <c r="F9" s="13" t="s">
        <v>32</v>
      </c>
      <c r="G9" s="13" t="s">
        <v>19</v>
      </c>
    </row>
    <row r="10" ht="15.75" customHeight="1">
      <c r="A10" s="10" t="s">
        <v>35</v>
      </c>
      <c r="B10" s="10" t="s">
        <v>16</v>
      </c>
      <c r="C10" s="10" t="s">
        <v>17</v>
      </c>
      <c r="D10" s="10" t="s">
        <v>36</v>
      </c>
      <c r="E10" s="11">
        <v>1.0</v>
      </c>
      <c r="F10" s="14"/>
      <c r="G10" s="13" t="s">
        <v>19</v>
      </c>
    </row>
    <row r="11" ht="15.75" customHeight="1">
      <c r="A11" s="10" t="s">
        <v>37</v>
      </c>
      <c r="B11" s="10" t="s">
        <v>16</v>
      </c>
      <c r="C11" s="10" t="s">
        <v>17</v>
      </c>
      <c r="D11" s="10" t="s">
        <v>38</v>
      </c>
      <c r="E11" s="11">
        <v>0.75</v>
      </c>
      <c r="F11" s="14"/>
      <c r="G11" s="13" t="s">
        <v>19</v>
      </c>
    </row>
    <row r="12" ht="15.75" customHeight="1">
      <c r="A12" s="10" t="s">
        <v>39</v>
      </c>
      <c r="B12" s="10" t="s">
        <v>16</v>
      </c>
      <c r="C12" s="10" t="s">
        <v>17</v>
      </c>
      <c r="D12" s="10" t="s">
        <v>40</v>
      </c>
      <c r="E12" s="11">
        <v>0.75</v>
      </c>
      <c r="F12" s="14"/>
      <c r="G12" s="13" t="s">
        <v>19</v>
      </c>
    </row>
    <row r="13" ht="15.75" customHeight="1">
      <c r="A13" s="10" t="s">
        <v>41</v>
      </c>
      <c r="B13" s="10" t="s">
        <v>16</v>
      </c>
      <c r="C13" s="10" t="s">
        <v>17</v>
      </c>
      <c r="D13" s="10" t="s">
        <v>42</v>
      </c>
      <c r="E13" s="11">
        <v>0.75</v>
      </c>
      <c r="F13" s="14"/>
      <c r="G13" s="13" t="s">
        <v>19</v>
      </c>
    </row>
    <row r="14" ht="15.75" customHeight="1">
      <c r="A14" s="10" t="s">
        <v>43</v>
      </c>
      <c r="B14" s="10" t="s">
        <v>16</v>
      </c>
      <c r="C14" s="10" t="s">
        <v>17</v>
      </c>
      <c r="D14" s="10" t="s">
        <v>44</v>
      </c>
      <c r="E14" s="11">
        <v>0.75</v>
      </c>
      <c r="F14" s="14"/>
      <c r="G14" s="13" t="s">
        <v>19</v>
      </c>
    </row>
    <row r="15" ht="15.75" customHeight="1">
      <c r="A15" s="10" t="s">
        <v>45</v>
      </c>
      <c r="B15" s="10" t="s">
        <v>16</v>
      </c>
      <c r="C15" s="10" t="s">
        <v>17</v>
      </c>
      <c r="D15" s="10" t="s">
        <v>46</v>
      </c>
      <c r="E15" s="11">
        <v>0.75</v>
      </c>
      <c r="F15" s="14"/>
      <c r="G15" s="13" t="s">
        <v>19</v>
      </c>
    </row>
    <row r="16" ht="15.75" customHeight="1">
      <c r="A16" s="10" t="s">
        <v>47</v>
      </c>
      <c r="B16" s="10" t="s">
        <v>16</v>
      </c>
      <c r="C16" s="10" t="s">
        <v>17</v>
      </c>
      <c r="D16" s="10" t="s">
        <v>48</v>
      </c>
      <c r="E16" s="11">
        <v>0.75</v>
      </c>
      <c r="F16" s="14"/>
      <c r="G16" s="13" t="s">
        <v>19</v>
      </c>
    </row>
    <row r="17" ht="15.75" customHeight="1">
      <c r="A17" s="10" t="s">
        <v>49</v>
      </c>
      <c r="B17" s="10" t="s">
        <v>16</v>
      </c>
      <c r="C17" s="10" t="s">
        <v>17</v>
      </c>
      <c r="D17" s="10" t="s">
        <v>50</v>
      </c>
      <c r="E17" s="11">
        <v>0.75</v>
      </c>
      <c r="F17" s="14"/>
      <c r="G17" s="13" t="s">
        <v>19</v>
      </c>
    </row>
    <row r="18" ht="15.75" customHeight="1">
      <c r="A18" s="10" t="s">
        <v>51</v>
      </c>
      <c r="B18" s="10" t="s">
        <v>16</v>
      </c>
      <c r="C18" s="10" t="s">
        <v>17</v>
      </c>
      <c r="D18" s="10" t="s">
        <v>52</v>
      </c>
      <c r="E18" s="11">
        <v>0.75</v>
      </c>
      <c r="F18" s="14"/>
      <c r="G18" s="13" t="s">
        <v>19</v>
      </c>
    </row>
    <row r="19" ht="15.75" customHeight="1">
      <c r="A19" s="10" t="s">
        <v>53</v>
      </c>
      <c r="B19" s="10" t="s">
        <v>16</v>
      </c>
      <c r="C19" s="10" t="s">
        <v>17</v>
      </c>
      <c r="D19" s="10" t="s">
        <v>54</v>
      </c>
      <c r="E19" s="11">
        <v>1.0</v>
      </c>
      <c r="F19" s="14"/>
      <c r="G19" s="13" t="s">
        <v>19</v>
      </c>
    </row>
    <row r="20" ht="15.75" customHeight="1">
      <c r="A20" s="10" t="s">
        <v>55</v>
      </c>
      <c r="B20" s="10" t="s">
        <v>16</v>
      </c>
      <c r="C20" s="10" t="s">
        <v>17</v>
      </c>
      <c r="D20" s="10" t="s">
        <v>56</v>
      </c>
      <c r="E20" s="11">
        <v>0.75</v>
      </c>
      <c r="F20" s="14"/>
      <c r="G20" s="13" t="s">
        <v>19</v>
      </c>
    </row>
    <row r="21" ht="15.75" customHeight="1">
      <c r="A21" s="10" t="s">
        <v>57</v>
      </c>
      <c r="B21" s="10" t="s">
        <v>16</v>
      </c>
      <c r="C21" s="10" t="s">
        <v>58</v>
      </c>
      <c r="D21" s="10" t="s">
        <v>59</v>
      </c>
      <c r="E21" s="11">
        <v>1.0</v>
      </c>
      <c r="F21" s="14"/>
      <c r="G21" s="13" t="s">
        <v>19</v>
      </c>
    </row>
    <row r="22" ht="15.75" customHeight="1">
      <c r="A22" s="10" t="s">
        <v>60</v>
      </c>
      <c r="B22" s="10" t="s">
        <v>16</v>
      </c>
      <c r="C22" s="10" t="s">
        <v>58</v>
      </c>
      <c r="D22" s="10" t="s">
        <v>61</v>
      </c>
      <c r="E22" s="11">
        <v>10.0</v>
      </c>
      <c r="F22" s="14"/>
      <c r="G22" s="13" t="s">
        <v>19</v>
      </c>
    </row>
    <row r="23" ht="15.75" customHeight="1">
      <c r="A23" s="10" t="s">
        <v>62</v>
      </c>
      <c r="B23" s="10" t="s">
        <v>16</v>
      </c>
      <c r="C23" s="10" t="s">
        <v>58</v>
      </c>
      <c r="D23" s="10" t="s">
        <v>63</v>
      </c>
      <c r="E23" s="11">
        <v>2.0</v>
      </c>
      <c r="F23" s="14"/>
      <c r="G23" s="13" t="s">
        <v>19</v>
      </c>
    </row>
    <row r="24" ht="15.75" customHeight="1">
      <c r="A24" s="10" t="s">
        <v>64</v>
      </c>
      <c r="B24" s="10" t="s">
        <v>16</v>
      </c>
      <c r="C24" s="10" t="s">
        <v>58</v>
      </c>
      <c r="D24" s="10" t="s">
        <v>65</v>
      </c>
      <c r="E24" s="11">
        <v>3.0</v>
      </c>
      <c r="F24" s="14"/>
      <c r="G24" s="13" t="s">
        <v>19</v>
      </c>
    </row>
    <row r="25" ht="15.75" customHeight="1">
      <c r="A25" s="10" t="s">
        <v>66</v>
      </c>
      <c r="B25" s="10" t="s">
        <v>16</v>
      </c>
      <c r="C25" s="10" t="s">
        <v>58</v>
      </c>
      <c r="D25" s="10" t="s">
        <v>67</v>
      </c>
      <c r="E25" s="11">
        <v>11.0</v>
      </c>
      <c r="F25" s="14"/>
      <c r="G25" s="13" t="s">
        <v>19</v>
      </c>
    </row>
    <row r="26" ht="15.75" customHeight="1">
      <c r="A26" s="10" t="s">
        <v>68</v>
      </c>
      <c r="B26" s="10" t="s">
        <v>16</v>
      </c>
      <c r="C26" s="10" t="s">
        <v>58</v>
      </c>
      <c r="D26" s="10" t="s">
        <v>69</v>
      </c>
      <c r="E26" s="11">
        <v>22.0</v>
      </c>
      <c r="F26" s="14"/>
      <c r="G26" s="13" t="s">
        <v>19</v>
      </c>
    </row>
    <row r="27" ht="15.75" customHeight="1">
      <c r="A27" s="10" t="s">
        <v>70</v>
      </c>
      <c r="B27" s="10" t="s">
        <v>16</v>
      </c>
      <c r="C27" s="10" t="s">
        <v>58</v>
      </c>
      <c r="D27" s="10" t="s">
        <v>71</v>
      </c>
      <c r="E27" s="11">
        <v>5.0</v>
      </c>
      <c r="F27" s="14"/>
      <c r="G27" s="13" t="s">
        <v>19</v>
      </c>
    </row>
    <row r="28" ht="15.75" customHeight="1">
      <c r="A28" s="10" t="s">
        <v>72</v>
      </c>
      <c r="B28" s="10" t="s">
        <v>16</v>
      </c>
      <c r="C28" s="10" t="s">
        <v>58</v>
      </c>
      <c r="D28" s="10" t="s">
        <v>73</v>
      </c>
      <c r="E28" s="11">
        <v>8.0</v>
      </c>
      <c r="F28" s="14"/>
      <c r="G28" s="13" t="s">
        <v>19</v>
      </c>
    </row>
    <row r="29" ht="15.75" customHeight="1">
      <c r="A29" s="10" t="s">
        <v>74</v>
      </c>
      <c r="B29" s="10" t="s">
        <v>16</v>
      </c>
      <c r="C29" s="10" t="s">
        <v>58</v>
      </c>
      <c r="D29" s="10" t="s">
        <v>75</v>
      </c>
      <c r="E29" s="11">
        <v>1.0</v>
      </c>
      <c r="F29" s="14"/>
      <c r="G29" s="13" t="s">
        <v>19</v>
      </c>
    </row>
    <row r="30" ht="15.75" customHeight="1">
      <c r="A30" s="10" t="s">
        <v>76</v>
      </c>
      <c r="B30" s="10" t="s">
        <v>16</v>
      </c>
      <c r="C30" s="10" t="s">
        <v>58</v>
      </c>
      <c r="D30" s="10" t="s">
        <v>77</v>
      </c>
      <c r="E30" s="11">
        <v>2.0</v>
      </c>
      <c r="F30" s="14"/>
      <c r="G30" s="13" t="s">
        <v>19</v>
      </c>
    </row>
    <row r="31" ht="15.75" customHeight="1">
      <c r="A31" s="10" t="s">
        <v>78</v>
      </c>
      <c r="B31" s="10" t="s">
        <v>16</v>
      </c>
      <c r="C31" s="10" t="s">
        <v>58</v>
      </c>
      <c r="D31" s="10" t="s">
        <v>79</v>
      </c>
      <c r="E31" s="11">
        <v>3.0</v>
      </c>
      <c r="F31" s="14"/>
      <c r="G31" s="13" t="s">
        <v>19</v>
      </c>
    </row>
    <row r="32" ht="15.75" customHeight="1">
      <c r="A32" s="10" t="s">
        <v>80</v>
      </c>
      <c r="B32" s="10" t="s">
        <v>16</v>
      </c>
      <c r="C32" s="10" t="s">
        <v>58</v>
      </c>
      <c r="D32" s="10" t="s">
        <v>81</v>
      </c>
      <c r="E32" s="11">
        <v>1.0</v>
      </c>
      <c r="F32" s="14"/>
      <c r="G32" s="13" t="s">
        <v>19</v>
      </c>
    </row>
    <row r="33" ht="15.75" customHeight="1">
      <c r="A33" s="10" t="s">
        <v>82</v>
      </c>
      <c r="B33" s="10" t="s">
        <v>16</v>
      </c>
      <c r="C33" s="10" t="s">
        <v>58</v>
      </c>
      <c r="D33" s="10" t="s">
        <v>83</v>
      </c>
      <c r="E33" s="11">
        <v>2.0</v>
      </c>
      <c r="F33" s="14"/>
      <c r="G33" s="13" t="s">
        <v>19</v>
      </c>
    </row>
    <row r="34" ht="15.75" customHeight="1">
      <c r="A34" s="10" t="s">
        <v>84</v>
      </c>
      <c r="B34" s="10" t="s">
        <v>16</v>
      </c>
      <c r="C34" s="10" t="s">
        <v>58</v>
      </c>
      <c r="D34" s="10" t="s">
        <v>85</v>
      </c>
      <c r="E34" s="11">
        <v>8.0</v>
      </c>
      <c r="F34" s="14"/>
      <c r="G34" s="13" t="s">
        <v>19</v>
      </c>
    </row>
    <row r="35" ht="15.75" customHeight="1">
      <c r="A35" s="10" t="s">
        <v>86</v>
      </c>
      <c r="B35" s="10" t="s">
        <v>16</v>
      </c>
      <c r="C35" s="10" t="s">
        <v>87</v>
      </c>
      <c r="D35" s="10" t="s">
        <v>88</v>
      </c>
      <c r="E35" s="15">
        <v>0.75</v>
      </c>
      <c r="F35" s="12"/>
      <c r="G35" s="13" t="s">
        <v>19</v>
      </c>
    </row>
    <row r="36" ht="15.75" customHeight="1">
      <c r="A36" s="10" t="s">
        <v>89</v>
      </c>
      <c r="B36" s="10" t="s">
        <v>16</v>
      </c>
      <c r="C36" s="10" t="s">
        <v>87</v>
      </c>
      <c r="D36" s="10" t="s">
        <v>90</v>
      </c>
      <c r="E36" s="15">
        <v>1.0</v>
      </c>
      <c r="F36" s="13"/>
      <c r="G36" s="13" t="s">
        <v>19</v>
      </c>
    </row>
    <row r="37" ht="15.75" customHeight="1">
      <c r="A37" s="10" t="s">
        <v>91</v>
      </c>
      <c r="B37" s="10" t="s">
        <v>16</v>
      </c>
      <c r="C37" s="10" t="s">
        <v>87</v>
      </c>
      <c r="D37" s="10" t="s">
        <v>92</v>
      </c>
      <c r="E37" s="11">
        <v>2.0</v>
      </c>
      <c r="F37" s="14"/>
      <c r="G37" s="13" t="s">
        <v>19</v>
      </c>
    </row>
    <row r="38" ht="15.75" customHeight="1">
      <c r="A38" s="10" t="s">
        <v>93</v>
      </c>
      <c r="B38" s="10" t="s">
        <v>16</v>
      </c>
      <c r="C38" s="10" t="s">
        <v>87</v>
      </c>
      <c r="D38" s="10" t="s">
        <v>94</v>
      </c>
      <c r="E38" s="11">
        <v>3.0</v>
      </c>
      <c r="F38" s="14"/>
      <c r="G38" s="13" t="s">
        <v>19</v>
      </c>
    </row>
    <row r="39" ht="15.75" customHeight="1">
      <c r="A39" s="10" t="s">
        <v>95</v>
      </c>
      <c r="B39" s="10" t="s">
        <v>16</v>
      </c>
      <c r="C39" s="10" t="s">
        <v>87</v>
      </c>
      <c r="D39" s="16" t="s">
        <v>96</v>
      </c>
      <c r="E39" s="11">
        <v>4.0</v>
      </c>
      <c r="F39" s="14"/>
      <c r="G39" s="13" t="s">
        <v>19</v>
      </c>
    </row>
    <row r="40" ht="15.75" customHeight="1">
      <c r="A40" s="10" t="s">
        <v>97</v>
      </c>
      <c r="B40" s="10" t="s">
        <v>16</v>
      </c>
      <c r="C40" s="10" t="s">
        <v>87</v>
      </c>
      <c r="D40" s="16" t="s">
        <v>98</v>
      </c>
      <c r="E40" s="11">
        <v>8.0</v>
      </c>
      <c r="F40" s="13"/>
      <c r="G40" s="13" t="s">
        <v>19</v>
      </c>
    </row>
    <row r="41" ht="15.75" customHeight="1">
      <c r="A41" s="10" t="s">
        <v>99</v>
      </c>
      <c r="B41" s="10" t="s">
        <v>16</v>
      </c>
      <c r="C41" s="10" t="s">
        <v>87</v>
      </c>
      <c r="D41" s="16" t="s">
        <v>100</v>
      </c>
      <c r="E41" s="11">
        <v>5.0</v>
      </c>
      <c r="F41" s="13" t="s">
        <v>101</v>
      </c>
      <c r="G41" s="13" t="s">
        <v>19</v>
      </c>
    </row>
    <row r="42" ht="15.75" customHeight="1">
      <c r="A42" s="10" t="s">
        <v>102</v>
      </c>
      <c r="B42" s="10" t="s">
        <v>16</v>
      </c>
      <c r="C42" s="10" t="s">
        <v>87</v>
      </c>
      <c r="D42" s="16" t="s">
        <v>100</v>
      </c>
      <c r="E42" s="11">
        <v>1.0</v>
      </c>
      <c r="F42" s="13" t="s">
        <v>101</v>
      </c>
      <c r="G42" s="13" t="s">
        <v>19</v>
      </c>
    </row>
    <row r="43" ht="15.75" customHeight="1">
      <c r="A43" s="10" t="s">
        <v>103</v>
      </c>
      <c r="B43" s="10" t="s">
        <v>16</v>
      </c>
      <c r="C43" s="10" t="s">
        <v>87</v>
      </c>
      <c r="D43" s="10" t="s">
        <v>104</v>
      </c>
      <c r="E43" s="11">
        <v>1.0</v>
      </c>
      <c r="F43" s="14"/>
      <c r="G43" s="13" t="s">
        <v>19</v>
      </c>
    </row>
    <row r="44" ht="15.75" customHeight="1">
      <c r="A44" s="10" t="s">
        <v>105</v>
      </c>
      <c r="B44" s="10" t="s">
        <v>16</v>
      </c>
      <c r="C44" s="10" t="s">
        <v>87</v>
      </c>
      <c r="D44" s="10" t="s">
        <v>106</v>
      </c>
      <c r="E44" s="11">
        <v>0.5</v>
      </c>
      <c r="F44" s="13"/>
      <c r="G44" s="13" t="s">
        <v>19</v>
      </c>
    </row>
    <row r="45" ht="15.75" customHeight="1">
      <c r="A45" s="10" t="s">
        <v>107</v>
      </c>
      <c r="B45" s="10" t="s">
        <v>16</v>
      </c>
      <c r="C45" s="10" t="s">
        <v>108</v>
      </c>
      <c r="D45" s="10" t="s">
        <v>109</v>
      </c>
      <c r="E45" s="11">
        <v>2.0</v>
      </c>
      <c r="F45" s="14"/>
      <c r="G45" s="13" t="s">
        <v>19</v>
      </c>
    </row>
    <row r="46" ht="15.75" customHeight="1">
      <c r="A46" s="10" t="s">
        <v>110</v>
      </c>
      <c r="B46" s="10" t="s">
        <v>16</v>
      </c>
      <c r="C46" s="10" t="s">
        <v>108</v>
      </c>
      <c r="D46" s="10" t="s">
        <v>111</v>
      </c>
      <c r="E46" s="11">
        <v>11.0</v>
      </c>
      <c r="F46" s="14"/>
      <c r="G46" s="13" t="s">
        <v>19</v>
      </c>
    </row>
    <row r="47" ht="15.75" customHeight="1">
      <c r="A47" s="10" t="s">
        <v>112</v>
      </c>
      <c r="B47" s="10" t="s">
        <v>16</v>
      </c>
      <c r="C47" s="10" t="s">
        <v>108</v>
      </c>
      <c r="D47" s="10" t="s">
        <v>113</v>
      </c>
      <c r="E47" s="11">
        <v>4.0</v>
      </c>
      <c r="F47" s="14"/>
      <c r="G47" s="13" t="s">
        <v>19</v>
      </c>
    </row>
    <row r="48" ht="15.75" customHeight="1">
      <c r="A48" s="10" t="s">
        <v>114</v>
      </c>
      <c r="B48" s="10" t="s">
        <v>16</v>
      </c>
      <c r="C48" s="10" t="s">
        <v>108</v>
      </c>
      <c r="D48" s="10" t="s">
        <v>115</v>
      </c>
      <c r="E48" s="11">
        <v>5.0</v>
      </c>
      <c r="F48" s="13" t="s">
        <v>116</v>
      </c>
      <c r="G48" s="13" t="s">
        <v>19</v>
      </c>
    </row>
    <row r="49" ht="15.75" customHeight="1">
      <c r="A49" s="10" t="s">
        <v>117</v>
      </c>
      <c r="B49" s="10" t="s">
        <v>16</v>
      </c>
      <c r="C49" s="10" t="s">
        <v>108</v>
      </c>
      <c r="D49" s="10" t="s">
        <v>118</v>
      </c>
      <c r="E49" s="11">
        <v>8.0</v>
      </c>
      <c r="F49" s="13"/>
      <c r="G49" s="13" t="s">
        <v>19</v>
      </c>
    </row>
    <row r="50" ht="15.75" customHeight="1">
      <c r="A50" s="10" t="s">
        <v>119</v>
      </c>
      <c r="B50" s="10" t="s">
        <v>16</v>
      </c>
      <c r="C50" s="10" t="s">
        <v>108</v>
      </c>
      <c r="D50" s="10" t="s">
        <v>120</v>
      </c>
      <c r="E50" s="11">
        <v>2.0</v>
      </c>
      <c r="F50" s="14"/>
      <c r="G50" s="13" t="s">
        <v>19</v>
      </c>
    </row>
    <row r="51" ht="15.75" customHeight="1">
      <c r="A51" s="10" t="s">
        <v>121</v>
      </c>
      <c r="B51" s="10" t="s">
        <v>16</v>
      </c>
      <c r="C51" s="10" t="s">
        <v>108</v>
      </c>
      <c r="D51" s="10" t="s">
        <v>120</v>
      </c>
      <c r="E51" s="11">
        <v>2.0</v>
      </c>
      <c r="F51" s="13"/>
      <c r="G51" s="13" t="s">
        <v>19</v>
      </c>
    </row>
    <row r="52" ht="15.75" customHeight="1">
      <c r="A52" s="10" t="s">
        <v>122</v>
      </c>
      <c r="B52" s="10" t="s">
        <v>16</v>
      </c>
      <c r="C52" s="10" t="s">
        <v>108</v>
      </c>
      <c r="D52" s="10" t="s">
        <v>123</v>
      </c>
      <c r="E52" s="11">
        <v>2.0</v>
      </c>
      <c r="F52" s="14"/>
      <c r="G52" s="13" t="s">
        <v>19</v>
      </c>
    </row>
    <row r="53" ht="15.75" customHeight="1">
      <c r="A53" s="10" t="s">
        <v>124</v>
      </c>
      <c r="B53" s="10" t="s">
        <v>16</v>
      </c>
      <c r="C53" s="10" t="s">
        <v>108</v>
      </c>
      <c r="D53" s="10" t="s">
        <v>125</v>
      </c>
      <c r="E53" s="11">
        <v>2.0</v>
      </c>
      <c r="F53" s="14"/>
      <c r="G53" s="13" t="s">
        <v>19</v>
      </c>
    </row>
    <row r="54" ht="15.75" customHeight="1">
      <c r="A54" s="10" t="s">
        <v>126</v>
      </c>
      <c r="B54" s="10" t="s">
        <v>16</v>
      </c>
      <c r="C54" s="10" t="s">
        <v>108</v>
      </c>
      <c r="D54" s="10" t="s">
        <v>127</v>
      </c>
      <c r="E54" s="11">
        <v>44.0</v>
      </c>
      <c r="F54" s="13">
        <v>39.0</v>
      </c>
      <c r="G54" s="13" t="s">
        <v>19</v>
      </c>
    </row>
    <row r="55" ht="15.75" customHeight="1">
      <c r="A55" s="10" t="s">
        <v>128</v>
      </c>
      <c r="B55" s="10" t="s">
        <v>16</v>
      </c>
      <c r="C55" s="10" t="s">
        <v>108</v>
      </c>
      <c r="D55" s="10" t="s">
        <v>129</v>
      </c>
      <c r="E55" s="11">
        <v>2.0</v>
      </c>
      <c r="F55" s="14"/>
      <c r="G55" s="13" t="s">
        <v>19</v>
      </c>
    </row>
    <row r="56" ht="15.75" customHeight="1">
      <c r="A56" s="10" t="s">
        <v>130</v>
      </c>
      <c r="B56" s="10" t="s">
        <v>16</v>
      </c>
      <c r="C56" s="10" t="s">
        <v>108</v>
      </c>
      <c r="D56" s="10" t="s">
        <v>131</v>
      </c>
      <c r="E56" s="11">
        <v>3.0</v>
      </c>
      <c r="F56" s="14"/>
      <c r="G56" s="13" t="s">
        <v>19</v>
      </c>
    </row>
    <row r="57" ht="15.75" customHeight="1">
      <c r="A57" s="10" t="s">
        <v>132</v>
      </c>
      <c r="B57" s="10" t="s">
        <v>16</v>
      </c>
      <c r="C57" s="10" t="s">
        <v>108</v>
      </c>
      <c r="D57" s="10" t="s">
        <v>133</v>
      </c>
      <c r="E57" s="11">
        <v>44.0</v>
      </c>
      <c r="F57" s="14"/>
      <c r="G57" s="13" t="s">
        <v>19</v>
      </c>
    </row>
    <row r="58" ht="15.75" customHeight="1">
      <c r="A58" s="10" t="s">
        <v>134</v>
      </c>
      <c r="B58" s="10" t="s">
        <v>16</v>
      </c>
      <c r="C58" s="10" t="s">
        <v>108</v>
      </c>
      <c r="D58" s="10" t="s">
        <v>135</v>
      </c>
      <c r="E58" s="11">
        <v>11.0</v>
      </c>
      <c r="F58" s="14"/>
      <c r="G58" s="13" t="s">
        <v>19</v>
      </c>
    </row>
    <row r="59" ht="15.75" customHeight="1">
      <c r="A59" s="10" t="s">
        <v>136</v>
      </c>
      <c r="B59" s="10" t="s">
        <v>16</v>
      </c>
      <c r="C59" s="10" t="s">
        <v>108</v>
      </c>
      <c r="D59" s="10" t="s">
        <v>137</v>
      </c>
      <c r="E59" s="11">
        <v>22.0</v>
      </c>
      <c r="F59" s="14"/>
      <c r="G59" s="13" t="s">
        <v>19</v>
      </c>
    </row>
    <row r="60" ht="15.75" customHeight="1">
      <c r="A60" s="10" t="s">
        <v>138</v>
      </c>
      <c r="B60" s="10" t="s">
        <v>16</v>
      </c>
      <c r="C60" s="10" t="s">
        <v>108</v>
      </c>
      <c r="D60" s="10" t="s">
        <v>139</v>
      </c>
      <c r="E60" s="11">
        <v>5.0</v>
      </c>
      <c r="F60" s="13" t="s">
        <v>140</v>
      </c>
      <c r="G60" s="13" t="s">
        <v>19</v>
      </c>
    </row>
    <row r="61" ht="15.75" customHeight="1">
      <c r="A61" s="10" t="s">
        <v>141</v>
      </c>
      <c r="B61" s="10" t="s">
        <v>16</v>
      </c>
      <c r="C61" s="10" t="s">
        <v>108</v>
      </c>
      <c r="D61" s="10" t="s">
        <v>142</v>
      </c>
      <c r="E61" s="11">
        <v>16.0</v>
      </c>
      <c r="F61" s="14"/>
      <c r="G61" s="13" t="s">
        <v>19</v>
      </c>
    </row>
    <row r="62" ht="15.75" customHeight="1">
      <c r="A62" s="10" t="s">
        <v>143</v>
      </c>
      <c r="B62" s="10" t="s">
        <v>16</v>
      </c>
      <c r="C62" s="10" t="s">
        <v>108</v>
      </c>
      <c r="D62" s="10" t="s">
        <v>144</v>
      </c>
      <c r="E62" s="11">
        <v>21.0</v>
      </c>
      <c r="F62" s="14"/>
      <c r="G62" s="13" t="s">
        <v>19</v>
      </c>
    </row>
    <row r="63" ht="15.75" customHeight="1">
      <c r="A63" s="10" t="s">
        <v>145</v>
      </c>
      <c r="B63" s="10" t="s">
        <v>16</v>
      </c>
      <c r="C63" s="10" t="s">
        <v>108</v>
      </c>
      <c r="D63" s="10" t="s">
        <v>146</v>
      </c>
      <c r="E63" s="11">
        <v>22.0</v>
      </c>
      <c r="F63" s="13" t="s">
        <v>32</v>
      </c>
      <c r="G63" s="13" t="s">
        <v>19</v>
      </c>
    </row>
    <row r="64" ht="15.75" customHeight="1">
      <c r="A64" s="10" t="s">
        <v>147</v>
      </c>
      <c r="B64" s="10" t="s">
        <v>16</v>
      </c>
      <c r="C64" s="10" t="s">
        <v>108</v>
      </c>
      <c r="D64" s="10" t="s">
        <v>148</v>
      </c>
      <c r="E64" s="11">
        <v>33.0</v>
      </c>
      <c r="F64" s="14"/>
      <c r="G64" s="13" t="s">
        <v>19</v>
      </c>
    </row>
    <row r="65" ht="15.75" customHeight="1">
      <c r="A65" s="10" t="s">
        <v>149</v>
      </c>
      <c r="B65" s="10" t="s">
        <v>16</v>
      </c>
      <c r="C65" s="10" t="s">
        <v>108</v>
      </c>
      <c r="D65" s="10" t="s">
        <v>150</v>
      </c>
      <c r="E65" s="11">
        <v>36.0</v>
      </c>
      <c r="F65" s="14"/>
      <c r="G65" s="13" t="s">
        <v>19</v>
      </c>
    </row>
    <row r="66" ht="15.75" customHeight="1">
      <c r="A66" s="10" t="s">
        <v>151</v>
      </c>
      <c r="B66" s="10" t="s">
        <v>16</v>
      </c>
      <c r="C66" s="10" t="s">
        <v>108</v>
      </c>
      <c r="D66" s="10" t="s">
        <v>152</v>
      </c>
      <c r="E66" s="11">
        <v>44.0</v>
      </c>
      <c r="F66" s="14"/>
      <c r="G66" s="13" t="s">
        <v>19</v>
      </c>
    </row>
    <row r="67" ht="15.75" customHeight="1">
      <c r="A67" s="10" t="s">
        <v>153</v>
      </c>
      <c r="B67" s="10" t="s">
        <v>16</v>
      </c>
      <c r="C67" s="10" t="s">
        <v>108</v>
      </c>
      <c r="D67" s="10" t="s">
        <v>154</v>
      </c>
      <c r="E67" s="11">
        <v>1.0</v>
      </c>
      <c r="F67" s="13"/>
      <c r="G67" s="13" t="s">
        <v>19</v>
      </c>
    </row>
    <row r="68" ht="15.75" customHeight="1">
      <c r="A68" s="10" t="s">
        <v>155</v>
      </c>
      <c r="B68" s="10" t="s">
        <v>16</v>
      </c>
      <c r="C68" s="10" t="s">
        <v>108</v>
      </c>
      <c r="D68" s="10" t="s">
        <v>156</v>
      </c>
      <c r="E68" s="11">
        <v>0.5</v>
      </c>
      <c r="F68" s="13"/>
      <c r="G68" s="13" t="s">
        <v>19</v>
      </c>
    </row>
    <row r="69" ht="15.75" customHeight="1">
      <c r="A69" s="10" t="s">
        <v>157</v>
      </c>
      <c r="B69" s="10" t="s">
        <v>16</v>
      </c>
      <c r="C69" s="10" t="s">
        <v>108</v>
      </c>
      <c r="D69" s="10" t="s">
        <v>158</v>
      </c>
      <c r="E69" s="11">
        <v>0.25</v>
      </c>
      <c r="F69" s="13"/>
      <c r="G69" s="13" t="s">
        <v>19</v>
      </c>
    </row>
    <row r="70" ht="15.75" customHeight="1">
      <c r="A70" s="10" t="s">
        <v>159</v>
      </c>
      <c r="B70" s="10" t="s">
        <v>16</v>
      </c>
      <c r="C70" s="10" t="s">
        <v>108</v>
      </c>
      <c r="D70" s="10" t="s">
        <v>160</v>
      </c>
      <c r="E70" s="11">
        <v>1.0</v>
      </c>
      <c r="F70" s="13"/>
      <c r="G70" s="13" t="s">
        <v>19</v>
      </c>
    </row>
    <row r="71" ht="15.75" customHeight="1">
      <c r="A71" s="10" t="s">
        <v>161</v>
      </c>
      <c r="B71" s="10" t="s">
        <v>16</v>
      </c>
      <c r="C71" s="10" t="s">
        <v>108</v>
      </c>
      <c r="D71" s="10" t="s">
        <v>162</v>
      </c>
      <c r="E71" s="11">
        <v>1.5</v>
      </c>
      <c r="F71" s="13"/>
      <c r="G71" s="13" t="s">
        <v>19</v>
      </c>
    </row>
    <row r="72" ht="15.75" customHeight="1">
      <c r="A72" s="10" t="s">
        <v>163</v>
      </c>
      <c r="B72" s="10" t="s">
        <v>16</v>
      </c>
      <c r="C72" s="10" t="s">
        <v>108</v>
      </c>
      <c r="D72" s="10" t="s">
        <v>164</v>
      </c>
      <c r="E72" s="11">
        <v>2.0</v>
      </c>
      <c r="F72" s="14"/>
      <c r="G72" s="13" t="s">
        <v>19</v>
      </c>
    </row>
    <row r="73" ht="15.75" customHeight="1">
      <c r="A73" s="10" t="s">
        <v>165</v>
      </c>
      <c r="B73" s="10" t="s">
        <v>16</v>
      </c>
      <c r="C73" s="10" t="s">
        <v>108</v>
      </c>
      <c r="D73" s="10" t="s">
        <v>166</v>
      </c>
      <c r="E73" s="11">
        <v>2.5</v>
      </c>
      <c r="F73" s="14"/>
      <c r="G73" s="13" t="s">
        <v>19</v>
      </c>
    </row>
    <row r="74" ht="15.75" customHeight="1">
      <c r="A74" s="10" t="s">
        <v>167</v>
      </c>
      <c r="B74" s="10" t="s">
        <v>16</v>
      </c>
      <c r="C74" s="10" t="s">
        <v>108</v>
      </c>
      <c r="D74" s="10" t="s">
        <v>168</v>
      </c>
      <c r="E74" s="11">
        <v>2.0</v>
      </c>
      <c r="F74" s="14"/>
      <c r="G74" s="13" t="s">
        <v>19</v>
      </c>
    </row>
    <row r="75" ht="15.75" customHeight="1">
      <c r="A75" s="10" t="s">
        <v>169</v>
      </c>
      <c r="B75" s="10" t="s">
        <v>16</v>
      </c>
      <c r="C75" s="10" t="s">
        <v>108</v>
      </c>
      <c r="D75" s="10" t="s">
        <v>170</v>
      </c>
      <c r="E75" s="11">
        <v>1.0</v>
      </c>
      <c r="F75" s="14"/>
      <c r="G75" s="13" t="s">
        <v>19</v>
      </c>
    </row>
    <row r="76" ht="15.75" customHeight="1">
      <c r="A76" s="10" t="s">
        <v>171</v>
      </c>
      <c r="B76" s="10" t="s">
        <v>16</v>
      </c>
      <c r="C76" s="10" t="s">
        <v>108</v>
      </c>
      <c r="D76" s="10" t="s">
        <v>172</v>
      </c>
      <c r="E76" s="11">
        <v>6.0</v>
      </c>
      <c r="F76" s="14"/>
      <c r="G76" s="13" t="s">
        <v>19</v>
      </c>
    </row>
    <row r="77" ht="15.75" customHeight="1">
      <c r="A77" s="10" t="s">
        <v>173</v>
      </c>
      <c r="B77" s="10" t="s">
        <v>16</v>
      </c>
      <c r="C77" s="10" t="s">
        <v>108</v>
      </c>
      <c r="D77" s="10" t="s">
        <v>174</v>
      </c>
      <c r="E77" s="11">
        <v>3.0</v>
      </c>
      <c r="F77" s="14"/>
      <c r="G77" s="13" t="s">
        <v>19</v>
      </c>
    </row>
    <row r="78" ht="15.75" customHeight="1">
      <c r="A78" s="10" t="s">
        <v>175</v>
      </c>
      <c r="B78" s="10" t="s">
        <v>16</v>
      </c>
      <c r="C78" s="10" t="s">
        <v>108</v>
      </c>
      <c r="D78" s="10" t="s">
        <v>176</v>
      </c>
      <c r="E78" s="11">
        <v>5.0</v>
      </c>
      <c r="F78" s="14"/>
      <c r="G78" s="13" t="s">
        <v>19</v>
      </c>
    </row>
    <row r="79" ht="15.75" customHeight="1">
      <c r="A79" s="10" t="s">
        <v>177</v>
      </c>
      <c r="B79" s="10" t="s">
        <v>16</v>
      </c>
      <c r="C79" s="10" t="s">
        <v>108</v>
      </c>
      <c r="D79" s="10" t="s">
        <v>178</v>
      </c>
      <c r="E79" s="11">
        <v>22.0</v>
      </c>
      <c r="F79" s="14"/>
      <c r="G79" s="13" t="s">
        <v>19</v>
      </c>
    </row>
    <row r="80" ht="15.75" customHeight="1">
      <c r="A80" s="10" t="s">
        <v>179</v>
      </c>
      <c r="B80" s="10" t="s">
        <v>16</v>
      </c>
      <c r="C80" s="10" t="s">
        <v>108</v>
      </c>
      <c r="D80" s="10" t="s">
        <v>180</v>
      </c>
      <c r="E80" s="11">
        <v>10.0</v>
      </c>
      <c r="F80" s="14"/>
      <c r="G80" s="13" t="s">
        <v>19</v>
      </c>
    </row>
    <row r="81" ht="15.75" customHeight="1">
      <c r="A81" s="10" t="s">
        <v>181</v>
      </c>
      <c r="B81" s="10" t="s">
        <v>16</v>
      </c>
      <c r="C81" s="10" t="s">
        <v>108</v>
      </c>
      <c r="D81" s="10" t="s">
        <v>182</v>
      </c>
      <c r="E81" s="11">
        <v>5.0</v>
      </c>
      <c r="F81" s="14"/>
      <c r="G81" s="13" t="s">
        <v>19</v>
      </c>
    </row>
    <row r="82" ht="15.75" customHeight="1">
      <c r="A82" s="10" t="s">
        <v>183</v>
      </c>
      <c r="B82" s="10" t="s">
        <v>16</v>
      </c>
      <c r="C82" s="10" t="s">
        <v>108</v>
      </c>
      <c r="D82" s="10" t="s">
        <v>184</v>
      </c>
      <c r="E82" s="11">
        <v>2.0</v>
      </c>
      <c r="F82" s="14"/>
      <c r="G82" s="13" t="s">
        <v>19</v>
      </c>
    </row>
    <row r="83" ht="15.75" customHeight="1">
      <c r="A83" s="10" t="s">
        <v>185</v>
      </c>
      <c r="B83" s="10" t="s">
        <v>16</v>
      </c>
      <c r="C83" s="10" t="s">
        <v>108</v>
      </c>
      <c r="D83" s="10" t="s">
        <v>186</v>
      </c>
      <c r="E83" s="11">
        <v>5.0</v>
      </c>
      <c r="F83" s="13"/>
      <c r="G83" s="13" t="s">
        <v>19</v>
      </c>
    </row>
    <row r="84" ht="15.75" customHeight="1">
      <c r="A84" s="10" t="s">
        <v>187</v>
      </c>
      <c r="B84" s="10" t="s">
        <v>16</v>
      </c>
      <c r="C84" s="10" t="s">
        <v>108</v>
      </c>
      <c r="D84" s="10" t="s">
        <v>188</v>
      </c>
      <c r="E84" s="11">
        <v>1.0</v>
      </c>
      <c r="F84" s="14"/>
      <c r="G84" s="13" t="s">
        <v>19</v>
      </c>
    </row>
    <row r="85" ht="15.75" customHeight="1">
      <c r="A85" s="10" t="s">
        <v>189</v>
      </c>
      <c r="B85" s="10" t="s">
        <v>16</v>
      </c>
      <c r="C85" s="10" t="s">
        <v>108</v>
      </c>
      <c r="D85" s="10" t="s">
        <v>190</v>
      </c>
      <c r="E85" s="11">
        <v>2.0</v>
      </c>
      <c r="F85" s="14"/>
      <c r="G85" s="13" t="s">
        <v>19</v>
      </c>
    </row>
    <row r="86" ht="15.75" customHeight="1">
      <c r="A86" s="10" t="s">
        <v>191</v>
      </c>
      <c r="B86" s="10" t="s">
        <v>16</v>
      </c>
      <c r="C86" s="10" t="s">
        <v>108</v>
      </c>
      <c r="D86" s="10" t="s">
        <v>192</v>
      </c>
      <c r="E86" s="11">
        <v>2.0</v>
      </c>
      <c r="F86" s="14"/>
      <c r="G86" s="13" t="s">
        <v>19</v>
      </c>
    </row>
    <row r="87" ht="15.75" customHeight="1">
      <c r="A87" s="10" t="s">
        <v>193</v>
      </c>
      <c r="B87" s="10" t="s">
        <v>16</v>
      </c>
      <c r="C87" s="10" t="s">
        <v>108</v>
      </c>
      <c r="D87" s="10" t="s">
        <v>194</v>
      </c>
      <c r="E87" s="11">
        <v>10.0</v>
      </c>
      <c r="F87" s="14"/>
      <c r="G87" s="13" t="s">
        <v>19</v>
      </c>
    </row>
    <row r="88" ht="15.75" customHeight="1">
      <c r="A88" s="10" t="s">
        <v>195</v>
      </c>
      <c r="B88" s="10" t="s">
        <v>16</v>
      </c>
      <c r="C88" s="10" t="s">
        <v>108</v>
      </c>
      <c r="D88" s="10" t="s">
        <v>196</v>
      </c>
      <c r="E88" s="11">
        <v>5.0</v>
      </c>
      <c r="F88" s="13"/>
      <c r="G88" s="13" t="s">
        <v>19</v>
      </c>
    </row>
    <row r="89" ht="15.75" customHeight="1">
      <c r="A89" s="10" t="s">
        <v>197</v>
      </c>
      <c r="B89" s="10" t="s">
        <v>16</v>
      </c>
      <c r="C89" s="10" t="s">
        <v>108</v>
      </c>
      <c r="D89" s="10" t="s">
        <v>198</v>
      </c>
      <c r="E89" s="11">
        <v>10.0</v>
      </c>
      <c r="F89" s="14"/>
      <c r="G89" s="13" t="s">
        <v>19</v>
      </c>
    </row>
    <row r="90" ht="15.75" customHeight="1">
      <c r="A90" s="10" t="s">
        <v>199</v>
      </c>
      <c r="B90" s="10" t="s">
        <v>16</v>
      </c>
      <c r="C90" s="10" t="s">
        <v>108</v>
      </c>
      <c r="D90" s="10" t="s">
        <v>200</v>
      </c>
      <c r="E90" s="11">
        <v>18.0</v>
      </c>
      <c r="F90" s="14"/>
      <c r="G90" s="13" t="s">
        <v>19</v>
      </c>
    </row>
    <row r="91" ht="15.75" customHeight="1">
      <c r="A91" s="10" t="s">
        <v>201</v>
      </c>
      <c r="B91" s="10" t="s">
        <v>16</v>
      </c>
      <c r="C91" s="10" t="s">
        <v>108</v>
      </c>
      <c r="D91" s="10" t="s">
        <v>202</v>
      </c>
      <c r="E91" s="11">
        <v>22.0</v>
      </c>
      <c r="F91" s="14"/>
      <c r="G91" s="13" t="s">
        <v>19</v>
      </c>
    </row>
    <row r="92" ht="15.75" customHeight="1">
      <c r="A92" s="10" t="s">
        <v>203</v>
      </c>
      <c r="B92" s="10" t="s">
        <v>16</v>
      </c>
      <c r="C92" s="10" t="s">
        <v>108</v>
      </c>
      <c r="D92" s="10" t="s">
        <v>204</v>
      </c>
      <c r="E92" s="15">
        <v>4.0</v>
      </c>
      <c r="F92" s="14"/>
      <c r="G92" s="13" t="s">
        <v>19</v>
      </c>
    </row>
    <row r="93" ht="15.75" customHeight="1">
      <c r="A93" s="10" t="s">
        <v>205</v>
      </c>
      <c r="B93" s="10" t="s">
        <v>16</v>
      </c>
      <c r="C93" s="10" t="s">
        <v>108</v>
      </c>
      <c r="D93" s="10" t="s">
        <v>206</v>
      </c>
      <c r="E93" s="11">
        <v>6.0</v>
      </c>
      <c r="F93" s="14"/>
      <c r="G93" s="13" t="s">
        <v>19</v>
      </c>
    </row>
    <row r="94" ht="15.75" customHeight="1">
      <c r="A94" s="10" t="s">
        <v>207</v>
      </c>
      <c r="B94" s="10" t="s">
        <v>16</v>
      </c>
      <c r="C94" s="10" t="s">
        <v>208</v>
      </c>
      <c r="D94" s="10" t="s">
        <v>209</v>
      </c>
      <c r="E94" s="15">
        <v>2.0</v>
      </c>
      <c r="F94" s="13" t="s">
        <v>210</v>
      </c>
      <c r="G94" s="13" t="s">
        <v>19</v>
      </c>
    </row>
    <row r="95" ht="15.75" customHeight="1">
      <c r="A95" s="10" t="s">
        <v>211</v>
      </c>
      <c r="B95" s="10" t="s">
        <v>16</v>
      </c>
      <c r="C95" s="10" t="s">
        <v>208</v>
      </c>
      <c r="D95" s="10" t="s">
        <v>212</v>
      </c>
      <c r="E95" s="11">
        <v>11.0</v>
      </c>
      <c r="F95" s="13">
        <v>11.0</v>
      </c>
      <c r="G95" s="13" t="s">
        <v>19</v>
      </c>
    </row>
    <row r="96" ht="15.75" customHeight="1">
      <c r="A96" s="10" t="s">
        <v>213</v>
      </c>
      <c r="B96" s="10" t="s">
        <v>16</v>
      </c>
      <c r="C96" s="10" t="s">
        <v>208</v>
      </c>
      <c r="D96" s="10" t="s">
        <v>214</v>
      </c>
      <c r="E96" s="15">
        <v>2.0</v>
      </c>
      <c r="F96" s="13">
        <v>11.0</v>
      </c>
      <c r="G96" s="13" t="s">
        <v>19</v>
      </c>
    </row>
    <row r="97" ht="15.75" customHeight="1">
      <c r="A97" s="10" t="s">
        <v>215</v>
      </c>
      <c r="B97" s="10" t="s">
        <v>16</v>
      </c>
      <c r="C97" s="10" t="s">
        <v>208</v>
      </c>
      <c r="D97" s="10" t="s">
        <v>216</v>
      </c>
      <c r="E97" s="15">
        <v>22.0</v>
      </c>
      <c r="F97" s="14"/>
      <c r="G97" s="13" t="s">
        <v>19</v>
      </c>
    </row>
    <row r="98" ht="15.75" customHeight="1">
      <c r="A98" s="10" t="s">
        <v>217</v>
      </c>
      <c r="B98" s="10" t="s">
        <v>16</v>
      </c>
      <c r="C98" s="10" t="s">
        <v>208</v>
      </c>
      <c r="D98" s="10" t="s">
        <v>218</v>
      </c>
      <c r="E98" s="15">
        <v>8.0</v>
      </c>
      <c r="F98" s="14"/>
      <c r="G98" s="13" t="s">
        <v>19</v>
      </c>
    </row>
    <row r="99" ht="15.75" customHeight="1">
      <c r="A99" s="10" t="s">
        <v>219</v>
      </c>
      <c r="B99" s="10" t="s">
        <v>16</v>
      </c>
      <c r="C99" s="10" t="s">
        <v>208</v>
      </c>
      <c r="D99" s="10" t="s">
        <v>220</v>
      </c>
      <c r="E99" s="15">
        <v>22.0</v>
      </c>
      <c r="F99" s="14"/>
      <c r="G99" s="13" t="s">
        <v>19</v>
      </c>
    </row>
    <row r="100" ht="15.75" customHeight="1">
      <c r="A100" s="10" t="s">
        <v>221</v>
      </c>
      <c r="B100" s="10" t="s">
        <v>16</v>
      </c>
      <c r="C100" s="10" t="s">
        <v>208</v>
      </c>
      <c r="D100" s="10" t="s">
        <v>222</v>
      </c>
      <c r="E100" s="15">
        <v>11.0</v>
      </c>
      <c r="F100" s="13">
        <v>11.0</v>
      </c>
      <c r="G100" s="13" t="s">
        <v>19</v>
      </c>
    </row>
    <row r="101" ht="15.75" customHeight="1">
      <c r="A101" s="17" t="s">
        <v>223</v>
      </c>
      <c r="B101" s="17" t="s">
        <v>16</v>
      </c>
      <c r="C101" s="17" t="s">
        <v>208</v>
      </c>
      <c r="D101" s="17" t="s">
        <v>224</v>
      </c>
      <c r="E101" s="18">
        <v>3.0</v>
      </c>
      <c r="F101" s="13" t="s">
        <v>210</v>
      </c>
      <c r="G101" s="13" t="s">
        <v>19</v>
      </c>
    </row>
    <row r="102" ht="15.75" customHeight="1">
      <c r="A102" s="17" t="s">
        <v>225</v>
      </c>
      <c r="B102" s="17" t="s">
        <v>16</v>
      </c>
      <c r="C102" s="17" t="s">
        <v>208</v>
      </c>
      <c r="D102" s="17" t="s">
        <v>226</v>
      </c>
      <c r="E102" s="18">
        <v>0.5</v>
      </c>
      <c r="F102" s="13" t="s">
        <v>210</v>
      </c>
      <c r="G102" s="13" t="s">
        <v>19</v>
      </c>
    </row>
    <row r="103" ht="15.75" customHeight="1">
      <c r="A103" s="17" t="s">
        <v>227</v>
      </c>
      <c r="B103" s="17" t="s">
        <v>16</v>
      </c>
      <c r="C103" s="17" t="s">
        <v>208</v>
      </c>
      <c r="D103" s="17" t="s">
        <v>228</v>
      </c>
      <c r="E103" s="18">
        <v>4.0</v>
      </c>
      <c r="F103" s="13" t="s">
        <v>210</v>
      </c>
      <c r="G103" s="13" t="s">
        <v>19</v>
      </c>
    </row>
    <row r="104" ht="15.75" customHeight="1">
      <c r="A104" s="17" t="s">
        <v>229</v>
      </c>
      <c r="B104" s="17" t="s">
        <v>16</v>
      </c>
      <c r="C104" s="17" t="s">
        <v>208</v>
      </c>
      <c r="D104" s="17" t="s">
        <v>230</v>
      </c>
      <c r="E104" s="18">
        <v>6.0</v>
      </c>
      <c r="F104" s="17" t="s">
        <v>210</v>
      </c>
      <c r="G104" s="17" t="s">
        <v>19</v>
      </c>
    </row>
    <row r="105" ht="15.75" customHeight="1">
      <c r="A105" s="17" t="s">
        <v>231</v>
      </c>
      <c r="B105" s="17" t="s">
        <v>16</v>
      </c>
      <c r="C105" s="17" t="s">
        <v>208</v>
      </c>
      <c r="D105" s="17" t="s">
        <v>232</v>
      </c>
      <c r="E105" s="18">
        <v>8.0</v>
      </c>
      <c r="F105" s="17" t="s">
        <v>210</v>
      </c>
      <c r="G105" s="17" t="s">
        <v>19</v>
      </c>
    </row>
    <row r="106" ht="15.75" customHeight="1">
      <c r="A106" s="17" t="s">
        <v>233</v>
      </c>
      <c r="B106" s="17" t="s">
        <v>16</v>
      </c>
      <c r="C106" s="17" t="s">
        <v>208</v>
      </c>
      <c r="D106" s="17" t="s">
        <v>234</v>
      </c>
      <c r="E106" s="18">
        <v>11.0</v>
      </c>
      <c r="F106" s="17"/>
      <c r="G106" s="17" t="s">
        <v>19</v>
      </c>
    </row>
    <row r="107" ht="15.75" customHeight="1">
      <c r="A107" s="17" t="s">
        <v>235</v>
      </c>
      <c r="B107" s="17" t="s">
        <v>16</v>
      </c>
      <c r="C107" s="17" t="s">
        <v>208</v>
      </c>
      <c r="D107" s="17" t="s">
        <v>236</v>
      </c>
      <c r="E107" s="18">
        <v>2.0</v>
      </c>
      <c r="G107" s="17" t="s">
        <v>19</v>
      </c>
    </row>
    <row r="108" ht="15.75" customHeight="1">
      <c r="A108" s="17" t="s">
        <v>237</v>
      </c>
      <c r="B108" s="17" t="s">
        <v>16</v>
      </c>
      <c r="C108" s="17" t="s">
        <v>208</v>
      </c>
      <c r="D108" s="17" t="s">
        <v>238</v>
      </c>
      <c r="E108" s="18">
        <v>22.0</v>
      </c>
      <c r="F108" s="17"/>
      <c r="G108" s="17" t="s">
        <v>19</v>
      </c>
    </row>
    <row r="109" ht="15.75" customHeight="1">
      <c r="A109" s="17" t="s">
        <v>239</v>
      </c>
      <c r="B109" s="17" t="s">
        <v>16</v>
      </c>
      <c r="C109" s="17" t="s">
        <v>208</v>
      </c>
      <c r="D109" s="17" t="s">
        <v>240</v>
      </c>
      <c r="E109" s="18">
        <v>44.0</v>
      </c>
      <c r="G109" s="17" t="s">
        <v>19</v>
      </c>
    </row>
    <row r="110" ht="15.75" customHeight="1">
      <c r="A110" s="17" t="s">
        <v>241</v>
      </c>
      <c r="B110" s="17" t="s">
        <v>16</v>
      </c>
      <c r="C110" s="17" t="s">
        <v>208</v>
      </c>
      <c r="D110" s="17" t="s">
        <v>242</v>
      </c>
      <c r="E110" s="18">
        <v>5.0</v>
      </c>
      <c r="G110" s="17" t="s">
        <v>19</v>
      </c>
    </row>
    <row r="111" ht="15.75" customHeight="1">
      <c r="A111" s="17" t="s">
        <v>243</v>
      </c>
      <c r="B111" s="17" t="s">
        <v>16</v>
      </c>
      <c r="C111" s="17" t="s">
        <v>208</v>
      </c>
      <c r="D111" s="17" t="s">
        <v>244</v>
      </c>
      <c r="E111" s="18">
        <v>7.0</v>
      </c>
      <c r="G111" s="17" t="s">
        <v>19</v>
      </c>
    </row>
    <row r="112" ht="15.75" customHeight="1">
      <c r="A112" s="17" t="s">
        <v>245</v>
      </c>
      <c r="B112" s="17" t="s">
        <v>16</v>
      </c>
      <c r="C112" s="17" t="s">
        <v>246</v>
      </c>
      <c r="D112" s="17" t="s">
        <v>247</v>
      </c>
      <c r="E112" s="18">
        <v>3.0</v>
      </c>
      <c r="G112" s="17" t="s">
        <v>19</v>
      </c>
    </row>
    <row r="113" ht="15.75" customHeight="1">
      <c r="A113" s="17" t="s">
        <v>248</v>
      </c>
      <c r="B113" s="17" t="s">
        <v>16</v>
      </c>
      <c r="C113" s="17" t="s">
        <v>246</v>
      </c>
      <c r="D113" s="17" t="s">
        <v>249</v>
      </c>
      <c r="E113" s="18">
        <v>2.0</v>
      </c>
      <c r="F113" s="17"/>
      <c r="G113" s="17" t="s">
        <v>19</v>
      </c>
    </row>
    <row r="114" ht="15.75" customHeight="1">
      <c r="A114" s="17" t="s">
        <v>250</v>
      </c>
      <c r="B114" s="17" t="s">
        <v>16</v>
      </c>
      <c r="C114" s="17" t="s">
        <v>246</v>
      </c>
      <c r="D114" s="17" t="s">
        <v>251</v>
      </c>
      <c r="E114" s="18">
        <v>3.0</v>
      </c>
      <c r="G114" s="17" t="s">
        <v>19</v>
      </c>
    </row>
    <row r="115" ht="15.75" customHeight="1">
      <c r="A115" s="17" t="s">
        <v>252</v>
      </c>
      <c r="B115" s="17" t="s">
        <v>16</v>
      </c>
      <c r="C115" s="17" t="s">
        <v>246</v>
      </c>
      <c r="D115" s="17" t="s">
        <v>253</v>
      </c>
      <c r="E115" s="18">
        <v>5.0</v>
      </c>
      <c r="G115" s="17" t="s">
        <v>19</v>
      </c>
    </row>
    <row r="116" ht="15.75" customHeight="1">
      <c r="A116" s="17" t="s">
        <v>254</v>
      </c>
      <c r="B116" s="17" t="s">
        <v>16</v>
      </c>
      <c r="C116" s="17" t="s">
        <v>246</v>
      </c>
      <c r="D116" s="17" t="s">
        <v>255</v>
      </c>
      <c r="E116" s="18">
        <v>11.0</v>
      </c>
      <c r="G116" s="17" t="s">
        <v>19</v>
      </c>
    </row>
    <row r="117" ht="15.75" customHeight="1">
      <c r="A117" s="17" t="s">
        <v>256</v>
      </c>
      <c r="B117" s="17" t="s">
        <v>16</v>
      </c>
      <c r="C117" s="17" t="s">
        <v>246</v>
      </c>
      <c r="D117" s="17" t="s">
        <v>257</v>
      </c>
      <c r="E117" s="18">
        <v>22.0</v>
      </c>
      <c r="G117" s="17" t="s">
        <v>19</v>
      </c>
    </row>
    <row r="118" ht="15.75" customHeight="1">
      <c r="A118" s="17" t="s">
        <v>258</v>
      </c>
      <c r="B118" s="17" t="s">
        <v>16</v>
      </c>
      <c r="C118" s="17" t="s">
        <v>246</v>
      </c>
      <c r="D118" s="17" t="s">
        <v>259</v>
      </c>
      <c r="E118" s="18">
        <v>2.0</v>
      </c>
      <c r="G118" s="17" t="s">
        <v>19</v>
      </c>
    </row>
    <row r="119" ht="15.75" customHeight="1">
      <c r="A119" s="17" t="s">
        <v>260</v>
      </c>
      <c r="B119" s="17" t="s">
        <v>16</v>
      </c>
      <c r="C119" s="17" t="s">
        <v>246</v>
      </c>
      <c r="D119" s="17" t="s">
        <v>261</v>
      </c>
      <c r="E119" s="18">
        <v>11.0</v>
      </c>
      <c r="G119" s="17" t="s">
        <v>19</v>
      </c>
    </row>
    <row r="120" ht="15.75" customHeight="1">
      <c r="A120" s="17" t="s">
        <v>262</v>
      </c>
      <c r="B120" s="17" t="s">
        <v>16</v>
      </c>
      <c r="C120" s="17" t="s">
        <v>246</v>
      </c>
      <c r="D120" s="17" t="s">
        <v>263</v>
      </c>
      <c r="E120" s="18">
        <v>22.0</v>
      </c>
      <c r="G120" s="17" t="s">
        <v>19</v>
      </c>
    </row>
    <row r="121" ht="15.75" customHeight="1">
      <c r="A121" s="17" t="s">
        <v>264</v>
      </c>
      <c r="B121" s="17" t="s">
        <v>16</v>
      </c>
      <c r="C121" s="17" t="s">
        <v>246</v>
      </c>
      <c r="D121" s="17" t="s">
        <v>265</v>
      </c>
      <c r="E121" s="18">
        <v>2.0</v>
      </c>
      <c r="G121" s="17" t="s">
        <v>19</v>
      </c>
    </row>
    <row r="122" ht="15.75" customHeight="1">
      <c r="A122" s="17" t="s">
        <v>266</v>
      </c>
      <c r="B122" s="17" t="s">
        <v>16</v>
      </c>
      <c r="C122" s="17" t="s">
        <v>246</v>
      </c>
      <c r="D122" s="17" t="s">
        <v>267</v>
      </c>
      <c r="E122" s="18">
        <v>2.5</v>
      </c>
      <c r="F122" s="17"/>
      <c r="G122" s="17" t="s">
        <v>19</v>
      </c>
    </row>
    <row r="123" ht="15.75" customHeight="1">
      <c r="A123" s="17" t="s">
        <v>268</v>
      </c>
      <c r="B123" s="17" t="s">
        <v>16</v>
      </c>
      <c r="C123" s="17" t="s">
        <v>246</v>
      </c>
      <c r="D123" s="17" t="s">
        <v>269</v>
      </c>
      <c r="E123" s="18">
        <v>2.0</v>
      </c>
      <c r="F123" s="17"/>
      <c r="G123" s="17" t="s">
        <v>19</v>
      </c>
    </row>
    <row r="124" ht="15.75" customHeight="1">
      <c r="A124" s="17" t="s">
        <v>270</v>
      </c>
      <c r="B124" s="17" t="s">
        <v>16</v>
      </c>
      <c r="C124" s="17" t="s">
        <v>246</v>
      </c>
      <c r="D124" s="17" t="s">
        <v>271</v>
      </c>
      <c r="E124" s="18">
        <v>5.0</v>
      </c>
      <c r="G124" s="17" t="s">
        <v>19</v>
      </c>
    </row>
    <row r="125" ht="15.75" customHeight="1">
      <c r="A125" s="17" t="s">
        <v>272</v>
      </c>
      <c r="B125" s="17" t="s">
        <v>16</v>
      </c>
      <c r="C125" s="17" t="s">
        <v>273</v>
      </c>
      <c r="D125" s="17" t="s">
        <v>274</v>
      </c>
      <c r="E125" s="18">
        <v>1.0</v>
      </c>
      <c r="G125" s="17" t="s">
        <v>19</v>
      </c>
    </row>
    <row r="126" ht="15.75" customHeight="1">
      <c r="A126" s="17" t="s">
        <v>275</v>
      </c>
      <c r="B126" s="17" t="s">
        <v>16</v>
      </c>
      <c r="C126" s="17" t="s">
        <v>273</v>
      </c>
      <c r="D126" s="17" t="s">
        <v>276</v>
      </c>
      <c r="E126" s="18">
        <v>0.16</v>
      </c>
      <c r="G126" s="17" t="s">
        <v>19</v>
      </c>
    </row>
    <row r="127" ht="15.75" customHeight="1">
      <c r="A127" s="17" t="s">
        <v>277</v>
      </c>
      <c r="B127" s="17" t="s">
        <v>16</v>
      </c>
      <c r="C127" s="17" t="s">
        <v>273</v>
      </c>
      <c r="D127" s="17" t="s">
        <v>278</v>
      </c>
      <c r="E127" s="18">
        <v>0.25</v>
      </c>
      <c r="F127" s="17" t="s">
        <v>279</v>
      </c>
      <c r="G127" s="17" t="s">
        <v>19</v>
      </c>
    </row>
    <row r="128" ht="15.75" customHeight="1">
      <c r="A128" s="17" t="s">
        <v>280</v>
      </c>
      <c r="B128" s="17" t="s">
        <v>16</v>
      </c>
      <c r="C128" s="17" t="s">
        <v>273</v>
      </c>
      <c r="D128" s="17" t="s">
        <v>281</v>
      </c>
      <c r="E128" s="18">
        <v>0.42</v>
      </c>
      <c r="G128" s="17" t="s">
        <v>19</v>
      </c>
    </row>
    <row r="129" ht="15.75" customHeight="1">
      <c r="A129" s="17" t="s">
        <v>282</v>
      </c>
      <c r="B129" s="17" t="s">
        <v>16</v>
      </c>
      <c r="C129" s="17" t="s">
        <v>273</v>
      </c>
      <c r="D129" s="17" t="s">
        <v>283</v>
      </c>
      <c r="E129" s="18">
        <v>2.0</v>
      </c>
      <c r="G129" s="17" t="s">
        <v>19</v>
      </c>
    </row>
    <row r="130" ht="15.75" customHeight="1">
      <c r="A130" s="17" t="s">
        <v>284</v>
      </c>
      <c r="B130" s="17" t="s">
        <v>16</v>
      </c>
      <c r="C130" s="17" t="s">
        <v>273</v>
      </c>
      <c r="D130" s="17" t="s">
        <v>285</v>
      </c>
      <c r="E130" s="18">
        <v>5.0</v>
      </c>
      <c r="F130" s="17"/>
      <c r="G130" s="17" t="s">
        <v>19</v>
      </c>
    </row>
    <row r="131" ht="15.75" customHeight="1">
      <c r="A131" s="17" t="s">
        <v>286</v>
      </c>
      <c r="B131" s="17" t="s">
        <v>16</v>
      </c>
      <c r="C131" s="17" t="s">
        <v>273</v>
      </c>
      <c r="D131" s="17" t="s">
        <v>287</v>
      </c>
      <c r="E131" s="18">
        <v>1.0</v>
      </c>
      <c r="G131" s="17" t="s">
        <v>19</v>
      </c>
    </row>
    <row r="132" ht="15.75" customHeight="1">
      <c r="A132" s="17" t="s">
        <v>288</v>
      </c>
      <c r="B132" s="17" t="s">
        <v>16</v>
      </c>
      <c r="C132" s="17" t="s">
        <v>273</v>
      </c>
      <c r="D132" s="17" t="s">
        <v>289</v>
      </c>
      <c r="E132" s="18">
        <v>2.0</v>
      </c>
      <c r="G132" s="17" t="s">
        <v>19</v>
      </c>
    </row>
    <row r="133" ht="15.75" customHeight="1">
      <c r="A133" s="17" t="s">
        <v>290</v>
      </c>
      <c r="B133" s="17" t="s">
        <v>16</v>
      </c>
      <c r="C133" s="17" t="s">
        <v>273</v>
      </c>
      <c r="D133" s="17" t="s">
        <v>291</v>
      </c>
      <c r="E133" s="18">
        <v>3.0</v>
      </c>
      <c r="G133" s="17" t="s">
        <v>19</v>
      </c>
    </row>
    <row r="134" ht="15.75" customHeight="1">
      <c r="A134" s="17" t="s">
        <v>292</v>
      </c>
      <c r="B134" s="17" t="s">
        <v>16</v>
      </c>
      <c r="C134" s="17" t="s">
        <v>273</v>
      </c>
      <c r="D134" s="17" t="s">
        <v>293</v>
      </c>
      <c r="E134" s="18">
        <v>4.0</v>
      </c>
      <c r="G134" s="17" t="s">
        <v>19</v>
      </c>
    </row>
    <row r="135" ht="15.75" customHeight="1">
      <c r="A135" s="17" t="s">
        <v>294</v>
      </c>
      <c r="B135" s="17" t="s">
        <v>16</v>
      </c>
      <c r="C135" s="17" t="s">
        <v>273</v>
      </c>
      <c r="D135" s="17" t="s">
        <v>295</v>
      </c>
      <c r="E135" s="18">
        <v>2.0</v>
      </c>
      <c r="F135" s="17" t="s">
        <v>296</v>
      </c>
      <c r="G135" s="17" t="s">
        <v>19</v>
      </c>
    </row>
    <row r="136" ht="15.75" customHeight="1">
      <c r="A136" s="17" t="s">
        <v>297</v>
      </c>
      <c r="B136" s="17" t="s">
        <v>16</v>
      </c>
      <c r="C136" s="17" t="s">
        <v>273</v>
      </c>
      <c r="D136" s="17" t="s">
        <v>298</v>
      </c>
      <c r="E136" s="18">
        <v>3.0</v>
      </c>
      <c r="G136" s="17" t="s">
        <v>19</v>
      </c>
    </row>
    <row r="137" ht="15.75" customHeight="1">
      <c r="A137" s="17" t="s">
        <v>299</v>
      </c>
      <c r="B137" s="17" t="s">
        <v>16</v>
      </c>
      <c r="C137" s="17" t="s">
        <v>273</v>
      </c>
      <c r="D137" s="17" t="s">
        <v>300</v>
      </c>
      <c r="E137" s="18">
        <v>4.0</v>
      </c>
      <c r="F137" s="17"/>
      <c r="G137" s="17" t="s">
        <v>19</v>
      </c>
    </row>
    <row r="138" ht="15.75" customHeight="1">
      <c r="A138" s="17" t="s">
        <v>301</v>
      </c>
      <c r="B138" s="17" t="s">
        <v>16</v>
      </c>
      <c r="C138" s="17" t="s">
        <v>273</v>
      </c>
      <c r="D138" s="17" t="s">
        <v>302</v>
      </c>
      <c r="E138" s="18">
        <v>5.0</v>
      </c>
      <c r="G138" s="17" t="s">
        <v>19</v>
      </c>
    </row>
    <row r="139" ht="15.75" customHeight="1">
      <c r="A139" s="17" t="s">
        <v>303</v>
      </c>
      <c r="B139" s="17" t="s">
        <v>16</v>
      </c>
      <c r="C139" s="17" t="s">
        <v>273</v>
      </c>
      <c r="D139" s="17" t="s">
        <v>304</v>
      </c>
      <c r="E139" s="18">
        <v>2.0</v>
      </c>
      <c r="G139" s="17" t="s">
        <v>19</v>
      </c>
    </row>
    <row r="140" ht="15.75" customHeight="1">
      <c r="A140" s="17" t="s">
        <v>305</v>
      </c>
      <c r="B140" s="17" t="s">
        <v>16</v>
      </c>
      <c r="C140" s="17" t="s">
        <v>273</v>
      </c>
      <c r="D140" s="17" t="s">
        <v>306</v>
      </c>
      <c r="E140" s="18">
        <v>3.0</v>
      </c>
      <c r="G140" s="17" t="s">
        <v>19</v>
      </c>
    </row>
    <row r="141" ht="15.75" customHeight="1">
      <c r="A141" s="17" t="s">
        <v>307</v>
      </c>
      <c r="B141" s="17" t="s">
        <v>16</v>
      </c>
      <c r="C141" s="17" t="s">
        <v>273</v>
      </c>
      <c r="D141" s="17" t="s">
        <v>308</v>
      </c>
      <c r="E141" s="18">
        <v>8.0</v>
      </c>
      <c r="G141" s="17" t="s">
        <v>19</v>
      </c>
    </row>
    <row r="142" ht="15.75" customHeight="1">
      <c r="A142" s="17" t="s">
        <v>309</v>
      </c>
      <c r="B142" s="17" t="s">
        <v>16</v>
      </c>
      <c r="C142" s="17" t="s">
        <v>273</v>
      </c>
      <c r="D142" s="17" t="s">
        <v>310</v>
      </c>
      <c r="E142" s="18">
        <v>9.0</v>
      </c>
      <c r="F142" s="18"/>
      <c r="G142" s="17" t="s">
        <v>19</v>
      </c>
    </row>
    <row r="143" ht="15.75" customHeight="1">
      <c r="A143" s="17" t="s">
        <v>311</v>
      </c>
      <c r="B143" s="17" t="s">
        <v>16</v>
      </c>
      <c r="C143" s="17" t="s">
        <v>273</v>
      </c>
      <c r="D143" s="17" t="s">
        <v>312</v>
      </c>
      <c r="E143" s="18">
        <v>22.0</v>
      </c>
      <c r="G143" s="17" t="s">
        <v>19</v>
      </c>
    </row>
    <row r="144" ht="15.75" customHeight="1">
      <c r="A144" s="17" t="s">
        <v>313</v>
      </c>
      <c r="B144" s="17" t="s">
        <v>16</v>
      </c>
      <c r="C144" s="17" t="s">
        <v>273</v>
      </c>
      <c r="D144" s="17" t="s">
        <v>314</v>
      </c>
      <c r="E144" s="18">
        <v>3.0</v>
      </c>
      <c r="F144" s="17">
        <v>0.25</v>
      </c>
      <c r="G144" s="17" t="s">
        <v>19</v>
      </c>
    </row>
    <row r="145" ht="15.75" customHeight="1">
      <c r="A145" s="17" t="s">
        <v>315</v>
      </c>
      <c r="B145" s="17" t="s">
        <v>16</v>
      </c>
      <c r="C145" s="17" t="s">
        <v>273</v>
      </c>
      <c r="D145" s="17" t="s">
        <v>316</v>
      </c>
      <c r="E145" s="18">
        <v>2.0</v>
      </c>
      <c r="F145" s="17">
        <v>0.25</v>
      </c>
      <c r="G145" s="17" t="s">
        <v>19</v>
      </c>
    </row>
    <row r="146" ht="15.75" customHeight="1">
      <c r="A146" s="17" t="s">
        <v>317</v>
      </c>
      <c r="B146" s="17" t="s">
        <v>16</v>
      </c>
      <c r="C146" s="17" t="s">
        <v>273</v>
      </c>
      <c r="D146" s="17" t="s">
        <v>135</v>
      </c>
      <c r="E146" s="18">
        <v>2.0</v>
      </c>
      <c r="G146" s="17" t="s">
        <v>19</v>
      </c>
    </row>
    <row r="147" ht="15.75" customHeight="1">
      <c r="A147" s="17" t="s">
        <v>318</v>
      </c>
      <c r="B147" s="17" t="s">
        <v>16</v>
      </c>
      <c r="C147" s="17" t="s">
        <v>273</v>
      </c>
      <c r="D147" s="17" t="s">
        <v>319</v>
      </c>
      <c r="E147" s="18">
        <v>15.0</v>
      </c>
      <c r="G147" s="17" t="s">
        <v>19</v>
      </c>
    </row>
    <row r="148" ht="15.75" customHeight="1">
      <c r="A148" s="17" t="s">
        <v>320</v>
      </c>
      <c r="B148" s="17" t="s">
        <v>16</v>
      </c>
      <c r="C148" s="17" t="s">
        <v>273</v>
      </c>
      <c r="D148" s="17" t="s">
        <v>257</v>
      </c>
      <c r="E148" s="18">
        <v>22.0</v>
      </c>
      <c r="G148" s="17" t="s">
        <v>19</v>
      </c>
    </row>
    <row r="149" ht="15.75" customHeight="1">
      <c r="A149" s="17" t="s">
        <v>321</v>
      </c>
      <c r="B149" s="17" t="s">
        <v>16</v>
      </c>
      <c r="C149" s="17" t="s">
        <v>273</v>
      </c>
      <c r="D149" s="17" t="s">
        <v>322</v>
      </c>
      <c r="E149" s="18">
        <v>3.0</v>
      </c>
      <c r="G149" s="17" t="s">
        <v>19</v>
      </c>
    </row>
    <row r="150" ht="15.75" customHeight="1">
      <c r="A150" s="17" t="s">
        <v>323</v>
      </c>
      <c r="B150" s="17" t="s">
        <v>16</v>
      </c>
      <c r="C150" s="17" t="s">
        <v>273</v>
      </c>
      <c r="D150" s="17" t="s">
        <v>324</v>
      </c>
      <c r="E150" s="18">
        <v>5.0</v>
      </c>
      <c r="G150" s="17" t="s">
        <v>19</v>
      </c>
    </row>
    <row r="151" ht="15.75" customHeight="1">
      <c r="A151" s="17" t="s">
        <v>325</v>
      </c>
      <c r="B151" s="17" t="s">
        <v>16</v>
      </c>
      <c r="C151" s="17" t="s">
        <v>273</v>
      </c>
      <c r="D151" s="17" t="s">
        <v>326</v>
      </c>
      <c r="E151" s="18">
        <v>6.0</v>
      </c>
      <c r="F151" s="17"/>
      <c r="G151" s="17" t="s">
        <v>19</v>
      </c>
    </row>
    <row r="152" ht="15.75" customHeight="1">
      <c r="A152" s="17" t="s">
        <v>327</v>
      </c>
      <c r="B152" s="17" t="s">
        <v>16</v>
      </c>
      <c r="C152" s="17" t="s">
        <v>273</v>
      </c>
      <c r="D152" s="17" t="s">
        <v>328</v>
      </c>
      <c r="E152" s="18">
        <v>8.0</v>
      </c>
      <c r="G152" s="17" t="s">
        <v>19</v>
      </c>
    </row>
    <row r="153" ht="15.75" customHeight="1">
      <c r="A153" s="17" t="s">
        <v>329</v>
      </c>
      <c r="B153" s="17" t="s">
        <v>16</v>
      </c>
      <c r="C153" s="17" t="s">
        <v>273</v>
      </c>
      <c r="D153" s="17" t="s">
        <v>330</v>
      </c>
      <c r="E153" s="18">
        <v>11.0</v>
      </c>
      <c r="G153" s="17" t="s">
        <v>19</v>
      </c>
    </row>
    <row r="154" ht="15.75" customHeight="1">
      <c r="A154" s="17" t="s">
        <v>331</v>
      </c>
      <c r="B154" s="17" t="s">
        <v>16</v>
      </c>
      <c r="C154" s="17" t="s">
        <v>273</v>
      </c>
      <c r="D154" s="17" t="s">
        <v>332</v>
      </c>
      <c r="E154" s="18">
        <v>2.0</v>
      </c>
      <c r="G154" s="17" t="s">
        <v>19</v>
      </c>
    </row>
    <row r="155" ht="15.75" customHeight="1">
      <c r="A155" s="17" t="s">
        <v>333</v>
      </c>
      <c r="B155" s="17" t="s">
        <v>16</v>
      </c>
      <c r="C155" s="17" t="s">
        <v>273</v>
      </c>
      <c r="D155" s="17" t="s">
        <v>334</v>
      </c>
      <c r="E155" s="18">
        <v>22.0</v>
      </c>
      <c r="G155" s="17" t="s">
        <v>19</v>
      </c>
    </row>
    <row r="156" ht="15.75" customHeight="1">
      <c r="A156" s="17" t="s">
        <v>335</v>
      </c>
      <c r="B156" s="17" t="s">
        <v>16</v>
      </c>
      <c r="C156" s="17" t="s">
        <v>273</v>
      </c>
      <c r="D156" s="17" t="s">
        <v>336</v>
      </c>
      <c r="E156" s="18">
        <v>3.0</v>
      </c>
      <c r="F156" s="17"/>
      <c r="G156" s="17" t="s">
        <v>19</v>
      </c>
    </row>
    <row r="157" ht="15.75" customHeight="1">
      <c r="A157" s="17" t="s">
        <v>337</v>
      </c>
      <c r="B157" s="17" t="s">
        <v>16</v>
      </c>
      <c r="C157" s="17" t="s">
        <v>273</v>
      </c>
      <c r="D157" s="17" t="s">
        <v>338</v>
      </c>
      <c r="E157" s="18">
        <v>5.0</v>
      </c>
      <c r="F157" s="17">
        <v>5.0</v>
      </c>
      <c r="G157" s="17" t="s">
        <v>19</v>
      </c>
    </row>
    <row r="158" ht="15.75" customHeight="1">
      <c r="A158" s="17" t="s">
        <v>339</v>
      </c>
      <c r="B158" s="17" t="s">
        <v>16</v>
      </c>
      <c r="C158" s="17" t="s">
        <v>273</v>
      </c>
      <c r="D158" s="17" t="s">
        <v>340</v>
      </c>
      <c r="E158" s="18">
        <v>5.0</v>
      </c>
      <c r="F158" s="17"/>
      <c r="G158" s="17" t="s">
        <v>19</v>
      </c>
    </row>
    <row r="159" ht="15.75" customHeight="1">
      <c r="A159" s="17" t="s">
        <v>341</v>
      </c>
      <c r="B159" s="17" t="s">
        <v>16</v>
      </c>
      <c r="C159" s="17" t="s">
        <v>273</v>
      </c>
      <c r="D159" s="17" t="s">
        <v>342</v>
      </c>
      <c r="E159" s="18">
        <v>11.0</v>
      </c>
      <c r="F159" s="17" t="s">
        <v>343</v>
      </c>
      <c r="G159" s="17" t="s">
        <v>19</v>
      </c>
    </row>
    <row r="160" ht="15.75" customHeight="1">
      <c r="A160" s="17" t="s">
        <v>344</v>
      </c>
      <c r="B160" s="17" t="s">
        <v>16</v>
      </c>
      <c r="C160" s="17" t="s">
        <v>273</v>
      </c>
      <c r="D160" s="17" t="s">
        <v>345</v>
      </c>
      <c r="E160" s="18">
        <v>22.0</v>
      </c>
      <c r="G160" s="17" t="s">
        <v>19</v>
      </c>
    </row>
    <row r="161" ht="15.75" customHeight="1">
      <c r="A161" s="17" t="s">
        <v>346</v>
      </c>
      <c r="B161" s="17" t="s">
        <v>16</v>
      </c>
      <c r="C161" s="17" t="s">
        <v>273</v>
      </c>
      <c r="D161" s="17" t="s">
        <v>347</v>
      </c>
      <c r="E161" s="18">
        <v>4.0</v>
      </c>
      <c r="G161" s="17" t="s">
        <v>19</v>
      </c>
    </row>
    <row r="162" ht="15.75" customHeight="1">
      <c r="A162" s="17" t="s">
        <v>348</v>
      </c>
      <c r="B162" s="17" t="s">
        <v>16</v>
      </c>
      <c r="C162" s="17" t="s">
        <v>273</v>
      </c>
      <c r="D162" s="17" t="s">
        <v>349</v>
      </c>
      <c r="E162" s="18">
        <v>9.0</v>
      </c>
      <c r="F162" s="17" t="s">
        <v>343</v>
      </c>
      <c r="G162" s="17" t="s">
        <v>19</v>
      </c>
    </row>
    <row r="163" ht="15.75" customHeight="1">
      <c r="A163" s="17" t="s">
        <v>350</v>
      </c>
      <c r="B163" s="17" t="s">
        <v>16</v>
      </c>
      <c r="C163" s="17" t="s">
        <v>273</v>
      </c>
      <c r="D163" s="17" t="s">
        <v>351</v>
      </c>
      <c r="E163" s="18">
        <v>11.0</v>
      </c>
      <c r="G163" s="17" t="s">
        <v>19</v>
      </c>
    </row>
    <row r="164" ht="15.75" customHeight="1">
      <c r="A164" s="17" t="s">
        <v>352</v>
      </c>
      <c r="B164" s="17" t="s">
        <v>16</v>
      </c>
      <c r="C164" s="17" t="s">
        <v>273</v>
      </c>
      <c r="D164" s="17" t="s">
        <v>353</v>
      </c>
      <c r="E164" s="18">
        <v>3.0</v>
      </c>
      <c r="F164" s="17"/>
      <c r="G164" s="17" t="s">
        <v>19</v>
      </c>
    </row>
    <row r="165" ht="15.75" customHeight="1">
      <c r="A165" s="17" t="s">
        <v>354</v>
      </c>
      <c r="B165" s="17" t="s">
        <v>16</v>
      </c>
      <c r="C165" s="17" t="s">
        <v>273</v>
      </c>
      <c r="D165" s="17" t="s">
        <v>355</v>
      </c>
      <c r="E165" s="18">
        <v>6.0</v>
      </c>
      <c r="G165" s="17" t="s">
        <v>19</v>
      </c>
    </row>
    <row r="166" ht="15.75" customHeight="1">
      <c r="A166" s="17" t="s">
        <v>356</v>
      </c>
      <c r="B166" s="17" t="s">
        <v>16</v>
      </c>
      <c r="C166" s="17" t="s">
        <v>273</v>
      </c>
      <c r="D166" s="17" t="s">
        <v>357</v>
      </c>
      <c r="E166" s="18">
        <v>4.0</v>
      </c>
      <c r="F166" s="17"/>
      <c r="G166" s="17" t="s">
        <v>19</v>
      </c>
    </row>
    <row r="167" ht="15.75" customHeight="1">
      <c r="A167" s="17" t="s">
        <v>358</v>
      </c>
      <c r="B167" s="17" t="s">
        <v>16</v>
      </c>
      <c r="C167" s="17" t="s">
        <v>273</v>
      </c>
      <c r="D167" s="17" t="s">
        <v>359</v>
      </c>
      <c r="E167" s="18">
        <v>5.0</v>
      </c>
      <c r="F167" s="17">
        <v>11.0</v>
      </c>
      <c r="G167" s="17" t="s">
        <v>360</v>
      </c>
    </row>
    <row r="168" ht="15.75" customHeight="1">
      <c r="A168" s="17" t="s">
        <v>361</v>
      </c>
      <c r="B168" s="17" t="s">
        <v>16</v>
      </c>
      <c r="C168" s="17" t="s">
        <v>273</v>
      </c>
      <c r="D168" s="17" t="s">
        <v>362</v>
      </c>
      <c r="E168" s="18">
        <v>2.0</v>
      </c>
      <c r="G168" s="17" t="s">
        <v>19</v>
      </c>
    </row>
    <row r="169" ht="15.75" customHeight="1">
      <c r="A169" s="17" t="s">
        <v>363</v>
      </c>
      <c r="B169" s="17" t="s">
        <v>16</v>
      </c>
      <c r="C169" s="17" t="s">
        <v>273</v>
      </c>
      <c r="D169" s="17" t="s">
        <v>364</v>
      </c>
      <c r="E169" s="18">
        <v>3.5</v>
      </c>
      <c r="G169" s="17" t="s">
        <v>19</v>
      </c>
    </row>
    <row r="170" ht="15.75" customHeight="1">
      <c r="A170" s="17" t="s">
        <v>365</v>
      </c>
      <c r="B170" s="17" t="s">
        <v>16</v>
      </c>
      <c r="C170" s="17" t="s">
        <v>273</v>
      </c>
      <c r="D170" s="17" t="s">
        <v>366</v>
      </c>
      <c r="E170" s="18">
        <v>5.0</v>
      </c>
      <c r="F170" s="17"/>
      <c r="G170" s="17" t="s">
        <v>19</v>
      </c>
    </row>
    <row r="171" ht="15.75" customHeight="1">
      <c r="A171" s="17" t="s">
        <v>367</v>
      </c>
      <c r="B171" s="17" t="s">
        <v>16</v>
      </c>
      <c r="C171" s="17" t="s">
        <v>273</v>
      </c>
      <c r="D171" s="17" t="s">
        <v>366</v>
      </c>
      <c r="E171" s="18">
        <v>5.0</v>
      </c>
      <c r="G171" s="17" t="s">
        <v>19</v>
      </c>
    </row>
    <row r="172" ht="15.75" customHeight="1">
      <c r="A172" s="17" t="s">
        <v>368</v>
      </c>
      <c r="B172" s="17" t="s">
        <v>16</v>
      </c>
      <c r="C172" s="17" t="s">
        <v>273</v>
      </c>
      <c r="D172" s="17" t="s">
        <v>369</v>
      </c>
      <c r="E172" s="18">
        <v>6.0</v>
      </c>
      <c r="G172" s="17" t="s">
        <v>19</v>
      </c>
    </row>
    <row r="173" ht="15.75" customHeight="1">
      <c r="A173" s="17" t="s">
        <v>370</v>
      </c>
      <c r="B173" s="17" t="s">
        <v>16</v>
      </c>
      <c r="C173" s="17" t="s">
        <v>273</v>
      </c>
      <c r="D173" s="17" t="s">
        <v>371</v>
      </c>
      <c r="E173" s="18">
        <v>8.0</v>
      </c>
      <c r="G173" s="17" t="s">
        <v>19</v>
      </c>
    </row>
    <row r="174" ht="15.75" customHeight="1">
      <c r="A174" s="17" t="s">
        <v>372</v>
      </c>
      <c r="B174" s="17" t="s">
        <v>16</v>
      </c>
      <c r="C174" s="17" t="s">
        <v>273</v>
      </c>
      <c r="D174" s="17" t="s">
        <v>373</v>
      </c>
      <c r="E174" s="18">
        <v>2.0</v>
      </c>
      <c r="G174" s="17" t="s">
        <v>19</v>
      </c>
    </row>
    <row r="175" ht="15.75" customHeight="1">
      <c r="A175" s="17" t="s">
        <v>374</v>
      </c>
      <c r="B175" s="17" t="s">
        <v>16</v>
      </c>
      <c r="C175" s="17" t="s">
        <v>273</v>
      </c>
      <c r="D175" s="17" t="s">
        <v>375</v>
      </c>
      <c r="E175" s="18">
        <v>5.0</v>
      </c>
      <c r="F175" s="17"/>
      <c r="G175" s="17" t="s">
        <v>19</v>
      </c>
    </row>
    <row r="176" ht="15.75" customHeight="1">
      <c r="A176" s="17" t="s">
        <v>376</v>
      </c>
      <c r="B176" s="17" t="s">
        <v>16</v>
      </c>
      <c r="C176" s="17" t="s">
        <v>273</v>
      </c>
      <c r="D176" s="17" t="s">
        <v>377</v>
      </c>
      <c r="E176" s="18">
        <v>8.0</v>
      </c>
      <c r="F176" s="17">
        <v>5.0</v>
      </c>
      <c r="G176" s="17" t="s">
        <v>19</v>
      </c>
    </row>
    <row r="177" ht="15.75" customHeight="1">
      <c r="A177" s="17" t="s">
        <v>378</v>
      </c>
      <c r="B177" s="17" t="s">
        <v>16</v>
      </c>
      <c r="C177" s="17" t="s">
        <v>273</v>
      </c>
      <c r="D177" s="17" t="s">
        <v>379</v>
      </c>
      <c r="E177" s="18">
        <v>11.0</v>
      </c>
      <c r="F177" s="17">
        <v>11.0</v>
      </c>
      <c r="G177" s="17" t="s">
        <v>19</v>
      </c>
    </row>
    <row r="178" ht="15.75" customHeight="1">
      <c r="A178" s="17" t="s">
        <v>380</v>
      </c>
      <c r="B178" s="17" t="s">
        <v>16</v>
      </c>
      <c r="C178" s="17" t="s">
        <v>273</v>
      </c>
      <c r="D178" s="17" t="s">
        <v>381</v>
      </c>
      <c r="E178" s="18">
        <v>15.0</v>
      </c>
      <c r="G178" s="17" t="s">
        <v>19</v>
      </c>
    </row>
    <row r="179" ht="15.75" customHeight="1">
      <c r="A179" s="17" t="s">
        <v>382</v>
      </c>
      <c r="B179" s="17" t="s">
        <v>16</v>
      </c>
      <c r="C179" s="17" t="s">
        <v>273</v>
      </c>
      <c r="D179" s="17" t="s">
        <v>383</v>
      </c>
      <c r="E179" s="18">
        <v>22.0</v>
      </c>
      <c r="G179" s="17" t="s">
        <v>19</v>
      </c>
    </row>
    <row r="180" ht="15.75" customHeight="1">
      <c r="A180" s="17" t="s">
        <v>384</v>
      </c>
      <c r="B180" s="17" t="s">
        <v>16</v>
      </c>
      <c r="C180" s="17" t="s">
        <v>273</v>
      </c>
      <c r="D180" s="17" t="s">
        <v>385</v>
      </c>
      <c r="E180" s="18">
        <v>25.0</v>
      </c>
      <c r="G180" s="17" t="s">
        <v>19</v>
      </c>
    </row>
    <row r="181" ht="15.75" customHeight="1">
      <c r="A181" s="17" t="s">
        <v>386</v>
      </c>
      <c r="B181" s="17" t="s">
        <v>16</v>
      </c>
      <c r="C181" s="17" t="s">
        <v>273</v>
      </c>
      <c r="D181" s="17" t="s">
        <v>387</v>
      </c>
      <c r="E181" s="18">
        <v>30.0</v>
      </c>
      <c r="G181" s="17" t="s">
        <v>19</v>
      </c>
    </row>
    <row r="182" ht="15.75" customHeight="1">
      <c r="A182" s="17" t="s">
        <v>388</v>
      </c>
      <c r="B182" s="17" t="s">
        <v>16</v>
      </c>
      <c r="C182" s="17" t="s">
        <v>273</v>
      </c>
      <c r="D182" s="17" t="s">
        <v>389</v>
      </c>
      <c r="E182" s="18">
        <v>33.0</v>
      </c>
      <c r="G182" s="17" t="s">
        <v>19</v>
      </c>
    </row>
    <row r="183" ht="15.75" customHeight="1">
      <c r="A183" s="17" t="s">
        <v>390</v>
      </c>
      <c r="B183" s="17" t="s">
        <v>16</v>
      </c>
      <c r="C183" s="17" t="s">
        <v>273</v>
      </c>
      <c r="D183" s="17" t="s">
        <v>391</v>
      </c>
      <c r="E183" s="18">
        <v>44.0</v>
      </c>
      <c r="G183" s="17" t="s">
        <v>19</v>
      </c>
    </row>
    <row r="184" ht="15.75" customHeight="1">
      <c r="A184" s="17" t="s">
        <v>392</v>
      </c>
      <c r="B184" s="17" t="s">
        <v>16</v>
      </c>
      <c r="C184" s="17" t="s">
        <v>273</v>
      </c>
      <c r="D184" s="17" t="s">
        <v>393</v>
      </c>
      <c r="E184" s="18">
        <v>6.0</v>
      </c>
      <c r="G184" s="17" t="s">
        <v>19</v>
      </c>
    </row>
    <row r="185" ht="15.75" customHeight="1">
      <c r="A185" s="17" t="s">
        <v>394</v>
      </c>
      <c r="B185" s="17" t="s">
        <v>16</v>
      </c>
      <c r="C185" s="17" t="s">
        <v>273</v>
      </c>
      <c r="D185" s="17" t="s">
        <v>395</v>
      </c>
      <c r="E185" s="18">
        <v>11.0</v>
      </c>
      <c r="F185" s="17" t="s">
        <v>140</v>
      </c>
      <c r="G185" s="17" t="s">
        <v>19</v>
      </c>
    </row>
    <row r="186" ht="15.75" customHeight="1">
      <c r="A186" s="17" t="s">
        <v>396</v>
      </c>
      <c r="B186" s="17" t="s">
        <v>16</v>
      </c>
      <c r="C186" s="17" t="s">
        <v>273</v>
      </c>
      <c r="D186" s="17" t="s">
        <v>397</v>
      </c>
      <c r="E186" s="18">
        <v>3.0</v>
      </c>
      <c r="G186" s="17" t="s">
        <v>19</v>
      </c>
    </row>
    <row r="187" ht="15.75" customHeight="1">
      <c r="A187" s="17" t="s">
        <v>398</v>
      </c>
      <c r="B187" s="17" t="s">
        <v>16</v>
      </c>
      <c r="C187" s="17" t="s">
        <v>273</v>
      </c>
      <c r="D187" s="17" t="s">
        <v>399</v>
      </c>
      <c r="E187" s="18">
        <v>4.0</v>
      </c>
      <c r="G187" s="17" t="s">
        <v>19</v>
      </c>
    </row>
    <row r="188" ht="15.75" customHeight="1">
      <c r="A188" s="17" t="s">
        <v>400</v>
      </c>
      <c r="B188" s="17" t="s">
        <v>16</v>
      </c>
      <c r="C188" s="17" t="s">
        <v>273</v>
      </c>
      <c r="D188" s="17" t="s">
        <v>401</v>
      </c>
      <c r="E188" s="18">
        <v>9.0</v>
      </c>
      <c r="G188" s="17" t="s">
        <v>19</v>
      </c>
    </row>
    <row r="189" ht="15.75" customHeight="1">
      <c r="A189" s="17" t="s">
        <v>402</v>
      </c>
      <c r="B189" s="17" t="s">
        <v>16</v>
      </c>
      <c r="C189" s="17" t="s">
        <v>273</v>
      </c>
      <c r="D189" s="17" t="s">
        <v>403</v>
      </c>
      <c r="E189" s="18">
        <v>0.0</v>
      </c>
      <c r="G189" s="17" t="s">
        <v>360</v>
      </c>
    </row>
    <row r="190" ht="15.75" customHeight="1">
      <c r="A190" s="17" t="s">
        <v>404</v>
      </c>
      <c r="B190" s="17" t="s">
        <v>16</v>
      </c>
      <c r="C190" s="17" t="s">
        <v>273</v>
      </c>
      <c r="D190" s="17" t="s">
        <v>405</v>
      </c>
      <c r="E190" s="18">
        <v>11.0</v>
      </c>
      <c r="G190" s="17" t="s">
        <v>19</v>
      </c>
    </row>
    <row r="191" ht="15.75" customHeight="1">
      <c r="A191" s="17" t="s">
        <v>406</v>
      </c>
      <c r="B191" s="17" t="s">
        <v>16</v>
      </c>
      <c r="C191" s="17" t="s">
        <v>273</v>
      </c>
      <c r="D191" s="17" t="s">
        <v>407</v>
      </c>
      <c r="E191" s="18">
        <v>2.0</v>
      </c>
      <c r="G191" s="17" t="s">
        <v>19</v>
      </c>
    </row>
    <row r="192" ht="15.75" customHeight="1">
      <c r="A192" s="17" t="s">
        <v>408</v>
      </c>
      <c r="B192" s="17" t="s">
        <v>16</v>
      </c>
      <c r="C192" s="17" t="s">
        <v>273</v>
      </c>
      <c r="D192" s="17" t="s">
        <v>409</v>
      </c>
      <c r="E192" s="18">
        <v>4.0</v>
      </c>
      <c r="G192" s="17" t="s">
        <v>19</v>
      </c>
    </row>
    <row r="193" ht="15.75" customHeight="1">
      <c r="A193" s="17" t="s">
        <v>410</v>
      </c>
      <c r="B193" s="17" t="s">
        <v>16</v>
      </c>
      <c r="C193" s="17" t="s">
        <v>273</v>
      </c>
      <c r="D193" s="17" t="s">
        <v>411</v>
      </c>
      <c r="E193" s="18">
        <v>6.0</v>
      </c>
      <c r="G193" s="17" t="s">
        <v>19</v>
      </c>
    </row>
    <row r="194" ht="15.75" customHeight="1">
      <c r="A194" s="17" t="s">
        <v>412</v>
      </c>
      <c r="B194" s="17" t="s">
        <v>16</v>
      </c>
      <c r="C194" s="17" t="s">
        <v>273</v>
      </c>
      <c r="D194" s="17" t="s">
        <v>413</v>
      </c>
      <c r="E194" s="18">
        <v>8.0</v>
      </c>
      <c r="F194" s="17" t="s">
        <v>414</v>
      </c>
      <c r="G194" s="17" t="s">
        <v>19</v>
      </c>
    </row>
    <row r="195" ht="15.75" customHeight="1">
      <c r="A195" s="17" t="s">
        <v>415</v>
      </c>
      <c r="B195" s="17" t="s">
        <v>16</v>
      </c>
      <c r="C195" s="17" t="s">
        <v>273</v>
      </c>
      <c r="D195" s="17" t="s">
        <v>416</v>
      </c>
      <c r="E195" s="18">
        <v>10.0</v>
      </c>
      <c r="F195" s="17"/>
      <c r="G195" s="17" t="s">
        <v>19</v>
      </c>
    </row>
    <row r="196" ht="15.75" customHeight="1">
      <c r="A196" s="17" t="s">
        <v>417</v>
      </c>
      <c r="B196" s="17" t="s">
        <v>16</v>
      </c>
      <c r="C196" s="17" t="s">
        <v>273</v>
      </c>
      <c r="D196" s="17" t="s">
        <v>418</v>
      </c>
      <c r="E196" s="18">
        <v>8.0</v>
      </c>
      <c r="G196" s="17" t="s">
        <v>360</v>
      </c>
    </row>
    <row r="197" ht="15.75" customHeight="1">
      <c r="A197" s="17" t="s">
        <v>419</v>
      </c>
      <c r="B197" s="17" t="s">
        <v>16</v>
      </c>
      <c r="C197" s="17" t="s">
        <v>273</v>
      </c>
      <c r="D197" s="17" t="s">
        <v>420</v>
      </c>
      <c r="E197" s="18">
        <v>11.0</v>
      </c>
      <c r="G197" s="17" t="s">
        <v>360</v>
      </c>
    </row>
    <row r="198" ht="15.75" customHeight="1">
      <c r="A198" s="17" t="s">
        <v>421</v>
      </c>
      <c r="B198" s="17" t="s">
        <v>16</v>
      </c>
      <c r="C198" s="17" t="s">
        <v>273</v>
      </c>
      <c r="D198" s="17" t="s">
        <v>422</v>
      </c>
      <c r="E198" s="18">
        <v>7.0</v>
      </c>
      <c r="G198" s="17" t="s">
        <v>19</v>
      </c>
    </row>
    <row r="199" ht="15.75" customHeight="1">
      <c r="A199" s="17" t="s">
        <v>423</v>
      </c>
      <c r="B199" s="17" t="s">
        <v>16</v>
      </c>
      <c r="C199" s="17" t="s">
        <v>273</v>
      </c>
      <c r="D199" s="17" t="s">
        <v>424</v>
      </c>
      <c r="E199" s="18">
        <v>1.0</v>
      </c>
      <c r="G199" s="17" t="s">
        <v>19</v>
      </c>
    </row>
    <row r="200" ht="15.75" customHeight="1">
      <c r="A200" s="17" t="s">
        <v>425</v>
      </c>
      <c r="B200" s="17" t="s">
        <v>16</v>
      </c>
      <c r="C200" s="17" t="s">
        <v>273</v>
      </c>
      <c r="D200" s="17" t="s">
        <v>426</v>
      </c>
      <c r="E200" s="18">
        <v>3.0</v>
      </c>
      <c r="G200" s="17" t="s">
        <v>19</v>
      </c>
    </row>
    <row r="201" ht="15.75" customHeight="1">
      <c r="A201" s="17" t="s">
        <v>427</v>
      </c>
      <c r="B201" s="17" t="s">
        <v>16</v>
      </c>
      <c r="C201" s="17" t="s">
        <v>273</v>
      </c>
      <c r="D201" s="17" t="s">
        <v>428</v>
      </c>
      <c r="E201" s="18">
        <v>5.0</v>
      </c>
      <c r="G201" s="17" t="s">
        <v>19</v>
      </c>
    </row>
    <row r="202" ht="15.75" customHeight="1">
      <c r="A202" s="17" t="s">
        <v>429</v>
      </c>
      <c r="B202" s="17" t="s">
        <v>16</v>
      </c>
      <c r="C202" s="17" t="s">
        <v>273</v>
      </c>
      <c r="D202" s="17" t="s">
        <v>430</v>
      </c>
      <c r="E202" s="18">
        <v>15.0</v>
      </c>
      <c r="F202" s="18">
        <v>15.0</v>
      </c>
      <c r="G202" s="17" t="s">
        <v>19</v>
      </c>
    </row>
    <row r="203" ht="15.75" customHeight="1">
      <c r="A203" s="17" t="s">
        <v>431</v>
      </c>
      <c r="B203" s="17" t="s">
        <v>16</v>
      </c>
      <c r="C203" s="17" t="s">
        <v>273</v>
      </c>
      <c r="D203" s="17" t="s">
        <v>432</v>
      </c>
      <c r="E203" s="18">
        <v>2.0</v>
      </c>
      <c r="G203" s="17" t="s">
        <v>19</v>
      </c>
    </row>
    <row r="204" ht="15.75" customHeight="1">
      <c r="A204" s="17" t="s">
        <v>433</v>
      </c>
      <c r="B204" s="17" t="s">
        <v>16</v>
      </c>
      <c r="C204" s="17" t="s">
        <v>273</v>
      </c>
      <c r="D204" s="17" t="s">
        <v>434</v>
      </c>
      <c r="E204" s="18">
        <v>2.0</v>
      </c>
      <c r="G204" s="17" t="s">
        <v>19</v>
      </c>
    </row>
    <row r="205" ht="15.75" customHeight="1">
      <c r="A205" s="17" t="s">
        <v>435</v>
      </c>
      <c r="B205" s="17" t="s">
        <v>16</v>
      </c>
      <c r="C205" s="17" t="s">
        <v>273</v>
      </c>
      <c r="D205" s="17" t="s">
        <v>436</v>
      </c>
      <c r="E205" s="18">
        <v>2.0</v>
      </c>
      <c r="G205" s="17" t="s">
        <v>19</v>
      </c>
    </row>
    <row r="206" ht="15.75" customHeight="1">
      <c r="A206" s="17" t="s">
        <v>437</v>
      </c>
      <c r="B206" s="17" t="s">
        <v>16</v>
      </c>
      <c r="C206" s="17" t="s">
        <v>273</v>
      </c>
      <c r="D206" s="17" t="s">
        <v>438</v>
      </c>
      <c r="E206" s="18">
        <v>11.0</v>
      </c>
      <c r="G206" s="17" t="s">
        <v>19</v>
      </c>
    </row>
    <row r="207" ht="15.75" customHeight="1">
      <c r="A207" s="17" t="s">
        <v>439</v>
      </c>
      <c r="B207" s="17" t="s">
        <v>16</v>
      </c>
      <c r="C207" s="17" t="s">
        <v>273</v>
      </c>
      <c r="D207" s="17" t="s">
        <v>440</v>
      </c>
      <c r="E207" s="18">
        <v>5.0</v>
      </c>
      <c r="G207" s="17" t="s">
        <v>19</v>
      </c>
    </row>
    <row r="208" ht="15.75" customHeight="1">
      <c r="A208" s="17" t="s">
        <v>441</v>
      </c>
      <c r="B208" s="17" t="s">
        <v>16</v>
      </c>
      <c r="C208" s="17" t="s">
        <v>273</v>
      </c>
      <c r="D208" s="17" t="s">
        <v>442</v>
      </c>
      <c r="E208" s="18">
        <v>2.0</v>
      </c>
      <c r="G208" s="17" t="s">
        <v>19</v>
      </c>
    </row>
    <row r="209" ht="15.75" customHeight="1">
      <c r="A209" s="17" t="s">
        <v>443</v>
      </c>
      <c r="B209" s="17" t="s">
        <v>16</v>
      </c>
      <c r="C209" s="17" t="s">
        <v>273</v>
      </c>
      <c r="D209" s="17" t="s">
        <v>442</v>
      </c>
      <c r="E209" s="18">
        <v>2.0</v>
      </c>
      <c r="G209" s="17" t="s">
        <v>19</v>
      </c>
    </row>
    <row r="210" ht="15.75" customHeight="1">
      <c r="A210" s="17" t="s">
        <v>444</v>
      </c>
      <c r="B210" s="17" t="s">
        <v>16</v>
      </c>
      <c r="C210" s="17" t="s">
        <v>273</v>
      </c>
      <c r="D210" s="17" t="s">
        <v>445</v>
      </c>
      <c r="E210" s="18">
        <v>1.0</v>
      </c>
      <c r="G210" s="17" t="s">
        <v>19</v>
      </c>
    </row>
    <row r="211" ht="15.75" customHeight="1">
      <c r="A211" s="17" t="s">
        <v>446</v>
      </c>
      <c r="B211" s="17" t="s">
        <v>16</v>
      </c>
      <c r="C211" s="17" t="s">
        <v>273</v>
      </c>
      <c r="D211" s="17" t="s">
        <v>447</v>
      </c>
      <c r="E211" s="18">
        <v>2.0</v>
      </c>
      <c r="G211" s="17" t="s">
        <v>19</v>
      </c>
    </row>
    <row r="212" ht="15.75" customHeight="1">
      <c r="A212" s="17" t="s">
        <v>448</v>
      </c>
      <c r="B212" s="17" t="s">
        <v>16</v>
      </c>
      <c r="C212" s="17" t="s">
        <v>273</v>
      </c>
      <c r="D212" s="17" t="s">
        <v>449</v>
      </c>
      <c r="E212" s="18">
        <v>5.0</v>
      </c>
      <c r="G212" s="17" t="s">
        <v>19</v>
      </c>
    </row>
    <row r="213" ht="15.75" customHeight="1">
      <c r="A213" s="17" t="s">
        <v>450</v>
      </c>
      <c r="B213" s="17" t="s">
        <v>16</v>
      </c>
      <c r="C213" s="17" t="s">
        <v>273</v>
      </c>
      <c r="D213" s="17" t="s">
        <v>451</v>
      </c>
      <c r="E213" s="18">
        <v>11.0</v>
      </c>
      <c r="G213" s="17" t="s">
        <v>19</v>
      </c>
    </row>
    <row r="214" ht="15.75" customHeight="1">
      <c r="A214" s="17" t="s">
        <v>452</v>
      </c>
      <c r="B214" s="17" t="s">
        <v>16</v>
      </c>
      <c r="C214" s="17" t="s">
        <v>273</v>
      </c>
      <c r="D214" s="17" t="s">
        <v>453</v>
      </c>
      <c r="E214" s="18">
        <v>22.0</v>
      </c>
      <c r="G214" s="17" t="s">
        <v>19</v>
      </c>
    </row>
    <row r="215" ht="15.75" customHeight="1">
      <c r="A215" s="17" t="s">
        <v>454</v>
      </c>
      <c r="B215" s="17" t="s">
        <v>16</v>
      </c>
      <c r="C215" s="17" t="s">
        <v>273</v>
      </c>
      <c r="D215" s="17" t="s">
        <v>455</v>
      </c>
      <c r="E215" s="18">
        <v>6.0</v>
      </c>
      <c r="G215" s="17" t="s">
        <v>19</v>
      </c>
    </row>
    <row r="216" ht="15.75" customHeight="1">
      <c r="A216" s="17" t="s">
        <v>456</v>
      </c>
      <c r="B216" s="17" t="s">
        <v>16</v>
      </c>
      <c r="C216" s="17" t="s">
        <v>273</v>
      </c>
      <c r="D216" s="17" t="s">
        <v>457</v>
      </c>
      <c r="E216" s="18">
        <v>11.0</v>
      </c>
      <c r="F216" s="17">
        <v>22.0</v>
      </c>
      <c r="G216" s="17" t="s">
        <v>360</v>
      </c>
    </row>
    <row r="217" ht="15.75" customHeight="1">
      <c r="A217" s="17" t="s">
        <v>458</v>
      </c>
      <c r="B217" s="17" t="s">
        <v>16</v>
      </c>
      <c r="C217" s="17" t="s">
        <v>273</v>
      </c>
      <c r="D217" s="17" t="s">
        <v>459</v>
      </c>
      <c r="E217" s="18">
        <v>3.0</v>
      </c>
      <c r="G217" s="17" t="s">
        <v>19</v>
      </c>
    </row>
    <row r="218" ht="15.75" customHeight="1">
      <c r="A218" s="17" t="s">
        <v>460</v>
      </c>
      <c r="B218" s="17" t="s">
        <v>16</v>
      </c>
      <c r="C218" s="17" t="s">
        <v>273</v>
      </c>
      <c r="D218" s="17" t="s">
        <v>461</v>
      </c>
      <c r="E218" s="18">
        <v>22.0</v>
      </c>
      <c r="G218" s="17" t="s">
        <v>19</v>
      </c>
    </row>
    <row r="219" ht="15.75" customHeight="1">
      <c r="A219" s="17" t="s">
        <v>462</v>
      </c>
      <c r="B219" s="17" t="s">
        <v>16</v>
      </c>
      <c r="C219" s="17" t="s">
        <v>273</v>
      </c>
      <c r="D219" s="17" t="s">
        <v>463</v>
      </c>
      <c r="E219" s="18">
        <v>44.0</v>
      </c>
      <c r="G219" s="17" t="s">
        <v>19</v>
      </c>
    </row>
    <row r="220" ht="15.75" customHeight="1">
      <c r="A220" s="17" t="s">
        <v>464</v>
      </c>
      <c r="B220" s="17" t="s">
        <v>16</v>
      </c>
      <c r="C220" s="17" t="s">
        <v>273</v>
      </c>
      <c r="D220" s="17" t="s">
        <v>465</v>
      </c>
      <c r="E220" s="18">
        <v>5.0</v>
      </c>
      <c r="G220" s="17" t="s">
        <v>19</v>
      </c>
    </row>
    <row r="221" ht="15.75" customHeight="1">
      <c r="A221" s="17" t="s">
        <v>466</v>
      </c>
      <c r="B221" s="17" t="s">
        <v>16</v>
      </c>
      <c r="C221" s="17" t="s">
        <v>273</v>
      </c>
      <c r="D221" s="17" t="s">
        <v>467</v>
      </c>
      <c r="E221" s="18">
        <v>1.0</v>
      </c>
      <c r="G221" s="17" t="s">
        <v>19</v>
      </c>
    </row>
    <row r="222" ht="15.75" customHeight="1">
      <c r="A222" s="17" t="s">
        <v>468</v>
      </c>
      <c r="B222" s="17" t="s">
        <v>16</v>
      </c>
      <c r="C222" s="17" t="s">
        <v>273</v>
      </c>
      <c r="D222" s="17" t="s">
        <v>469</v>
      </c>
      <c r="E222" s="18">
        <v>2.0</v>
      </c>
      <c r="F222" s="17">
        <v>2.0</v>
      </c>
      <c r="G222" s="17" t="s">
        <v>19</v>
      </c>
    </row>
    <row r="223" ht="15.75" customHeight="1">
      <c r="A223" s="17" t="s">
        <v>470</v>
      </c>
      <c r="B223" s="17" t="s">
        <v>16</v>
      </c>
      <c r="C223" s="17" t="s">
        <v>273</v>
      </c>
      <c r="D223" s="17" t="s">
        <v>471</v>
      </c>
      <c r="E223" s="18">
        <v>5.0</v>
      </c>
      <c r="G223" s="17" t="s">
        <v>19</v>
      </c>
    </row>
    <row r="224" ht="15.75" customHeight="1">
      <c r="A224" s="17" t="s">
        <v>472</v>
      </c>
      <c r="B224" s="17" t="s">
        <v>16</v>
      </c>
      <c r="C224" s="17" t="s">
        <v>273</v>
      </c>
      <c r="D224" s="17" t="s">
        <v>473</v>
      </c>
      <c r="E224" s="18">
        <v>6.0</v>
      </c>
      <c r="G224" s="17" t="s">
        <v>19</v>
      </c>
    </row>
    <row r="225" ht="15.75" customHeight="1">
      <c r="A225" s="17" t="s">
        <v>474</v>
      </c>
      <c r="B225" s="17" t="s">
        <v>16</v>
      </c>
      <c r="C225" s="17" t="s">
        <v>273</v>
      </c>
      <c r="D225" s="17" t="s">
        <v>475</v>
      </c>
      <c r="E225" s="18">
        <v>2.0</v>
      </c>
      <c r="F225" s="17">
        <v>2.0</v>
      </c>
      <c r="G225" s="17" t="s">
        <v>360</v>
      </c>
    </row>
    <row r="226" ht="15.75" customHeight="1">
      <c r="A226" s="17" t="s">
        <v>476</v>
      </c>
      <c r="B226" s="17" t="s">
        <v>16</v>
      </c>
      <c r="C226" s="17" t="s">
        <v>273</v>
      </c>
      <c r="D226" s="17" t="s">
        <v>477</v>
      </c>
      <c r="E226" s="18">
        <v>3.0</v>
      </c>
      <c r="G226" s="17" t="s">
        <v>19</v>
      </c>
    </row>
    <row r="227" ht="15.75" customHeight="1">
      <c r="A227" s="17" t="s">
        <v>478</v>
      </c>
      <c r="B227" s="17" t="s">
        <v>16</v>
      </c>
      <c r="C227" s="17" t="s">
        <v>273</v>
      </c>
      <c r="D227" s="17" t="s">
        <v>479</v>
      </c>
      <c r="E227" s="18">
        <v>0.75</v>
      </c>
      <c r="G227" s="17" t="s">
        <v>19</v>
      </c>
    </row>
    <row r="228" ht="15.75" customHeight="1">
      <c r="A228" s="17" t="s">
        <v>480</v>
      </c>
      <c r="B228" s="17" t="s">
        <v>16</v>
      </c>
      <c r="C228" s="17" t="s">
        <v>273</v>
      </c>
      <c r="D228" s="17" t="s">
        <v>481</v>
      </c>
      <c r="E228" s="18">
        <v>5.0</v>
      </c>
      <c r="G228" s="17" t="s">
        <v>19</v>
      </c>
    </row>
    <row r="229" ht="15.75" customHeight="1">
      <c r="A229" s="17" t="s">
        <v>482</v>
      </c>
      <c r="B229" s="17" t="s">
        <v>16</v>
      </c>
      <c r="C229" s="17" t="s">
        <v>483</v>
      </c>
      <c r="D229" s="17" t="s">
        <v>484</v>
      </c>
      <c r="E229" s="18">
        <v>11.0</v>
      </c>
      <c r="G229" s="17" t="s">
        <v>19</v>
      </c>
    </row>
    <row r="230" ht="15.75" customHeight="1">
      <c r="A230" s="17" t="s">
        <v>485</v>
      </c>
      <c r="B230" s="17" t="s">
        <v>16</v>
      </c>
      <c r="C230" s="17" t="s">
        <v>483</v>
      </c>
      <c r="D230" s="17" t="s">
        <v>486</v>
      </c>
      <c r="E230" s="18">
        <v>11.0</v>
      </c>
      <c r="G230" s="17" t="s">
        <v>19</v>
      </c>
    </row>
    <row r="231" ht="15.75" customHeight="1">
      <c r="A231" s="17" t="s">
        <v>487</v>
      </c>
      <c r="B231" s="17" t="s">
        <v>16</v>
      </c>
      <c r="C231" s="17" t="s">
        <v>483</v>
      </c>
      <c r="D231" s="17" t="s">
        <v>488</v>
      </c>
      <c r="E231" s="18">
        <v>2.0</v>
      </c>
      <c r="G231" s="17" t="s">
        <v>19</v>
      </c>
    </row>
    <row r="232" ht="15.75" customHeight="1">
      <c r="A232" s="17" t="s">
        <v>489</v>
      </c>
      <c r="B232" s="17" t="s">
        <v>16</v>
      </c>
      <c r="C232" s="17" t="s">
        <v>483</v>
      </c>
      <c r="D232" s="17" t="s">
        <v>490</v>
      </c>
      <c r="E232" s="18">
        <v>2.0</v>
      </c>
      <c r="G232" s="17" t="s">
        <v>19</v>
      </c>
    </row>
    <row r="233" ht="15.75" customHeight="1">
      <c r="A233" s="17" t="s">
        <v>491</v>
      </c>
      <c r="B233" s="17" t="s">
        <v>16</v>
      </c>
      <c r="C233" s="17" t="s">
        <v>483</v>
      </c>
      <c r="D233" s="17" t="s">
        <v>492</v>
      </c>
      <c r="E233" s="18">
        <v>3.0</v>
      </c>
      <c r="G233" s="17" t="s">
        <v>19</v>
      </c>
    </row>
    <row r="234" ht="15.75" customHeight="1">
      <c r="A234" s="17" t="s">
        <v>493</v>
      </c>
      <c r="B234" s="17" t="s">
        <v>16</v>
      </c>
      <c r="C234" s="17" t="s">
        <v>483</v>
      </c>
      <c r="D234" s="17" t="s">
        <v>494</v>
      </c>
      <c r="E234" s="18">
        <v>11.0</v>
      </c>
      <c r="G234" s="17" t="s">
        <v>19</v>
      </c>
    </row>
    <row r="235" ht="15.75" customHeight="1">
      <c r="A235" s="17" t="s">
        <v>495</v>
      </c>
      <c r="B235" s="17" t="s">
        <v>16</v>
      </c>
      <c r="C235" s="17" t="s">
        <v>483</v>
      </c>
      <c r="D235" s="17" t="s">
        <v>496</v>
      </c>
      <c r="E235" s="18">
        <v>2.0</v>
      </c>
      <c r="G235" s="17" t="s">
        <v>19</v>
      </c>
    </row>
    <row r="236" ht="15.75" customHeight="1">
      <c r="A236" s="17" t="s">
        <v>497</v>
      </c>
      <c r="B236" s="17" t="s">
        <v>16</v>
      </c>
      <c r="C236" s="17" t="s">
        <v>483</v>
      </c>
      <c r="D236" s="17" t="s">
        <v>498</v>
      </c>
      <c r="E236" s="18">
        <v>4.0</v>
      </c>
      <c r="G236" s="17" t="s">
        <v>19</v>
      </c>
    </row>
    <row r="237" ht="15.75" customHeight="1">
      <c r="A237" s="17" t="s">
        <v>499</v>
      </c>
      <c r="B237" s="17" t="s">
        <v>16</v>
      </c>
      <c r="C237" s="17" t="s">
        <v>483</v>
      </c>
      <c r="D237" s="17" t="s">
        <v>500</v>
      </c>
      <c r="E237" s="18">
        <v>2.0</v>
      </c>
      <c r="G237" s="17" t="s">
        <v>19</v>
      </c>
    </row>
    <row r="238" ht="15.75" customHeight="1">
      <c r="A238" s="17" t="s">
        <v>501</v>
      </c>
      <c r="B238" s="17" t="s">
        <v>16</v>
      </c>
      <c r="C238" s="17" t="s">
        <v>483</v>
      </c>
      <c r="D238" s="17" t="s">
        <v>502</v>
      </c>
      <c r="E238" s="18">
        <v>22.0</v>
      </c>
      <c r="G238" s="17" t="s">
        <v>19</v>
      </c>
    </row>
    <row r="239" ht="15.75" customHeight="1">
      <c r="A239" s="17" t="s">
        <v>503</v>
      </c>
      <c r="B239" s="17" t="s">
        <v>16</v>
      </c>
      <c r="C239" s="17" t="s">
        <v>483</v>
      </c>
      <c r="D239" s="17" t="s">
        <v>504</v>
      </c>
      <c r="E239" s="18">
        <v>44.0</v>
      </c>
      <c r="F239" s="17">
        <v>22.0</v>
      </c>
      <c r="G239" s="17" t="s">
        <v>19</v>
      </c>
    </row>
    <row r="240" ht="15.75" customHeight="1">
      <c r="A240" s="17" t="s">
        <v>505</v>
      </c>
      <c r="B240" s="17" t="s">
        <v>16</v>
      </c>
      <c r="C240" s="17" t="s">
        <v>483</v>
      </c>
      <c r="D240" s="17" t="s">
        <v>506</v>
      </c>
      <c r="E240" s="18">
        <v>8.0</v>
      </c>
      <c r="G240" s="17" t="s">
        <v>19</v>
      </c>
    </row>
    <row r="241" ht="15.75" customHeight="1">
      <c r="A241" s="17" t="s">
        <v>507</v>
      </c>
      <c r="B241" s="17" t="s">
        <v>16</v>
      </c>
      <c r="C241" s="17" t="s">
        <v>483</v>
      </c>
      <c r="D241" s="17" t="s">
        <v>508</v>
      </c>
      <c r="E241" s="18">
        <v>10.0</v>
      </c>
      <c r="G241" s="17" t="s">
        <v>19</v>
      </c>
    </row>
    <row r="242" ht="15.75" customHeight="1">
      <c r="A242" s="17" t="s">
        <v>509</v>
      </c>
      <c r="B242" s="17" t="s">
        <v>16</v>
      </c>
      <c r="C242" s="17" t="s">
        <v>483</v>
      </c>
      <c r="D242" s="17" t="s">
        <v>510</v>
      </c>
      <c r="E242" s="18">
        <v>11.0</v>
      </c>
      <c r="F242" s="17" t="s">
        <v>511</v>
      </c>
      <c r="G242" s="17" t="s">
        <v>19</v>
      </c>
    </row>
    <row r="243" ht="15.75" customHeight="1">
      <c r="A243" s="17" t="s">
        <v>512</v>
      </c>
      <c r="B243" s="17" t="s">
        <v>16</v>
      </c>
      <c r="C243" s="17" t="s">
        <v>483</v>
      </c>
      <c r="D243" s="17" t="s">
        <v>513</v>
      </c>
      <c r="E243" s="18">
        <v>5.0</v>
      </c>
      <c r="G243" s="17" t="s">
        <v>19</v>
      </c>
    </row>
    <row r="244" ht="15.75" customHeight="1">
      <c r="A244" s="17" t="s">
        <v>514</v>
      </c>
      <c r="B244" s="17" t="s">
        <v>16</v>
      </c>
      <c r="C244" s="17" t="s">
        <v>483</v>
      </c>
      <c r="D244" s="17" t="s">
        <v>515</v>
      </c>
      <c r="E244" s="18">
        <v>7.5</v>
      </c>
      <c r="G244" s="17" t="s">
        <v>19</v>
      </c>
    </row>
    <row r="245" ht="15.75" customHeight="1">
      <c r="A245" s="17" t="s">
        <v>516</v>
      </c>
      <c r="B245" s="17" t="s">
        <v>16</v>
      </c>
      <c r="C245" s="17" t="s">
        <v>483</v>
      </c>
      <c r="D245" s="17" t="s">
        <v>517</v>
      </c>
      <c r="E245" s="18">
        <v>2.0</v>
      </c>
      <c r="G245" s="17" t="s">
        <v>19</v>
      </c>
    </row>
    <row r="246" ht="15.75" customHeight="1">
      <c r="A246" s="17" t="s">
        <v>518</v>
      </c>
      <c r="B246" s="17" t="s">
        <v>16</v>
      </c>
      <c r="C246" s="17" t="s">
        <v>483</v>
      </c>
      <c r="D246" s="17" t="s">
        <v>519</v>
      </c>
      <c r="E246" s="18">
        <v>3.0</v>
      </c>
      <c r="F246" s="17" t="s">
        <v>520</v>
      </c>
      <c r="G246" s="17" t="s">
        <v>19</v>
      </c>
    </row>
    <row r="247" ht="15.75" customHeight="1">
      <c r="A247" s="17" t="s">
        <v>521</v>
      </c>
      <c r="B247" s="17" t="s">
        <v>16</v>
      </c>
      <c r="C247" s="17" t="s">
        <v>483</v>
      </c>
      <c r="D247" s="17" t="s">
        <v>522</v>
      </c>
      <c r="E247" s="18">
        <v>5.0</v>
      </c>
      <c r="G247" s="17" t="s">
        <v>19</v>
      </c>
    </row>
    <row r="248" ht="15.75" customHeight="1">
      <c r="A248" s="17" t="s">
        <v>523</v>
      </c>
      <c r="B248" s="17" t="s">
        <v>16</v>
      </c>
      <c r="C248" s="17" t="s">
        <v>483</v>
      </c>
      <c r="D248" s="17" t="s">
        <v>524</v>
      </c>
      <c r="E248" s="18">
        <v>8.0</v>
      </c>
      <c r="G248" s="17" t="s">
        <v>19</v>
      </c>
    </row>
    <row r="249" ht="15.75" customHeight="1">
      <c r="A249" s="17" t="s">
        <v>525</v>
      </c>
      <c r="B249" s="17" t="s">
        <v>16</v>
      </c>
      <c r="C249" s="17" t="s">
        <v>483</v>
      </c>
      <c r="D249" s="17" t="s">
        <v>526</v>
      </c>
      <c r="E249" s="18">
        <v>11.0</v>
      </c>
      <c r="G249" s="17" t="s">
        <v>19</v>
      </c>
    </row>
    <row r="250" ht="15.75" customHeight="1">
      <c r="A250" s="17" t="s">
        <v>527</v>
      </c>
      <c r="B250" s="17" t="s">
        <v>16</v>
      </c>
      <c r="C250" s="17" t="s">
        <v>483</v>
      </c>
      <c r="D250" s="17" t="s">
        <v>528</v>
      </c>
      <c r="E250" s="18">
        <v>22.0</v>
      </c>
      <c r="G250" s="17" t="s">
        <v>19</v>
      </c>
    </row>
    <row r="251" ht="15.75" customHeight="1">
      <c r="A251" s="17" t="s">
        <v>529</v>
      </c>
      <c r="B251" s="17" t="s">
        <v>16</v>
      </c>
      <c r="C251" s="17" t="s">
        <v>483</v>
      </c>
      <c r="D251" s="17" t="s">
        <v>530</v>
      </c>
      <c r="E251" s="18">
        <v>5.0</v>
      </c>
      <c r="F251" s="17" t="s">
        <v>531</v>
      </c>
      <c r="G251" s="17" t="s">
        <v>19</v>
      </c>
    </row>
    <row r="252" ht="15.75" customHeight="1">
      <c r="A252" s="17" t="s">
        <v>532</v>
      </c>
      <c r="B252" s="17" t="s">
        <v>16</v>
      </c>
      <c r="C252" s="17" t="s">
        <v>483</v>
      </c>
      <c r="D252" s="17" t="s">
        <v>533</v>
      </c>
      <c r="E252" s="18">
        <v>6.0</v>
      </c>
      <c r="G252" s="17" t="s">
        <v>19</v>
      </c>
    </row>
    <row r="253" ht="15.75" customHeight="1">
      <c r="A253" s="17" t="s">
        <v>534</v>
      </c>
      <c r="B253" s="17" t="s">
        <v>16</v>
      </c>
      <c r="C253" s="17" t="s">
        <v>483</v>
      </c>
      <c r="D253" s="17" t="s">
        <v>535</v>
      </c>
      <c r="E253" s="18">
        <v>8.0</v>
      </c>
      <c r="G253" s="17" t="s">
        <v>19</v>
      </c>
    </row>
    <row r="254" ht="15.75" customHeight="1">
      <c r="A254" s="17" t="s">
        <v>536</v>
      </c>
      <c r="B254" s="17" t="s">
        <v>16</v>
      </c>
      <c r="C254" s="17" t="s">
        <v>483</v>
      </c>
      <c r="D254" s="17" t="s">
        <v>537</v>
      </c>
      <c r="E254" s="18">
        <v>0.25</v>
      </c>
      <c r="G254" s="17" t="s">
        <v>19</v>
      </c>
    </row>
    <row r="255" ht="15.75" customHeight="1">
      <c r="A255" s="17" t="s">
        <v>538</v>
      </c>
      <c r="B255" s="17" t="s">
        <v>16</v>
      </c>
      <c r="C255" s="17" t="s">
        <v>483</v>
      </c>
      <c r="D255" s="17" t="s">
        <v>539</v>
      </c>
      <c r="E255" s="18">
        <v>0.25</v>
      </c>
      <c r="G255" s="17" t="s">
        <v>19</v>
      </c>
    </row>
    <row r="256" ht="15.75" customHeight="1">
      <c r="A256" s="17" t="s">
        <v>540</v>
      </c>
      <c r="B256" s="17" t="s">
        <v>16</v>
      </c>
      <c r="C256" s="17" t="s">
        <v>483</v>
      </c>
      <c r="D256" s="17" t="s">
        <v>541</v>
      </c>
      <c r="E256" s="18">
        <v>2.0</v>
      </c>
      <c r="G256" s="17" t="s">
        <v>19</v>
      </c>
    </row>
    <row r="257" ht="15.75" customHeight="1">
      <c r="A257" s="17" t="s">
        <v>542</v>
      </c>
      <c r="B257" s="17" t="s">
        <v>16</v>
      </c>
      <c r="C257" s="17" t="s">
        <v>483</v>
      </c>
      <c r="D257" s="17" t="s">
        <v>543</v>
      </c>
      <c r="E257" s="18">
        <v>0.25</v>
      </c>
      <c r="G257" s="17" t="s">
        <v>19</v>
      </c>
    </row>
    <row r="258" ht="15.75" customHeight="1">
      <c r="A258" s="17" t="s">
        <v>544</v>
      </c>
      <c r="B258" s="17" t="s">
        <v>16</v>
      </c>
      <c r="C258" s="17" t="s">
        <v>483</v>
      </c>
      <c r="D258" s="17" t="s">
        <v>545</v>
      </c>
      <c r="E258" s="18">
        <v>0.25</v>
      </c>
      <c r="G258" s="17" t="s">
        <v>19</v>
      </c>
    </row>
    <row r="259" ht="15.75" customHeight="1">
      <c r="A259" s="17" t="s">
        <v>546</v>
      </c>
      <c r="B259" s="17" t="s">
        <v>16</v>
      </c>
      <c r="C259" s="17" t="s">
        <v>483</v>
      </c>
      <c r="D259" s="17" t="s">
        <v>547</v>
      </c>
      <c r="E259" s="18">
        <v>0.25</v>
      </c>
      <c r="G259" s="17" t="s">
        <v>19</v>
      </c>
    </row>
    <row r="260" ht="15.75" customHeight="1">
      <c r="A260" s="17" t="s">
        <v>548</v>
      </c>
      <c r="B260" s="17" t="s">
        <v>16</v>
      </c>
      <c r="C260" s="17" t="s">
        <v>549</v>
      </c>
      <c r="D260" s="17" t="s">
        <v>550</v>
      </c>
      <c r="E260" s="18">
        <v>2.5</v>
      </c>
      <c r="G260" s="17" t="s">
        <v>19</v>
      </c>
    </row>
    <row r="261" ht="15.75" customHeight="1">
      <c r="A261" s="17" t="s">
        <v>551</v>
      </c>
      <c r="B261" s="17" t="s">
        <v>16</v>
      </c>
      <c r="C261" s="17" t="s">
        <v>549</v>
      </c>
      <c r="D261" s="17" t="s">
        <v>552</v>
      </c>
      <c r="E261" s="18">
        <v>0.37</v>
      </c>
      <c r="G261" s="17" t="s">
        <v>19</v>
      </c>
    </row>
    <row r="262" ht="15.75" customHeight="1">
      <c r="A262" s="17" t="s">
        <v>553</v>
      </c>
      <c r="B262" s="17" t="s">
        <v>16</v>
      </c>
      <c r="C262" s="17" t="s">
        <v>549</v>
      </c>
      <c r="D262" s="17" t="s">
        <v>554</v>
      </c>
      <c r="E262" s="18">
        <v>2.0</v>
      </c>
      <c r="G262" s="17" t="s">
        <v>19</v>
      </c>
    </row>
    <row r="263" ht="15.75" customHeight="1">
      <c r="A263" s="17" t="s">
        <v>555</v>
      </c>
      <c r="B263" s="17" t="s">
        <v>16</v>
      </c>
      <c r="C263" s="17" t="s">
        <v>549</v>
      </c>
      <c r="D263" s="17" t="s">
        <v>556</v>
      </c>
      <c r="E263" s="18">
        <v>0.68</v>
      </c>
      <c r="G263" s="17" t="s">
        <v>19</v>
      </c>
    </row>
    <row r="264" ht="15.75" customHeight="1">
      <c r="A264" s="17" t="s">
        <v>557</v>
      </c>
      <c r="B264" s="17" t="s">
        <v>16</v>
      </c>
      <c r="C264" s="17" t="s">
        <v>549</v>
      </c>
      <c r="D264" s="17" t="s">
        <v>558</v>
      </c>
      <c r="E264" s="18">
        <v>2.0</v>
      </c>
      <c r="G264" s="17" t="s">
        <v>19</v>
      </c>
    </row>
    <row r="265" ht="15.75" customHeight="1">
      <c r="A265" s="17" t="s">
        <v>559</v>
      </c>
      <c r="B265" s="17" t="s">
        <v>16</v>
      </c>
      <c r="C265" s="17" t="s">
        <v>549</v>
      </c>
      <c r="D265" s="17" t="s">
        <v>560</v>
      </c>
      <c r="E265" s="18">
        <v>44.0</v>
      </c>
      <c r="G265" s="17" t="s">
        <v>19</v>
      </c>
    </row>
    <row r="266" ht="15.75" customHeight="1">
      <c r="A266" s="17" t="s">
        <v>561</v>
      </c>
      <c r="B266" s="17" t="s">
        <v>16</v>
      </c>
      <c r="C266" s="17" t="s">
        <v>549</v>
      </c>
      <c r="D266" s="17" t="s">
        <v>562</v>
      </c>
      <c r="E266" s="18">
        <v>2.0</v>
      </c>
      <c r="G266" s="17" t="s">
        <v>19</v>
      </c>
    </row>
    <row r="267" ht="15.75" customHeight="1">
      <c r="A267" s="17" t="s">
        <v>563</v>
      </c>
      <c r="B267" s="17" t="s">
        <v>16</v>
      </c>
      <c r="C267" s="17" t="s">
        <v>549</v>
      </c>
      <c r="D267" s="17" t="s">
        <v>564</v>
      </c>
      <c r="E267" s="18">
        <v>22.0</v>
      </c>
      <c r="G267" s="17" t="s">
        <v>19</v>
      </c>
    </row>
    <row r="268" ht="15.75" customHeight="1">
      <c r="A268" s="17" t="s">
        <v>565</v>
      </c>
      <c r="B268" s="17" t="s">
        <v>16</v>
      </c>
      <c r="C268" s="17" t="s">
        <v>549</v>
      </c>
      <c r="D268" s="17" t="s">
        <v>566</v>
      </c>
      <c r="E268" s="18">
        <v>28.0</v>
      </c>
      <c r="G268" s="17" t="s">
        <v>19</v>
      </c>
    </row>
    <row r="269" ht="15.75" customHeight="1">
      <c r="A269" s="17" t="s">
        <v>567</v>
      </c>
      <c r="B269" s="17" t="s">
        <v>16</v>
      </c>
      <c r="C269" s="17" t="s">
        <v>549</v>
      </c>
      <c r="D269" s="17" t="s">
        <v>568</v>
      </c>
      <c r="E269" s="18">
        <v>30.0</v>
      </c>
      <c r="G269" s="17" t="s">
        <v>19</v>
      </c>
    </row>
    <row r="270" ht="15.75" customHeight="1">
      <c r="A270" s="17" t="s">
        <v>569</v>
      </c>
      <c r="B270" s="17" t="s">
        <v>16</v>
      </c>
      <c r="C270" s="17" t="s">
        <v>549</v>
      </c>
      <c r="D270" s="17" t="s">
        <v>570</v>
      </c>
      <c r="E270" s="18">
        <v>33.0</v>
      </c>
      <c r="G270" s="17" t="s">
        <v>19</v>
      </c>
    </row>
    <row r="271" ht="15.75" customHeight="1">
      <c r="A271" s="17" t="s">
        <v>571</v>
      </c>
      <c r="B271" s="17" t="s">
        <v>16</v>
      </c>
      <c r="C271" s="17" t="s">
        <v>549</v>
      </c>
      <c r="D271" s="17" t="s">
        <v>572</v>
      </c>
      <c r="E271" s="18">
        <v>38.0</v>
      </c>
      <c r="G271" s="17" t="s">
        <v>19</v>
      </c>
    </row>
    <row r="272" ht="15.75" customHeight="1">
      <c r="A272" s="17" t="s">
        <v>573</v>
      </c>
      <c r="B272" s="17" t="s">
        <v>16</v>
      </c>
      <c r="C272" s="17" t="s">
        <v>549</v>
      </c>
      <c r="D272" s="17" t="s">
        <v>574</v>
      </c>
      <c r="E272" s="18">
        <v>44.0</v>
      </c>
      <c r="G272" s="17" t="s">
        <v>19</v>
      </c>
    </row>
    <row r="273" ht="15.75" customHeight="1">
      <c r="A273" s="17" t="s">
        <v>575</v>
      </c>
      <c r="B273" s="17" t="s">
        <v>16</v>
      </c>
      <c r="C273" s="17" t="s">
        <v>549</v>
      </c>
      <c r="D273" s="17" t="s">
        <v>576</v>
      </c>
      <c r="E273" s="18">
        <v>22.0</v>
      </c>
      <c r="G273" s="17" t="s">
        <v>19</v>
      </c>
    </row>
    <row r="274" ht="15.75" customHeight="1">
      <c r="A274" s="17" t="s">
        <v>577</v>
      </c>
      <c r="B274" s="17" t="s">
        <v>16</v>
      </c>
      <c r="C274" s="17" t="s">
        <v>549</v>
      </c>
      <c r="D274" s="17" t="s">
        <v>578</v>
      </c>
      <c r="E274" s="18">
        <v>7.0</v>
      </c>
      <c r="G274" s="17" t="s">
        <v>19</v>
      </c>
    </row>
    <row r="275" ht="15.75" customHeight="1">
      <c r="A275" s="17" t="s">
        <v>579</v>
      </c>
      <c r="B275" s="17" t="s">
        <v>16</v>
      </c>
      <c r="C275" s="17" t="s">
        <v>549</v>
      </c>
      <c r="D275" s="17" t="s">
        <v>580</v>
      </c>
      <c r="E275" s="18">
        <v>5.0</v>
      </c>
      <c r="G275" s="17" t="s">
        <v>19</v>
      </c>
    </row>
    <row r="276" ht="15.75" customHeight="1">
      <c r="A276" s="17" t="s">
        <v>581</v>
      </c>
      <c r="B276" s="17" t="s">
        <v>16</v>
      </c>
      <c r="C276" s="17" t="s">
        <v>549</v>
      </c>
      <c r="D276" s="17" t="s">
        <v>582</v>
      </c>
      <c r="E276" s="18">
        <v>10.0</v>
      </c>
      <c r="G276" s="17" t="s">
        <v>19</v>
      </c>
    </row>
    <row r="277" ht="15.75" customHeight="1">
      <c r="A277" s="17" t="s">
        <v>583</v>
      </c>
      <c r="B277" s="17" t="s">
        <v>16</v>
      </c>
      <c r="C277" s="17" t="s">
        <v>549</v>
      </c>
      <c r="D277" s="17" t="s">
        <v>584</v>
      </c>
      <c r="E277" s="18">
        <v>22.0</v>
      </c>
      <c r="F277" s="17" t="s">
        <v>32</v>
      </c>
      <c r="G277" s="17" t="s">
        <v>360</v>
      </c>
    </row>
    <row r="278" ht="15.75" customHeight="1">
      <c r="A278" s="17" t="s">
        <v>585</v>
      </c>
      <c r="B278" s="17" t="s">
        <v>16</v>
      </c>
      <c r="C278" s="17" t="s">
        <v>549</v>
      </c>
      <c r="D278" s="17" t="s">
        <v>586</v>
      </c>
      <c r="E278" s="18">
        <v>44.0</v>
      </c>
      <c r="F278" s="17" t="s">
        <v>587</v>
      </c>
      <c r="G278" s="17" t="s">
        <v>19</v>
      </c>
    </row>
    <row r="279" ht="15.75" customHeight="1">
      <c r="A279" s="17" t="s">
        <v>588</v>
      </c>
      <c r="B279" s="17" t="s">
        <v>16</v>
      </c>
      <c r="C279" s="17" t="s">
        <v>549</v>
      </c>
      <c r="D279" s="17" t="s">
        <v>589</v>
      </c>
      <c r="E279" s="18">
        <v>5.0</v>
      </c>
      <c r="G279" s="17" t="s">
        <v>19</v>
      </c>
    </row>
    <row r="280" ht="15.75" customHeight="1">
      <c r="A280" s="17" t="s">
        <v>590</v>
      </c>
      <c r="B280" s="17" t="s">
        <v>16</v>
      </c>
      <c r="C280" s="17" t="s">
        <v>549</v>
      </c>
      <c r="D280" s="17" t="s">
        <v>591</v>
      </c>
      <c r="E280" s="18">
        <v>11.0</v>
      </c>
      <c r="G280" s="17" t="s">
        <v>19</v>
      </c>
    </row>
    <row r="281" ht="15.75" customHeight="1">
      <c r="A281" s="17" t="s">
        <v>592</v>
      </c>
      <c r="B281" s="17" t="s">
        <v>16</v>
      </c>
      <c r="C281" s="17" t="s">
        <v>549</v>
      </c>
      <c r="D281" s="17" t="s">
        <v>593</v>
      </c>
      <c r="E281" s="18">
        <v>2.5</v>
      </c>
      <c r="G281" s="17" t="s">
        <v>19</v>
      </c>
    </row>
    <row r="282" ht="15.75" customHeight="1">
      <c r="A282" s="17" t="s">
        <v>594</v>
      </c>
      <c r="B282" s="17" t="s">
        <v>16</v>
      </c>
      <c r="C282" s="17" t="s">
        <v>549</v>
      </c>
      <c r="D282" s="17" t="s">
        <v>595</v>
      </c>
      <c r="E282" s="18">
        <v>22.0</v>
      </c>
      <c r="G282" s="17" t="s">
        <v>19</v>
      </c>
    </row>
    <row r="283" ht="15.75" customHeight="1">
      <c r="A283" s="17" t="s">
        <v>596</v>
      </c>
      <c r="B283" s="17" t="s">
        <v>16</v>
      </c>
      <c r="C283" s="17" t="s">
        <v>549</v>
      </c>
      <c r="D283" s="17" t="s">
        <v>597</v>
      </c>
      <c r="E283" s="18">
        <v>4.0</v>
      </c>
      <c r="G283" s="17" t="s">
        <v>19</v>
      </c>
    </row>
    <row r="284" ht="15.75" customHeight="1">
      <c r="A284" s="17" t="s">
        <v>598</v>
      </c>
      <c r="B284" s="17" t="s">
        <v>16</v>
      </c>
      <c r="C284" s="17" t="s">
        <v>549</v>
      </c>
      <c r="D284" s="17" t="s">
        <v>599</v>
      </c>
      <c r="E284" s="18">
        <v>5.0</v>
      </c>
      <c r="G284" s="17" t="s">
        <v>19</v>
      </c>
    </row>
    <row r="285" ht="15.75" customHeight="1">
      <c r="A285" s="17" t="s">
        <v>600</v>
      </c>
      <c r="B285" s="17" t="s">
        <v>16</v>
      </c>
      <c r="C285" s="17" t="s">
        <v>549</v>
      </c>
      <c r="D285" s="17" t="s">
        <v>601</v>
      </c>
      <c r="E285" s="18">
        <v>8.0</v>
      </c>
      <c r="G285" s="17" t="s">
        <v>19</v>
      </c>
    </row>
    <row r="286" ht="15.75" customHeight="1">
      <c r="A286" s="17" t="s">
        <v>602</v>
      </c>
      <c r="B286" s="17" t="s">
        <v>16</v>
      </c>
      <c r="C286" s="17" t="s">
        <v>549</v>
      </c>
      <c r="D286" s="17" t="s">
        <v>603</v>
      </c>
      <c r="E286" s="18">
        <v>2.0</v>
      </c>
      <c r="G286" s="17" t="s">
        <v>19</v>
      </c>
    </row>
    <row r="287" ht="15.75" customHeight="1">
      <c r="A287" s="17" t="s">
        <v>604</v>
      </c>
      <c r="B287" s="17" t="s">
        <v>16</v>
      </c>
      <c r="C287" s="17" t="s">
        <v>549</v>
      </c>
      <c r="D287" s="17" t="s">
        <v>605</v>
      </c>
      <c r="E287" s="18">
        <v>0.5</v>
      </c>
      <c r="G287" s="17" t="s">
        <v>19</v>
      </c>
    </row>
    <row r="288" ht="15.75" customHeight="1">
      <c r="A288" s="17" t="s">
        <v>606</v>
      </c>
      <c r="B288" s="17" t="s">
        <v>16</v>
      </c>
      <c r="C288" s="17" t="s">
        <v>549</v>
      </c>
      <c r="D288" s="17" t="s">
        <v>607</v>
      </c>
      <c r="E288" s="18">
        <v>11.0</v>
      </c>
      <c r="G288" s="17" t="s">
        <v>19</v>
      </c>
    </row>
    <row r="289" ht="15.75" customHeight="1">
      <c r="A289" s="17" t="s">
        <v>608</v>
      </c>
      <c r="B289" s="17" t="s">
        <v>16</v>
      </c>
      <c r="C289" s="17" t="s">
        <v>549</v>
      </c>
      <c r="D289" s="17" t="s">
        <v>609</v>
      </c>
      <c r="E289" s="18">
        <v>22.0</v>
      </c>
      <c r="G289" s="17" t="s">
        <v>19</v>
      </c>
    </row>
    <row r="290" ht="15.75" customHeight="1">
      <c r="A290" s="17" t="s">
        <v>610</v>
      </c>
      <c r="B290" s="17" t="s">
        <v>16</v>
      </c>
      <c r="C290" s="17" t="s">
        <v>549</v>
      </c>
      <c r="D290" s="17" t="s">
        <v>611</v>
      </c>
      <c r="E290" s="18">
        <v>33.0</v>
      </c>
      <c r="G290" s="17" t="s">
        <v>19</v>
      </c>
    </row>
    <row r="291" ht="15.75" customHeight="1">
      <c r="A291" s="17" t="s">
        <v>612</v>
      </c>
      <c r="B291" s="17" t="s">
        <v>16</v>
      </c>
      <c r="C291" s="17" t="s">
        <v>549</v>
      </c>
      <c r="D291" s="17" t="s">
        <v>613</v>
      </c>
      <c r="E291" s="18">
        <v>44.0</v>
      </c>
      <c r="G291" s="17" t="s">
        <v>19</v>
      </c>
    </row>
    <row r="292" ht="15.75" customHeight="1">
      <c r="A292" s="17" t="s">
        <v>614</v>
      </c>
      <c r="B292" s="17" t="s">
        <v>16</v>
      </c>
      <c r="C292" s="17" t="s">
        <v>549</v>
      </c>
      <c r="D292" s="17" t="s">
        <v>615</v>
      </c>
      <c r="E292" s="18">
        <v>22.0</v>
      </c>
      <c r="G292" s="17" t="s">
        <v>19</v>
      </c>
    </row>
    <row r="293" ht="15.75" customHeight="1">
      <c r="A293" s="17" t="s">
        <v>616</v>
      </c>
      <c r="B293" s="17" t="s">
        <v>16</v>
      </c>
      <c r="C293" s="17" t="s">
        <v>549</v>
      </c>
      <c r="D293" s="17" t="s">
        <v>617</v>
      </c>
      <c r="E293" s="18">
        <v>2.5</v>
      </c>
      <c r="G293" s="17" t="s">
        <v>19</v>
      </c>
    </row>
    <row r="294" ht="15.75" customHeight="1">
      <c r="A294" s="17" t="s">
        <v>618</v>
      </c>
      <c r="B294" s="17" t="s">
        <v>16</v>
      </c>
      <c r="C294" s="17" t="s">
        <v>549</v>
      </c>
      <c r="D294" s="17" t="s">
        <v>619</v>
      </c>
      <c r="E294" s="18">
        <v>22.0</v>
      </c>
      <c r="G294" s="17" t="s">
        <v>19</v>
      </c>
    </row>
    <row r="295" ht="15.75" customHeight="1">
      <c r="A295" s="17" t="s">
        <v>620</v>
      </c>
      <c r="B295" s="17" t="s">
        <v>16</v>
      </c>
      <c r="C295" s="17" t="s">
        <v>549</v>
      </c>
      <c r="D295" s="17" t="s">
        <v>621</v>
      </c>
      <c r="E295" s="18">
        <v>2.0</v>
      </c>
      <c r="G295" s="17" t="s">
        <v>19</v>
      </c>
    </row>
    <row r="296" ht="15.75" customHeight="1">
      <c r="A296" s="17" t="s">
        <v>622</v>
      </c>
      <c r="B296" s="17" t="s">
        <v>16</v>
      </c>
      <c r="C296" s="17" t="s">
        <v>549</v>
      </c>
      <c r="D296" s="17" t="s">
        <v>623</v>
      </c>
      <c r="E296" s="18">
        <v>4.0</v>
      </c>
      <c r="G296" s="17" t="s">
        <v>19</v>
      </c>
    </row>
    <row r="297" ht="15.75" customHeight="1">
      <c r="A297" s="17" t="s">
        <v>624</v>
      </c>
      <c r="B297" s="17" t="s">
        <v>16</v>
      </c>
      <c r="C297" s="17" t="s">
        <v>549</v>
      </c>
      <c r="D297" s="17" t="s">
        <v>625</v>
      </c>
      <c r="E297" s="18">
        <v>2.0</v>
      </c>
      <c r="G297" s="17" t="s">
        <v>19</v>
      </c>
    </row>
    <row r="298" ht="15.75" customHeight="1">
      <c r="A298" s="17" t="s">
        <v>626</v>
      </c>
      <c r="B298" s="17" t="s">
        <v>16</v>
      </c>
      <c r="C298" s="17" t="s">
        <v>549</v>
      </c>
      <c r="D298" s="17" t="s">
        <v>627</v>
      </c>
      <c r="E298" s="18">
        <v>2.0</v>
      </c>
      <c r="G298" s="17" t="s">
        <v>19</v>
      </c>
    </row>
    <row r="299" ht="15.75" customHeight="1">
      <c r="A299" s="17" t="s">
        <v>628</v>
      </c>
      <c r="B299" s="17" t="s">
        <v>16</v>
      </c>
      <c r="C299" s="17" t="s">
        <v>549</v>
      </c>
      <c r="D299" s="17" t="s">
        <v>629</v>
      </c>
      <c r="E299" s="18">
        <v>2.0</v>
      </c>
      <c r="G299" s="17" t="s">
        <v>19</v>
      </c>
    </row>
    <row r="300" ht="15.75" customHeight="1">
      <c r="A300" s="17" t="s">
        <v>630</v>
      </c>
      <c r="B300" s="17" t="s">
        <v>16</v>
      </c>
      <c r="C300" s="17" t="s">
        <v>549</v>
      </c>
      <c r="D300" s="17" t="s">
        <v>631</v>
      </c>
      <c r="E300" s="18">
        <v>11.0</v>
      </c>
      <c r="G300" s="17" t="s">
        <v>19</v>
      </c>
    </row>
    <row r="301" ht="15.75" customHeight="1">
      <c r="A301" s="17" t="s">
        <v>632</v>
      </c>
      <c r="B301" s="17" t="s">
        <v>16</v>
      </c>
      <c r="C301" s="17" t="s">
        <v>549</v>
      </c>
      <c r="D301" s="17" t="s">
        <v>633</v>
      </c>
      <c r="E301" s="18">
        <v>22.0</v>
      </c>
      <c r="G301" s="17" t="s">
        <v>19</v>
      </c>
    </row>
    <row r="302" ht="15.75" customHeight="1">
      <c r="A302" s="17" t="s">
        <v>634</v>
      </c>
      <c r="B302" s="17" t="s">
        <v>16</v>
      </c>
      <c r="C302" s="17" t="s">
        <v>549</v>
      </c>
      <c r="D302" s="17" t="s">
        <v>635</v>
      </c>
      <c r="E302" s="18">
        <v>33.0</v>
      </c>
      <c r="G302" s="17" t="s">
        <v>19</v>
      </c>
    </row>
    <row r="303" ht="15.75" customHeight="1">
      <c r="A303" s="17" t="s">
        <v>636</v>
      </c>
      <c r="B303" s="17" t="s">
        <v>16</v>
      </c>
      <c r="C303" s="17" t="s">
        <v>549</v>
      </c>
      <c r="D303" s="17" t="s">
        <v>637</v>
      </c>
      <c r="E303" s="18">
        <v>44.0</v>
      </c>
      <c r="G303" s="17" t="s">
        <v>19</v>
      </c>
    </row>
    <row r="304" ht="15.75" customHeight="1">
      <c r="A304" s="17" t="s">
        <v>638</v>
      </c>
      <c r="B304" s="17" t="s">
        <v>16</v>
      </c>
      <c r="C304" s="17" t="s">
        <v>549</v>
      </c>
      <c r="D304" s="17" t="s">
        <v>639</v>
      </c>
      <c r="E304" s="18">
        <v>2.0</v>
      </c>
      <c r="F304" s="17" t="s">
        <v>640</v>
      </c>
      <c r="G304" s="17" t="s">
        <v>19</v>
      </c>
    </row>
    <row r="305" ht="15.75" customHeight="1">
      <c r="A305" s="17" t="s">
        <v>641</v>
      </c>
      <c r="B305" s="17" t="s">
        <v>16</v>
      </c>
      <c r="C305" s="17" t="s">
        <v>549</v>
      </c>
      <c r="D305" s="17" t="s">
        <v>642</v>
      </c>
      <c r="E305" s="18">
        <v>1.25</v>
      </c>
      <c r="F305" s="17" t="s">
        <v>643</v>
      </c>
      <c r="G305" s="17" t="s">
        <v>19</v>
      </c>
    </row>
    <row r="306" ht="15.75" customHeight="1">
      <c r="A306" s="17" t="s">
        <v>644</v>
      </c>
      <c r="B306" s="17" t="s">
        <v>16</v>
      </c>
      <c r="C306" s="17" t="s">
        <v>549</v>
      </c>
      <c r="D306" s="17" t="s">
        <v>645</v>
      </c>
      <c r="E306" s="18">
        <v>44.0</v>
      </c>
      <c r="G306" s="17" t="s">
        <v>19</v>
      </c>
    </row>
    <row r="307" ht="15.75" customHeight="1">
      <c r="A307" s="17" t="s">
        <v>646</v>
      </c>
      <c r="B307" s="17" t="s">
        <v>16</v>
      </c>
      <c r="C307" s="17" t="s">
        <v>549</v>
      </c>
      <c r="D307" s="17" t="s">
        <v>647</v>
      </c>
      <c r="E307" s="18">
        <v>22.0</v>
      </c>
      <c r="G307" s="17" t="s">
        <v>19</v>
      </c>
    </row>
    <row r="308" ht="15.75" customHeight="1">
      <c r="A308" s="17" t="s">
        <v>648</v>
      </c>
      <c r="B308" s="17" t="s">
        <v>16</v>
      </c>
      <c r="C308" s="17" t="s">
        <v>549</v>
      </c>
      <c r="D308" s="17" t="s">
        <v>649</v>
      </c>
      <c r="E308" s="18">
        <v>44.0</v>
      </c>
      <c r="G308" s="17" t="s">
        <v>19</v>
      </c>
    </row>
    <row r="309" ht="15.75" customHeight="1">
      <c r="A309" s="17" t="s">
        <v>650</v>
      </c>
      <c r="B309" s="17" t="s">
        <v>16</v>
      </c>
      <c r="C309" s="17" t="s">
        <v>208</v>
      </c>
      <c r="D309" s="17" t="s">
        <v>651</v>
      </c>
      <c r="E309" s="18">
        <v>7.5</v>
      </c>
      <c r="G309" s="17" t="s">
        <v>19</v>
      </c>
    </row>
    <row r="310" ht="15.75" customHeight="1">
      <c r="A310" s="17" t="s">
        <v>652</v>
      </c>
      <c r="B310" s="17" t="s">
        <v>16</v>
      </c>
      <c r="C310" s="17" t="s">
        <v>108</v>
      </c>
      <c r="D310" s="17" t="s">
        <v>653</v>
      </c>
      <c r="E310" s="18">
        <v>3.0</v>
      </c>
      <c r="G310" s="17" t="s">
        <v>19</v>
      </c>
    </row>
    <row r="311" ht="15.75" customHeight="1">
      <c r="A311" s="17" t="s">
        <v>654</v>
      </c>
      <c r="B311" s="17" t="s">
        <v>16</v>
      </c>
      <c r="C311" s="17" t="s">
        <v>208</v>
      </c>
      <c r="D311" s="17" t="s">
        <v>655</v>
      </c>
      <c r="E311" s="18">
        <v>3.0</v>
      </c>
      <c r="G311" s="17" t="s">
        <v>19</v>
      </c>
    </row>
    <row r="312" ht="15.75" customHeight="1">
      <c r="A312" s="17" t="s">
        <v>656</v>
      </c>
      <c r="B312" s="17" t="s">
        <v>16</v>
      </c>
      <c r="C312" s="17" t="s">
        <v>549</v>
      </c>
      <c r="D312" s="17" t="s">
        <v>657</v>
      </c>
      <c r="E312" s="18">
        <v>1.25</v>
      </c>
      <c r="F312" s="17" t="s">
        <v>658</v>
      </c>
      <c r="G312" s="17" t="s">
        <v>19</v>
      </c>
    </row>
    <row r="313" ht="15.75" customHeight="1">
      <c r="A313" s="17" t="s">
        <v>659</v>
      </c>
      <c r="B313" s="17" t="s">
        <v>16</v>
      </c>
      <c r="C313" s="17" t="s">
        <v>549</v>
      </c>
      <c r="D313" s="17" t="s">
        <v>660</v>
      </c>
      <c r="E313" s="18">
        <v>0.65</v>
      </c>
      <c r="F313" s="17" t="s">
        <v>661</v>
      </c>
      <c r="G313" s="17" t="s">
        <v>19</v>
      </c>
    </row>
    <row r="314" ht="15.75" customHeight="1">
      <c r="A314" s="17" t="s">
        <v>662</v>
      </c>
      <c r="B314" s="17" t="s">
        <v>16</v>
      </c>
      <c r="C314" s="17" t="s">
        <v>549</v>
      </c>
      <c r="D314" s="17" t="s">
        <v>663</v>
      </c>
      <c r="E314" s="18">
        <v>0.35</v>
      </c>
      <c r="F314" s="17" t="s">
        <v>664</v>
      </c>
      <c r="G314" s="17" t="s">
        <v>19</v>
      </c>
    </row>
    <row r="315" ht="15.75" customHeight="1">
      <c r="A315" s="17" t="s">
        <v>665</v>
      </c>
      <c r="B315" s="17" t="s">
        <v>16</v>
      </c>
      <c r="C315" s="17" t="s">
        <v>549</v>
      </c>
      <c r="D315" s="17" t="s">
        <v>666</v>
      </c>
      <c r="E315" s="18">
        <v>1.25</v>
      </c>
      <c r="F315" s="17" t="s">
        <v>667</v>
      </c>
      <c r="G315" s="17" t="s">
        <v>19</v>
      </c>
    </row>
    <row r="316" ht="15.75" customHeight="1">
      <c r="A316" s="17" t="s">
        <v>668</v>
      </c>
      <c r="B316" s="17" t="s">
        <v>16</v>
      </c>
      <c r="C316" s="17" t="s">
        <v>549</v>
      </c>
      <c r="D316" s="17" t="s">
        <v>669</v>
      </c>
      <c r="E316" s="18">
        <v>0.6</v>
      </c>
      <c r="F316" s="17" t="s">
        <v>670</v>
      </c>
      <c r="G316" s="17" t="s">
        <v>19</v>
      </c>
    </row>
    <row r="317" ht="15.75" customHeight="1">
      <c r="A317" s="17" t="s">
        <v>671</v>
      </c>
      <c r="B317" s="17" t="s">
        <v>16</v>
      </c>
      <c r="C317" s="17" t="s">
        <v>549</v>
      </c>
      <c r="D317" s="17" t="s">
        <v>672</v>
      </c>
      <c r="E317" s="18">
        <v>0.45</v>
      </c>
      <c r="F317" s="17" t="s">
        <v>673</v>
      </c>
      <c r="G317" s="17" t="s">
        <v>19</v>
      </c>
    </row>
    <row r="318" ht="15.75" customHeight="1">
      <c r="A318" s="17" t="s">
        <v>674</v>
      </c>
      <c r="B318" s="17" t="s">
        <v>16</v>
      </c>
      <c r="C318" s="17" t="s">
        <v>549</v>
      </c>
      <c r="D318" s="17" t="s">
        <v>675</v>
      </c>
      <c r="E318" s="18">
        <v>0.3</v>
      </c>
      <c r="F318" s="17" t="s">
        <v>676</v>
      </c>
      <c r="G318" s="17" t="s">
        <v>19</v>
      </c>
    </row>
    <row r="319" ht="15.75" customHeight="1">
      <c r="A319" s="17" t="s">
        <v>677</v>
      </c>
      <c r="B319" s="17" t="s">
        <v>16</v>
      </c>
      <c r="C319" s="17" t="s">
        <v>549</v>
      </c>
      <c r="D319" s="17" t="s">
        <v>678</v>
      </c>
      <c r="E319" s="18">
        <v>0.15</v>
      </c>
      <c r="F319" s="17" t="s">
        <v>679</v>
      </c>
      <c r="G319" s="17" t="s">
        <v>19</v>
      </c>
    </row>
    <row r="320" ht="15.75" customHeight="1">
      <c r="A320" s="17" t="s">
        <v>680</v>
      </c>
      <c r="B320" s="17" t="s">
        <v>16</v>
      </c>
      <c r="C320" s="17" t="s">
        <v>549</v>
      </c>
      <c r="D320" s="17" t="s">
        <v>681</v>
      </c>
      <c r="E320" s="18">
        <v>1.85</v>
      </c>
      <c r="F320" s="17" t="s">
        <v>682</v>
      </c>
      <c r="G320" s="17" t="s">
        <v>19</v>
      </c>
    </row>
    <row r="321" ht="15.75" customHeight="1">
      <c r="A321" s="17" t="s">
        <v>683</v>
      </c>
      <c r="B321" s="17" t="s">
        <v>16</v>
      </c>
      <c r="C321" s="17" t="s">
        <v>549</v>
      </c>
      <c r="D321" s="17" t="s">
        <v>684</v>
      </c>
      <c r="E321" s="18">
        <v>0.9</v>
      </c>
      <c r="F321" s="17" t="s">
        <v>685</v>
      </c>
      <c r="G321" s="17" t="s">
        <v>19</v>
      </c>
    </row>
    <row r="322" ht="15.75" customHeight="1">
      <c r="A322" s="17" t="s">
        <v>686</v>
      </c>
      <c r="B322" s="17" t="s">
        <v>16</v>
      </c>
      <c r="C322" s="17" t="s">
        <v>549</v>
      </c>
      <c r="D322" s="17" t="s">
        <v>687</v>
      </c>
      <c r="E322" s="18">
        <v>0.7</v>
      </c>
      <c r="F322" s="17" t="s">
        <v>688</v>
      </c>
      <c r="G322" s="17" t="s">
        <v>19</v>
      </c>
    </row>
    <row r="323" ht="15.75" customHeight="1">
      <c r="A323" s="17" t="s">
        <v>689</v>
      </c>
      <c r="B323" s="17" t="s">
        <v>16</v>
      </c>
      <c r="C323" s="17" t="s">
        <v>549</v>
      </c>
      <c r="D323" s="17" t="s">
        <v>690</v>
      </c>
      <c r="E323" s="18">
        <v>0.45</v>
      </c>
      <c r="F323" s="17" t="s">
        <v>691</v>
      </c>
      <c r="G323" s="17" t="s">
        <v>19</v>
      </c>
    </row>
    <row r="324" ht="15.75" customHeight="1">
      <c r="A324" s="17" t="s">
        <v>692</v>
      </c>
      <c r="B324" s="17" t="s">
        <v>16</v>
      </c>
      <c r="C324" s="17" t="s">
        <v>549</v>
      </c>
      <c r="D324" s="17" t="s">
        <v>693</v>
      </c>
      <c r="E324" s="18">
        <v>0.25</v>
      </c>
      <c r="F324" s="17" t="s">
        <v>694</v>
      </c>
      <c r="G324" s="17" t="s">
        <v>19</v>
      </c>
    </row>
    <row r="325" ht="15.75" customHeight="1">
      <c r="A325" s="17" t="s">
        <v>695</v>
      </c>
      <c r="B325" s="17" t="s">
        <v>16</v>
      </c>
      <c r="C325" s="17" t="s">
        <v>273</v>
      </c>
      <c r="D325" s="17" t="s">
        <v>696</v>
      </c>
      <c r="E325" s="18">
        <v>5.0</v>
      </c>
      <c r="G325" s="17" t="s">
        <v>19</v>
      </c>
    </row>
    <row r="326" ht="15.75" customHeight="1">
      <c r="A326" s="17" t="s">
        <v>697</v>
      </c>
      <c r="B326" s="17" t="s">
        <v>16</v>
      </c>
      <c r="C326" s="17" t="s">
        <v>273</v>
      </c>
      <c r="D326" s="17" t="s">
        <v>698</v>
      </c>
      <c r="E326" s="18">
        <v>14.0</v>
      </c>
      <c r="G326" s="17" t="s">
        <v>19</v>
      </c>
    </row>
    <row r="327" ht="15.75" customHeight="1">
      <c r="A327" s="17" t="s">
        <v>699</v>
      </c>
      <c r="B327" s="17" t="s">
        <v>16</v>
      </c>
      <c r="C327" s="17" t="s">
        <v>108</v>
      </c>
      <c r="D327" s="17" t="s">
        <v>700</v>
      </c>
      <c r="E327" s="18">
        <v>9.0</v>
      </c>
      <c r="G327" s="17" t="s">
        <v>19</v>
      </c>
    </row>
    <row r="328" ht="15.75" customHeight="1">
      <c r="A328" s="17" t="s">
        <v>701</v>
      </c>
      <c r="B328" s="17" t="s">
        <v>16</v>
      </c>
      <c r="C328" s="17" t="s">
        <v>108</v>
      </c>
      <c r="D328" s="17" t="s">
        <v>702</v>
      </c>
      <c r="E328" s="18">
        <v>6.0</v>
      </c>
      <c r="G328" s="17" t="s">
        <v>19</v>
      </c>
    </row>
    <row r="329" ht="15.75" customHeight="1">
      <c r="A329" s="17" t="s">
        <v>703</v>
      </c>
      <c r="B329" s="17" t="s">
        <v>16</v>
      </c>
      <c r="C329" s="17" t="s">
        <v>108</v>
      </c>
      <c r="D329" s="17" t="s">
        <v>704</v>
      </c>
      <c r="E329" s="18">
        <v>2.0</v>
      </c>
      <c r="G329" s="17" t="s">
        <v>19</v>
      </c>
    </row>
    <row r="330" ht="15.75" customHeight="1">
      <c r="A330" s="17" t="s">
        <v>705</v>
      </c>
      <c r="B330" s="17" t="s">
        <v>16</v>
      </c>
      <c r="C330" s="17" t="s">
        <v>108</v>
      </c>
      <c r="D330" s="17" t="s">
        <v>706</v>
      </c>
      <c r="E330" s="18">
        <v>11.0</v>
      </c>
      <c r="G330" s="17" t="s">
        <v>19</v>
      </c>
    </row>
    <row r="331" ht="15.75" customHeight="1">
      <c r="A331" s="17" t="s">
        <v>707</v>
      </c>
      <c r="B331" s="17" t="s">
        <v>16</v>
      </c>
      <c r="C331" s="17" t="s">
        <v>108</v>
      </c>
      <c r="D331" s="17" t="s">
        <v>708</v>
      </c>
      <c r="E331" s="18">
        <v>7.0</v>
      </c>
      <c r="G331" s="17" t="s">
        <v>19</v>
      </c>
    </row>
    <row r="332" ht="15.75" customHeight="1">
      <c r="A332" s="17" t="s">
        <v>709</v>
      </c>
      <c r="B332" s="17" t="s">
        <v>16</v>
      </c>
      <c r="C332" s="17" t="s">
        <v>108</v>
      </c>
      <c r="D332" s="17" t="s">
        <v>710</v>
      </c>
      <c r="E332" s="18">
        <v>12.0</v>
      </c>
      <c r="G332" s="17" t="s">
        <v>19</v>
      </c>
    </row>
    <row r="333" ht="15.75" customHeight="1">
      <c r="A333" s="17" t="s">
        <v>711</v>
      </c>
      <c r="B333" s="17" t="s">
        <v>16</v>
      </c>
      <c r="C333" s="17" t="s">
        <v>108</v>
      </c>
      <c r="D333" s="17" t="s">
        <v>712</v>
      </c>
      <c r="E333" s="18">
        <v>15.0</v>
      </c>
      <c r="G333" s="17" t="s">
        <v>19</v>
      </c>
    </row>
    <row r="334" ht="15.75" customHeight="1">
      <c r="A334" s="17" t="s">
        <v>553</v>
      </c>
      <c r="B334" s="17" t="s">
        <v>16</v>
      </c>
      <c r="C334" s="17" t="s">
        <v>549</v>
      </c>
      <c r="D334" s="17" t="s">
        <v>713</v>
      </c>
      <c r="E334" s="18">
        <v>1.0</v>
      </c>
      <c r="G334" s="17" t="s">
        <v>19</v>
      </c>
    </row>
    <row r="335" ht="15.75" customHeight="1">
      <c r="A335" s="17" t="s">
        <v>553</v>
      </c>
      <c r="B335" s="17" t="s">
        <v>16</v>
      </c>
      <c r="C335" s="17" t="s">
        <v>549</v>
      </c>
      <c r="D335" s="17" t="s">
        <v>714</v>
      </c>
      <c r="E335" s="18">
        <v>3.0</v>
      </c>
      <c r="G335" s="17" t="s">
        <v>19</v>
      </c>
    </row>
    <row r="336" ht="15.75" customHeight="1">
      <c r="A336" s="17" t="s">
        <v>553</v>
      </c>
      <c r="B336" s="17" t="s">
        <v>16</v>
      </c>
      <c r="C336" s="17" t="s">
        <v>549</v>
      </c>
      <c r="D336" s="17" t="s">
        <v>715</v>
      </c>
      <c r="E336" s="18">
        <v>0.75</v>
      </c>
      <c r="G336" s="17" t="s">
        <v>19</v>
      </c>
    </row>
    <row r="337" ht="15.75" customHeight="1">
      <c r="A337" s="17" t="s">
        <v>53</v>
      </c>
      <c r="B337" s="17" t="s">
        <v>16</v>
      </c>
      <c r="C337" s="17" t="s">
        <v>17</v>
      </c>
      <c r="D337" s="17" t="s">
        <v>716</v>
      </c>
      <c r="E337" s="18">
        <v>1.0</v>
      </c>
      <c r="G337" s="17" t="s">
        <v>19</v>
      </c>
    </row>
    <row r="338" ht="15.75" customHeight="1">
      <c r="A338" s="17" t="s">
        <v>561</v>
      </c>
      <c r="B338" s="17" t="s">
        <v>16</v>
      </c>
      <c r="C338" s="17" t="s">
        <v>549</v>
      </c>
      <c r="D338" s="17" t="s">
        <v>717</v>
      </c>
      <c r="E338" s="18">
        <v>0.25</v>
      </c>
      <c r="G338" s="17" t="s">
        <v>19</v>
      </c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96">
    <sortState ref="A1:I96">
      <sortCondition ref="A1:A96"/>
      <sortCondition ref="D1:D96"/>
      <sortCondition ref="C1:C96"/>
      <sortCondition ref="B1:B96"/>
    </sortState>
  </autoFilter>
  <conditionalFormatting sqref="D40:D43 E40:E42">
    <cfRule type="containsText" dxfId="0" priority="1" operator="containsText" text="CENTRAL">
      <formula>NOT(ISERROR(SEARCH(("CENTRAL"),(D40))))</formula>
    </cfRule>
  </conditionalFormatting>
  <conditionalFormatting sqref="C40:D43 E40:E42">
    <cfRule type="expression" dxfId="1" priority="2">
      <formula>(#REF!)="NO"</formula>
    </cfRule>
  </conditionalFormatting>
  <conditionalFormatting sqref="F1:G1">
    <cfRule type="expression" dxfId="2" priority="3">
      <formula>COUNTIF($D$1:$D103,$D1)&gt;1</formula>
    </cfRule>
  </conditionalFormatting>
  <conditionalFormatting sqref="A1:B103 C1:D39 C43:D103 E2:E103 F1:G103">
    <cfRule type="expression" dxfId="1" priority="4">
      <formula>($G1:$G103)="NO"</formula>
    </cfRule>
  </conditionalFormatting>
  <dataValidations>
    <dataValidation type="list" allowBlank="1" showErrorMessage="1" sqref="G2:G103">
      <formula1>"NO,SI"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4043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2.63"/>
    <col customWidth="1" min="3" max="3" width="14.5"/>
    <col customWidth="1" min="4" max="4" width="37.38"/>
    <col customWidth="1" min="5" max="5" width="14.13"/>
    <col customWidth="1" min="6" max="6" width="12.63"/>
    <col customWidth="1" min="7" max="7" width="14.0"/>
    <col customWidth="1" min="8" max="8" width="16.88"/>
    <col customWidth="1" min="9" max="9" width="7.63"/>
    <col customWidth="1" min="10" max="12" width="7.75"/>
    <col customWidth="1" min="13" max="13" width="9.38"/>
    <col customWidth="1" min="14" max="14" width="10.88"/>
    <col customWidth="1" min="15" max="15" width="8.75"/>
    <col customWidth="1" min="16" max="16" width="10.63"/>
    <col customWidth="1" min="17" max="17" width="10.5"/>
    <col customWidth="1" min="18" max="18" width="14.13"/>
    <col customWidth="1" min="19" max="21" width="7.88"/>
  </cols>
  <sheetData>
    <row r="1" ht="15.75" customHeight="1">
      <c r="A1" s="19" t="s">
        <v>10</v>
      </c>
      <c r="B1" s="19" t="s">
        <v>4</v>
      </c>
      <c r="C1" s="19" t="s">
        <v>5</v>
      </c>
      <c r="D1" s="19" t="s">
        <v>11</v>
      </c>
      <c r="E1" s="20" t="s">
        <v>12</v>
      </c>
      <c r="F1" s="21" t="s">
        <v>14</v>
      </c>
      <c r="G1" s="22" t="s">
        <v>718</v>
      </c>
      <c r="H1" s="22" t="s">
        <v>719</v>
      </c>
      <c r="I1" s="22" t="s">
        <v>720</v>
      </c>
      <c r="J1" s="22" t="s">
        <v>721</v>
      </c>
      <c r="K1" s="22" t="s">
        <v>722</v>
      </c>
      <c r="L1" s="22" t="s">
        <v>723</v>
      </c>
      <c r="M1" s="22" t="s">
        <v>724</v>
      </c>
      <c r="N1" s="22" t="s">
        <v>725</v>
      </c>
      <c r="O1" s="23" t="s">
        <v>726</v>
      </c>
      <c r="P1" s="23" t="s">
        <v>727</v>
      </c>
      <c r="Q1" s="23" t="s">
        <v>728</v>
      </c>
      <c r="R1" s="22" t="s">
        <v>729</v>
      </c>
      <c r="S1" s="22"/>
      <c r="T1" s="22"/>
      <c r="U1" s="22"/>
    </row>
    <row r="2" ht="15.75" customHeight="1">
      <c r="A2" s="10" t="s">
        <v>730</v>
      </c>
      <c r="B2" s="10" t="s">
        <v>731</v>
      </c>
      <c r="C2" s="10" t="s">
        <v>17</v>
      </c>
      <c r="D2" s="16" t="s">
        <v>732</v>
      </c>
      <c r="E2" s="24">
        <f t="shared" ref="E2:E238" si="1">IF(G2="CENTRAL",Q2+0.125,Q2)</f>
        <v>0.75</v>
      </c>
      <c r="F2" s="13" t="s">
        <v>19</v>
      </c>
      <c r="G2" s="13" t="s">
        <v>733</v>
      </c>
      <c r="H2" s="25"/>
      <c r="I2" s="25"/>
      <c r="J2" s="25"/>
      <c r="K2" s="26">
        <v>0.44635416666642413</v>
      </c>
      <c r="L2" s="26">
        <v>0.5713541666664241</v>
      </c>
      <c r="M2" s="27">
        <v>10.0</v>
      </c>
      <c r="N2" s="28">
        <f t="shared" ref="N2:N238" si="2">L2-K2</f>
        <v>0.125</v>
      </c>
      <c r="O2" s="29">
        <f t="shared" ref="O2:O238" si="3">N2*24</f>
        <v>3</v>
      </c>
      <c r="P2" s="29">
        <f t="shared" ref="P2:P238" si="4">M2*O2</f>
        <v>30</v>
      </c>
      <c r="Q2" s="29">
        <f t="shared" ref="Q2:Q238" si="5">P2/40</f>
        <v>0.75</v>
      </c>
      <c r="R2" s="29"/>
      <c r="S2" s="30">
        <f t="shared" ref="S2:S49" si="6">E2-Q2</f>
        <v>0</v>
      </c>
      <c r="T2" s="31" t="b">
        <v>1</v>
      </c>
      <c r="U2" s="31"/>
    </row>
    <row r="3" ht="15.75" customHeight="1">
      <c r="A3" s="10" t="s">
        <v>734</v>
      </c>
      <c r="B3" s="10" t="s">
        <v>731</v>
      </c>
      <c r="C3" s="10" t="s">
        <v>17</v>
      </c>
      <c r="D3" s="16" t="s">
        <v>735</v>
      </c>
      <c r="E3" s="24">
        <f t="shared" si="1"/>
        <v>0.75</v>
      </c>
      <c r="F3" s="13" t="s">
        <v>19</v>
      </c>
      <c r="G3" s="13" t="s">
        <v>733</v>
      </c>
      <c r="H3" s="25"/>
      <c r="I3" s="25"/>
      <c r="J3" s="25"/>
      <c r="K3" s="26">
        <v>0.44635416666642413</v>
      </c>
      <c r="L3" s="26">
        <v>0.5713541666664241</v>
      </c>
      <c r="M3" s="27">
        <v>10.0</v>
      </c>
      <c r="N3" s="32">
        <f t="shared" si="2"/>
        <v>0.125</v>
      </c>
      <c r="O3" s="33">
        <f t="shared" si="3"/>
        <v>3</v>
      </c>
      <c r="P3" s="33">
        <f t="shared" si="4"/>
        <v>30</v>
      </c>
      <c r="Q3" s="33">
        <f t="shared" si="5"/>
        <v>0.75</v>
      </c>
      <c r="S3" s="30">
        <f t="shared" si="6"/>
        <v>0</v>
      </c>
      <c r="T3" s="31" t="b">
        <v>1</v>
      </c>
      <c r="U3" s="31"/>
    </row>
    <row r="4" ht="15.75" customHeight="1">
      <c r="A4" s="10" t="s">
        <v>736</v>
      </c>
      <c r="B4" s="34" t="s">
        <v>731</v>
      </c>
      <c r="C4" s="34" t="s">
        <v>17</v>
      </c>
      <c r="D4" s="35" t="s">
        <v>737</v>
      </c>
      <c r="E4" s="36">
        <f t="shared" si="1"/>
        <v>1.25</v>
      </c>
      <c r="F4" s="37" t="s">
        <v>19</v>
      </c>
      <c r="G4" s="37" t="s">
        <v>733</v>
      </c>
      <c r="H4" s="38"/>
      <c r="I4" s="39"/>
      <c r="J4" s="39"/>
      <c r="K4" s="40">
        <v>0.4046874999985448</v>
      </c>
      <c r="L4" s="40">
        <v>0.6130208333343035</v>
      </c>
      <c r="M4" s="41">
        <v>10.0</v>
      </c>
      <c r="N4" s="42">
        <f t="shared" si="2"/>
        <v>0.2083333333</v>
      </c>
      <c r="O4" s="43">
        <f t="shared" si="3"/>
        <v>5</v>
      </c>
      <c r="P4" s="43">
        <f t="shared" si="4"/>
        <v>50</v>
      </c>
      <c r="Q4" s="43">
        <f t="shared" si="5"/>
        <v>1.25</v>
      </c>
      <c r="R4" s="44"/>
      <c r="S4" s="45">
        <f t="shared" si="6"/>
        <v>0</v>
      </c>
      <c r="T4" s="46" t="b">
        <v>0</v>
      </c>
      <c r="U4" s="46"/>
    </row>
    <row r="5" ht="15.75" customHeight="1">
      <c r="A5" s="10" t="s">
        <v>738</v>
      </c>
      <c r="B5" s="10" t="s">
        <v>731</v>
      </c>
      <c r="C5" s="10" t="s">
        <v>17</v>
      </c>
      <c r="D5" s="16" t="s">
        <v>739</v>
      </c>
      <c r="E5" s="24">
        <f t="shared" si="1"/>
        <v>0.9</v>
      </c>
      <c r="F5" s="13" t="s">
        <v>19</v>
      </c>
      <c r="G5" s="13" t="s">
        <v>733</v>
      </c>
      <c r="H5" s="25"/>
      <c r="I5" s="25"/>
      <c r="J5" s="25"/>
      <c r="K5" s="26">
        <v>0.32135416666642413</v>
      </c>
      <c r="L5" s="26">
        <v>0.44635416666642413</v>
      </c>
      <c r="M5" s="27">
        <v>12.0</v>
      </c>
      <c r="N5" s="28">
        <f t="shared" si="2"/>
        <v>0.125</v>
      </c>
      <c r="O5" s="29">
        <f t="shared" si="3"/>
        <v>3</v>
      </c>
      <c r="P5" s="29">
        <f t="shared" si="4"/>
        <v>36</v>
      </c>
      <c r="Q5" s="29">
        <f t="shared" si="5"/>
        <v>0.9</v>
      </c>
      <c r="R5" s="29"/>
      <c r="S5" s="30">
        <f t="shared" si="6"/>
        <v>0</v>
      </c>
      <c r="T5" s="31" t="b">
        <v>0</v>
      </c>
      <c r="U5" s="31" t="b">
        <v>0</v>
      </c>
    </row>
    <row r="6" ht="15.75" customHeight="1">
      <c r="A6" s="10" t="s">
        <v>740</v>
      </c>
      <c r="B6" s="10" t="s">
        <v>731</v>
      </c>
      <c r="C6" s="10" t="s">
        <v>17</v>
      </c>
      <c r="D6" s="16" t="s">
        <v>741</v>
      </c>
      <c r="E6" s="24">
        <f t="shared" si="1"/>
        <v>0.375</v>
      </c>
      <c r="F6" s="13" t="s">
        <v>19</v>
      </c>
      <c r="G6" s="13" t="s">
        <v>733</v>
      </c>
      <c r="H6" s="25"/>
      <c r="I6" s="25"/>
      <c r="J6" s="25"/>
      <c r="K6" s="26">
        <v>0.44635416666642413</v>
      </c>
      <c r="L6" s="26">
        <v>0.5088541666664241</v>
      </c>
      <c r="M6" s="27">
        <v>10.0</v>
      </c>
      <c r="N6" s="28">
        <f t="shared" si="2"/>
        <v>0.0625</v>
      </c>
      <c r="O6" s="29">
        <f t="shared" si="3"/>
        <v>1.5</v>
      </c>
      <c r="P6" s="29">
        <f t="shared" si="4"/>
        <v>15</v>
      </c>
      <c r="Q6" s="29">
        <f t="shared" si="5"/>
        <v>0.375</v>
      </c>
      <c r="R6" s="29"/>
      <c r="S6" s="30">
        <f t="shared" si="6"/>
        <v>0</v>
      </c>
      <c r="T6" s="31" t="b">
        <v>0</v>
      </c>
      <c r="U6" s="31" t="b">
        <v>0</v>
      </c>
    </row>
    <row r="7" ht="15.75" customHeight="1">
      <c r="A7" s="10" t="s">
        <v>742</v>
      </c>
      <c r="B7" s="10" t="s">
        <v>731</v>
      </c>
      <c r="C7" s="10" t="s">
        <v>17</v>
      </c>
      <c r="D7" s="16" t="s">
        <v>743</v>
      </c>
      <c r="E7" s="24">
        <f t="shared" si="1"/>
        <v>0.375</v>
      </c>
      <c r="F7" s="13" t="s">
        <v>19</v>
      </c>
      <c r="G7" s="13" t="s">
        <v>733</v>
      </c>
      <c r="H7" s="25"/>
      <c r="J7" s="25"/>
      <c r="K7" s="26">
        <v>0.44635416666642413</v>
      </c>
      <c r="L7" s="26">
        <v>0.5088541666664241</v>
      </c>
      <c r="M7" s="27">
        <v>10.0</v>
      </c>
      <c r="N7" s="28">
        <f t="shared" si="2"/>
        <v>0.0625</v>
      </c>
      <c r="O7" s="29">
        <f t="shared" si="3"/>
        <v>1.5</v>
      </c>
      <c r="P7" s="29">
        <f t="shared" si="4"/>
        <v>15</v>
      </c>
      <c r="Q7" s="29">
        <f t="shared" si="5"/>
        <v>0.375</v>
      </c>
      <c r="R7" s="29"/>
      <c r="S7" s="30">
        <f t="shared" si="6"/>
        <v>0</v>
      </c>
      <c r="T7" s="31" t="b">
        <v>1</v>
      </c>
      <c r="U7" s="31"/>
    </row>
    <row r="8" ht="15.75" customHeight="1">
      <c r="A8" s="10" t="s">
        <v>744</v>
      </c>
      <c r="B8" s="10" t="s">
        <v>731</v>
      </c>
      <c r="C8" s="10" t="s">
        <v>17</v>
      </c>
      <c r="D8" s="16" t="s">
        <v>745</v>
      </c>
      <c r="E8" s="24">
        <f t="shared" si="1"/>
        <v>0.45</v>
      </c>
      <c r="F8" s="13" t="s">
        <v>19</v>
      </c>
      <c r="G8" s="13" t="s">
        <v>733</v>
      </c>
      <c r="H8" s="25"/>
      <c r="I8" s="25"/>
      <c r="J8" s="25"/>
      <c r="K8" s="26">
        <v>0.32135416666642413</v>
      </c>
      <c r="L8" s="26">
        <v>0.44635416666642413</v>
      </c>
      <c r="M8" s="27">
        <v>6.0</v>
      </c>
      <c r="N8" s="28">
        <f t="shared" si="2"/>
        <v>0.125</v>
      </c>
      <c r="O8" s="29">
        <f t="shared" si="3"/>
        <v>3</v>
      </c>
      <c r="P8" s="29">
        <f t="shared" si="4"/>
        <v>18</v>
      </c>
      <c r="Q8" s="29">
        <f t="shared" si="5"/>
        <v>0.45</v>
      </c>
      <c r="R8" s="29"/>
      <c r="S8" s="30">
        <f t="shared" si="6"/>
        <v>0</v>
      </c>
      <c r="T8" s="31" t="b">
        <v>0</v>
      </c>
      <c r="U8" s="31" t="b">
        <v>0</v>
      </c>
    </row>
    <row r="9" ht="15.75" customHeight="1">
      <c r="A9" s="10" t="s">
        <v>746</v>
      </c>
      <c r="B9" s="10" t="s">
        <v>731</v>
      </c>
      <c r="C9" s="10" t="s">
        <v>17</v>
      </c>
      <c r="D9" s="16" t="s">
        <v>747</v>
      </c>
      <c r="E9" s="24">
        <f t="shared" si="1"/>
        <v>0.75</v>
      </c>
      <c r="F9" s="13" t="s">
        <v>19</v>
      </c>
      <c r="G9" s="13" t="s">
        <v>733</v>
      </c>
      <c r="H9" s="25"/>
      <c r="I9" s="25"/>
      <c r="J9" s="25"/>
      <c r="K9" s="47">
        <v>0.2796874999985448</v>
      </c>
      <c r="L9" s="47">
        <v>0.4046874999985448</v>
      </c>
      <c r="M9" s="48">
        <v>10.0</v>
      </c>
      <c r="N9" s="28">
        <f t="shared" si="2"/>
        <v>0.125</v>
      </c>
      <c r="O9" s="29">
        <f t="shared" si="3"/>
        <v>3</v>
      </c>
      <c r="P9" s="29">
        <f t="shared" si="4"/>
        <v>30</v>
      </c>
      <c r="Q9" s="29">
        <f t="shared" si="5"/>
        <v>0.75</v>
      </c>
      <c r="R9" s="29"/>
      <c r="S9" s="30">
        <f t="shared" si="6"/>
        <v>0</v>
      </c>
      <c r="T9" s="31" t="b">
        <v>1</v>
      </c>
      <c r="U9" s="31"/>
    </row>
    <row r="10" ht="15.75" customHeight="1">
      <c r="A10" s="10" t="s">
        <v>748</v>
      </c>
      <c r="B10" s="10" t="s">
        <v>731</v>
      </c>
      <c r="C10" s="10" t="s">
        <v>17</v>
      </c>
      <c r="D10" s="16" t="s">
        <v>749</v>
      </c>
      <c r="E10" s="24">
        <f t="shared" si="1"/>
        <v>1.25</v>
      </c>
      <c r="F10" s="13" t="s">
        <v>19</v>
      </c>
      <c r="G10" s="13" t="s">
        <v>750</v>
      </c>
      <c r="H10" s="25"/>
      <c r="I10" s="25"/>
      <c r="J10" s="25"/>
      <c r="K10" s="26">
        <v>0.23802083333430346</v>
      </c>
      <c r="L10" s="26">
        <v>0.42552083333430346</v>
      </c>
      <c r="M10" s="27">
        <v>10.0</v>
      </c>
      <c r="N10" s="28">
        <f t="shared" si="2"/>
        <v>0.1875</v>
      </c>
      <c r="O10" s="29">
        <f t="shared" si="3"/>
        <v>4.5</v>
      </c>
      <c r="P10" s="29">
        <f t="shared" si="4"/>
        <v>45</v>
      </c>
      <c r="Q10" s="29">
        <f t="shared" si="5"/>
        <v>1.125</v>
      </c>
      <c r="R10" s="29"/>
      <c r="S10" s="30">
        <f t="shared" si="6"/>
        <v>0.125</v>
      </c>
      <c r="T10" s="31" t="b">
        <v>0</v>
      </c>
      <c r="U10" s="31"/>
    </row>
    <row r="11" ht="15.75" customHeight="1">
      <c r="A11" s="10" t="s">
        <v>751</v>
      </c>
      <c r="B11" s="10" t="s">
        <v>731</v>
      </c>
      <c r="C11" s="10" t="s">
        <v>17</v>
      </c>
      <c r="D11" s="16" t="s">
        <v>752</v>
      </c>
      <c r="E11" s="24">
        <f t="shared" si="1"/>
        <v>0.3</v>
      </c>
      <c r="F11" s="13" t="s">
        <v>19</v>
      </c>
      <c r="G11" s="13" t="s">
        <v>733</v>
      </c>
      <c r="H11" s="25"/>
      <c r="I11" s="25"/>
      <c r="J11" s="25"/>
      <c r="K11" s="26">
        <v>0.44635416666642413</v>
      </c>
      <c r="L11" s="26">
        <v>0.5296874999985448</v>
      </c>
      <c r="M11" s="27">
        <v>6.0</v>
      </c>
      <c r="N11" s="28">
        <f t="shared" si="2"/>
        <v>0.08333333333</v>
      </c>
      <c r="O11" s="29">
        <f t="shared" si="3"/>
        <v>2</v>
      </c>
      <c r="P11" s="29">
        <f t="shared" si="4"/>
        <v>12</v>
      </c>
      <c r="Q11" s="29">
        <f t="shared" si="5"/>
        <v>0.3</v>
      </c>
      <c r="R11" s="29"/>
      <c r="S11" s="30">
        <f t="shared" si="6"/>
        <v>0</v>
      </c>
      <c r="T11" s="31" t="b">
        <v>1</v>
      </c>
      <c r="U11" s="31"/>
    </row>
    <row r="12" ht="15.75" customHeight="1">
      <c r="A12" s="10" t="s">
        <v>753</v>
      </c>
      <c r="B12" s="10" t="s">
        <v>731</v>
      </c>
      <c r="C12" s="10" t="s">
        <v>17</v>
      </c>
      <c r="D12" s="16" t="s">
        <v>754</v>
      </c>
      <c r="E12" s="24">
        <f t="shared" si="1"/>
        <v>0.6</v>
      </c>
      <c r="F12" s="13" t="s">
        <v>19</v>
      </c>
      <c r="G12" s="13" t="s">
        <v>733</v>
      </c>
      <c r="H12" s="25"/>
      <c r="I12" s="25"/>
      <c r="J12" s="25"/>
      <c r="K12" s="26">
        <v>0.23802083333430346</v>
      </c>
      <c r="L12" s="26">
        <v>0.32135416666642413</v>
      </c>
      <c r="M12" s="27">
        <v>12.0</v>
      </c>
      <c r="N12" s="28">
        <f t="shared" si="2"/>
        <v>0.08333333333</v>
      </c>
      <c r="O12" s="29">
        <f t="shared" si="3"/>
        <v>2</v>
      </c>
      <c r="P12" s="29">
        <f t="shared" si="4"/>
        <v>24</v>
      </c>
      <c r="Q12" s="29">
        <f t="shared" si="5"/>
        <v>0.6</v>
      </c>
      <c r="R12" s="29"/>
      <c r="S12" s="30">
        <f t="shared" si="6"/>
        <v>0</v>
      </c>
      <c r="T12" s="31" t="b">
        <v>1</v>
      </c>
      <c r="U12" s="31"/>
    </row>
    <row r="13" ht="15.75" customHeight="1">
      <c r="A13" s="10" t="s">
        <v>755</v>
      </c>
      <c r="B13" s="10" t="s">
        <v>731</v>
      </c>
      <c r="C13" s="10" t="s">
        <v>17</v>
      </c>
      <c r="D13" s="16" t="s">
        <v>756</v>
      </c>
      <c r="E13" s="24">
        <f t="shared" si="1"/>
        <v>0.3</v>
      </c>
      <c r="F13" s="13" t="s">
        <v>19</v>
      </c>
      <c r="G13" s="13" t="s">
        <v>733</v>
      </c>
      <c r="K13" s="26">
        <v>0.23802083333430346</v>
      </c>
      <c r="L13" s="26">
        <v>0.2796874999985448</v>
      </c>
      <c r="M13" s="27">
        <v>12.0</v>
      </c>
      <c r="N13" s="28">
        <f t="shared" si="2"/>
        <v>0.04166666666</v>
      </c>
      <c r="O13" s="29">
        <f t="shared" si="3"/>
        <v>0.9999999999</v>
      </c>
      <c r="P13" s="29">
        <f t="shared" si="4"/>
        <v>12</v>
      </c>
      <c r="Q13" s="29">
        <f t="shared" si="5"/>
        <v>0.3</v>
      </c>
      <c r="R13" s="29"/>
      <c r="S13" s="30">
        <f t="shared" si="6"/>
        <v>0</v>
      </c>
      <c r="T13" s="31" t="b">
        <v>1</v>
      </c>
      <c r="U13" s="31"/>
    </row>
    <row r="14" ht="15.75" customHeight="1">
      <c r="A14" s="10" t="s">
        <v>757</v>
      </c>
      <c r="B14" s="10" t="s">
        <v>731</v>
      </c>
      <c r="C14" s="10" t="s">
        <v>58</v>
      </c>
      <c r="D14" s="11" t="s">
        <v>758</v>
      </c>
      <c r="E14" s="24">
        <f t="shared" si="1"/>
        <v>0.625</v>
      </c>
      <c r="F14" s="13" t="s">
        <v>19</v>
      </c>
      <c r="G14" s="13" t="s">
        <v>750</v>
      </c>
      <c r="H14" s="25"/>
      <c r="I14" s="25"/>
      <c r="J14" s="25"/>
      <c r="K14" s="26">
        <v>0.48802083333430346</v>
      </c>
      <c r="L14" s="26">
        <v>0.5713541666664241</v>
      </c>
      <c r="M14" s="48">
        <v>10.0</v>
      </c>
      <c r="N14" s="28">
        <f t="shared" si="2"/>
        <v>0.08333333333</v>
      </c>
      <c r="O14" s="29">
        <f t="shared" si="3"/>
        <v>2</v>
      </c>
      <c r="P14" s="29">
        <f t="shared" si="4"/>
        <v>20</v>
      </c>
      <c r="Q14" s="29">
        <f t="shared" si="5"/>
        <v>0.5</v>
      </c>
      <c r="R14" s="29"/>
      <c r="S14" s="30">
        <f t="shared" si="6"/>
        <v>0.125</v>
      </c>
      <c r="T14" s="31" t="b">
        <v>0</v>
      </c>
      <c r="U14" s="31"/>
    </row>
    <row r="15" ht="15.75" customHeight="1">
      <c r="A15" s="10" t="s">
        <v>759</v>
      </c>
      <c r="B15" s="10" t="s">
        <v>731</v>
      </c>
      <c r="C15" s="10" t="s">
        <v>58</v>
      </c>
      <c r="D15" s="16" t="s">
        <v>760</v>
      </c>
      <c r="E15" s="24">
        <f t="shared" si="1"/>
        <v>0.25</v>
      </c>
      <c r="F15" s="13" t="s">
        <v>19</v>
      </c>
      <c r="G15" s="13" t="s">
        <v>733</v>
      </c>
      <c r="H15" s="25"/>
      <c r="I15" s="25"/>
      <c r="J15" s="25"/>
      <c r="K15" s="26">
        <v>0.3421874999985448</v>
      </c>
      <c r="L15" s="26">
        <v>0.38385416666642413</v>
      </c>
      <c r="M15" s="27">
        <v>10.0</v>
      </c>
      <c r="N15" s="28">
        <f t="shared" si="2"/>
        <v>0.04166666667</v>
      </c>
      <c r="O15" s="29">
        <f t="shared" si="3"/>
        <v>1</v>
      </c>
      <c r="P15" s="29">
        <f t="shared" si="4"/>
        <v>10</v>
      </c>
      <c r="Q15" s="29">
        <f t="shared" si="5"/>
        <v>0.25</v>
      </c>
      <c r="R15" s="29"/>
      <c r="S15" s="30">
        <f t="shared" si="6"/>
        <v>0</v>
      </c>
      <c r="T15" s="31" t="b">
        <v>1</v>
      </c>
      <c r="U15" s="31"/>
    </row>
    <row r="16" ht="15.75" customHeight="1">
      <c r="A16" s="10" t="s">
        <v>761</v>
      </c>
      <c r="B16" s="10" t="s">
        <v>731</v>
      </c>
      <c r="C16" s="10" t="s">
        <v>58</v>
      </c>
      <c r="D16" s="16" t="s">
        <v>762</v>
      </c>
      <c r="E16" s="24">
        <f t="shared" si="1"/>
        <v>0.5</v>
      </c>
      <c r="F16" s="13" t="s">
        <v>19</v>
      </c>
      <c r="G16" s="13" t="s">
        <v>733</v>
      </c>
      <c r="H16" s="25"/>
      <c r="I16" s="25"/>
      <c r="J16" s="25"/>
      <c r="K16" s="26">
        <v>0.3421874999985448</v>
      </c>
      <c r="L16" s="26">
        <v>0.42552083333430346</v>
      </c>
      <c r="M16" s="27">
        <v>10.0</v>
      </c>
      <c r="N16" s="28">
        <f t="shared" si="2"/>
        <v>0.08333333334</v>
      </c>
      <c r="O16" s="29">
        <f t="shared" si="3"/>
        <v>2</v>
      </c>
      <c r="P16" s="29">
        <f t="shared" si="4"/>
        <v>20</v>
      </c>
      <c r="Q16" s="29">
        <f t="shared" si="5"/>
        <v>0.5</v>
      </c>
      <c r="R16" s="29"/>
      <c r="S16" s="30">
        <f t="shared" si="6"/>
        <v>0</v>
      </c>
      <c r="T16" s="31" t="b">
        <v>1</v>
      </c>
      <c r="U16" s="31"/>
    </row>
    <row r="17" ht="15.75" customHeight="1">
      <c r="A17" s="10" t="s">
        <v>763</v>
      </c>
      <c r="B17" s="10" t="s">
        <v>731</v>
      </c>
      <c r="C17" s="10" t="s">
        <v>58</v>
      </c>
      <c r="D17" s="16" t="s">
        <v>764</v>
      </c>
      <c r="E17" s="24">
        <f t="shared" si="1"/>
        <v>0.625</v>
      </c>
      <c r="F17" s="13" t="s">
        <v>19</v>
      </c>
      <c r="G17" s="13" t="s">
        <v>750</v>
      </c>
      <c r="H17" s="25"/>
      <c r="I17" s="25"/>
      <c r="J17" s="25"/>
      <c r="K17" s="26">
        <v>0.48802083333430346</v>
      </c>
      <c r="L17" s="26">
        <v>0.5713541666664241</v>
      </c>
      <c r="M17" s="27">
        <v>10.0</v>
      </c>
      <c r="N17" s="28">
        <f t="shared" si="2"/>
        <v>0.08333333333</v>
      </c>
      <c r="O17" s="29">
        <f t="shared" si="3"/>
        <v>2</v>
      </c>
      <c r="P17" s="29">
        <f t="shared" si="4"/>
        <v>20</v>
      </c>
      <c r="Q17" s="29">
        <f t="shared" si="5"/>
        <v>0.5</v>
      </c>
      <c r="R17" s="29"/>
      <c r="S17" s="30">
        <f t="shared" si="6"/>
        <v>0.125</v>
      </c>
      <c r="T17" s="31" t="b">
        <v>1</v>
      </c>
      <c r="U17" s="31"/>
    </row>
    <row r="18" ht="15.75" customHeight="1">
      <c r="A18" s="10" t="s">
        <v>765</v>
      </c>
      <c r="B18" s="10" t="s">
        <v>731</v>
      </c>
      <c r="C18" s="10" t="s">
        <v>766</v>
      </c>
      <c r="D18" s="16" t="s">
        <v>767</v>
      </c>
      <c r="E18" s="24">
        <f t="shared" si="1"/>
        <v>0.575</v>
      </c>
      <c r="F18" s="13" t="s">
        <v>19</v>
      </c>
      <c r="G18" s="13" t="s">
        <v>750</v>
      </c>
      <c r="H18" s="25"/>
      <c r="I18" s="25"/>
      <c r="J18" s="25"/>
      <c r="K18" s="26">
        <v>0.19635416666642413</v>
      </c>
      <c r="L18" s="26">
        <v>0.5713541666664241</v>
      </c>
      <c r="M18" s="27">
        <v>2.0</v>
      </c>
      <c r="N18" s="28">
        <f t="shared" si="2"/>
        <v>0.375</v>
      </c>
      <c r="O18" s="29">
        <f t="shared" si="3"/>
        <v>9</v>
      </c>
      <c r="P18" s="29">
        <f t="shared" si="4"/>
        <v>18</v>
      </c>
      <c r="Q18" s="29">
        <f t="shared" si="5"/>
        <v>0.45</v>
      </c>
      <c r="R18" s="29"/>
      <c r="S18" s="30">
        <f t="shared" si="6"/>
        <v>0.125</v>
      </c>
      <c r="T18" s="31" t="b">
        <v>1</v>
      </c>
      <c r="U18" s="31"/>
    </row>
    <row r="19" ht="15.75" customHeight="1">
      <c r="A19" s="10" t="s">
        <v>768</v>
      </c>
      <c r="B19" s="10" t="s">
        <v>731</v>
      </c>
      <c r="C19" s="10" t="s">
        <v>766</v>
      </c>
      <c r="D19" s="16" t="s">
        <v>769</v>
      </c>
      <c r="E19" s="24">
        <f t="shared" si="1"/>
        <v>0.575</v>
      </c>
      <c r="F19" s="13" t="s">
        <v>19</v>
      </c>
      <c r="G19" s="13" t="s">
        <v>750</v>
      </c>
      <c r="H19" s="25"/>
      <c r="I19" s="25"/>
      <c r="J19" s="25"/>
      <c r="K19" s="26">
        <v>0.19635416666642413</v>
      </c>
      <c r="L19" s="26">
        <v>0.5713541666664241</v>
      </c>
      <c r="M19" s="27">
        <v>2.0</v>
      </c>
      <c r="N19" s="28">
        <f t="shared" si="2"/>
        <v>0.375</v>
      </c>
      <c r="O19" s="29">
        <f t="shared" si="3"/>
        <v>9</v>
      </c>
      <c r="P19" s="29">
        <f t="shared" si="4"/>
        <v>18</v>
      </c>
      <c r="Q19" s="29">
        <f t="shared" si="5"/>
        <v>0.45</v>
      </c>
      <c r="R19" s="29" t="s">
        <v>770</v>
      </c>
      <c r="S19" s="30">
        <f t="shared" si="6"/>
        <v>0.125</v>
      </c>
      <c r="T19" s="31" t="b">
        <v>1</v>
      </c>
      <c r="U19" s="31"/>
    </row>
    <row r="20" ht="15.75" customHeight="1">
      <c r="A20" s="10" t="s">
        <v>771</v>
      </c>
      <c r="B20" s="10" t="s">
        <v>731</v>
      </c>
      <c r="C20" s="10" t="s">
        <v>766</v>
      </c>
      <c r="D20" s="16" t="s">
        <v>772</v>
      </c>
      <c r="E20" s="24">
        <f t="shared" si="1"/>
        <v>0.575</v>
      </c>
      <c r="F20" s="13" t="s">
        <v>19</v>
      </c>
      <c r="G20" s="13" t="s">
        <v>750</v>
      </c>
      <c r="H20" s="25"/>
      <c r="I20" s="25"/>
      <c r="J20" s="25"/>
      <c r="K20" s="26">
        <v>0.19635416666642413</v>
      </c>
      <c r="L20" s="26">
        <v>0.5713541666664241</v>
      </c>
      <c r="M20" s="27">
        <v>2.0</v>
      </c>
      <c r="N20" s="28">
        <f t="shared" si="2"/>
        <v>0.375</v>
      </c>
      <c r="O20" s="29">
        <f t="shared" si="3"/>
        <v>9</v>
      </c>
      <c r="P20" s="29">
        <f t="shared" si="4"/>
        <v>18</v>
      </c>
      <c r="Q20" s="29">
        <f t="shared" si="5"/>
        <v>0.45</v>
      </c>
      <c r="R20" s="29"/>
      <c r="S20" s="30">
        <f t="shared" si="6"/>
        <v>0.125</v>
      </c>
      <c r="T20" s="31" t="b">
        <v>1</v>
      </c>
      <c r="U20" s="31"/>
    </row>
    <row r="21" ht="15.75" customHeight="1">
      <c r="A21" s="10" t="s">
        <v>773</v>
      </c>
      <c r="B21" s="10" t="s">
        <v>731</v>
      </c>
      <c r="C21" s="10" t="s">
        <v>766</v>
      </c>
      <c r="D21" s="16" t="s">
        <v>774</v>
      </c>
      <c r="E21" s="24">
        <f t="shared" si="1"/>
        <v>0.575</v>
      </c>
      <c r="F21" s="13" t="s">
        <v>19</v>
      </c>
      <c r="G21" s="13" t="s">
        <v>750</v>
      </c>
      <c r="H21" s="25"/>
      <c r="I21" s="25"/>
      <c r="K21" s="26">
        <v>0.19635416666642413</v>
      </c>
      <c r="L21" s="26">
        <v>0.5713541666664241</v>
      </c>
      <c r="M21" s="27">
        <v>2.0</v>
      </c>
      <c r="N21" s="28">
        <f t="shared" si="2"/>
        <v>0.375</v>
      </c>
      <c r="O21" s="29">
        <f t="shared" si="3"/>
        <v>9</v>
      </c>
      <c r="P21" s="29">
        <f t="shared" si="4"/>
        <v>18</v>
      </c>
      <c r="Q21" s="29">
        <f t="shared" si="5"/>
        <v>0.45</v>
      </c>
      <c r="R21" s="29"/>
      <c r="S21" s="30">
        <f t="shared" si="6"/>
        <v>0.125</v>
      </c>
      <c r="T21" s="31" t="b">
        <v>1</v>
      </c>
      <c r="U21" s="31"/>
    </row>
    <row r="22" ht="15.75" customHeight="1">
      <c r="A22" s="10" t="s">
        <v>775</v>
      </c>
      <c r="B22" s="10" t="s">
        <v>731</v>
      </c>
      <c r="C22" s="10" t="s">
        <v>766</v>
      </c>
      <c r="D22" s="16" t="s">
        <v>776</v>
      </c>
      <c r="E22" s="24">
        <f t="shared" si="1"/>
        <v>0.6</v>
      </c>
      <c r="F22" s="13" t="s">
        <v>19</v>
      </c>
      <c r="G22" s="13" t="s">
        <v>733</v>
      </c>
      <c r="H22" s="25"/>
      <c r="I22" s="25"/>
      <c r="J22" s="25"/>
      <c r="K22" s="26">
        <v>0.48802083333430346</v>
      </c>
      <c r="L22" s="26">
        <v>0.5713541666664241</v>
      </c>
      <c r="M22" s="27">
        <v>12.0</v>
      </c>
      <c r="N22" s="28">
        <f t="shared" si="2"/>
        <v>0.08333333333</v>
      </c>
      <c r="O22" s="29">
        <f t="shared" si="3"/>
        <v>2</v>
      </c>
      <c r="P22" s="29">
        <f t="shared" si="4"/>
        <v>24</v>
      </c>
      <c r="Q22" s="29">
        <f t="shared" si="5"/>
        <v>0.6</v>
      </c>
      <c r="R22" s="29"/>
      <c r="S22" s="30">
        <f t="shared" si="6"/>
        <v>0</v>
      </c>
      <c r="T22" s="31" t="b">
        <v>0</v>
      </c>
      <c r="U22" s="31"/>
    </row>
    <row r="23" ht="15.75" customHeight="1">
      <c r="A23" s="10" t="s">
        <v>777</v>
      </c>
      <c r="B23" s="10" t="s">
        <v>731</v>
      </c>
      <c r="C23" s="10" t="s">
        <v>766</v>
      </c>
      <c r="D23" s="16" t="s">
        <v>778</v>
      </c>
      <c r="E23" s="24">
        <f t="shared" si="1"/>
        <v>0.9</v>
      </c>
      <c r="F23" s="13" t="s">
        <v>19</v>
      </c>
      <c r="G23" s="13" t="s">
        <v>733</v>
      </c>
      <c r="H23" s="25"/>
      <c r="I23" s="25"/>
      <c r="J23" s="25"/>
      <c r="K23" s="26">
        <v>0.44635416666642413</v>
      </c>
      <c r="L23" s="26">
        <v>0.5713541666664241</v>
      </c>
      <c r="M23" s="27">
        <v>12.0</v>
      </c>
      <c r="N23" s="28">
        <f t="shared" si="2"/>
        <v>0.125</v>
      </c>
      <c r="O23" s="29">
        <f t="shared" si="3"/>
        <v>3</v>
      </c>
      <c r="P23" s="29">
        <f t="shared" si="4"/>
        <v>36</v>
      </c>
      <c r="Q23" s="29">
        <f t="shared" si="5"/>
        <v>0.9</v>
      </c>
      <c r="R23" s="29"/>
      <c r="S23" s="30">
        <f t="shared" si="6"/>
        <v>0</v>
      </c>
      <c r="T23" s="31" t="b">
        <v>1</v>
      </c>
      <c r="U23" s="31"/>
    </row>
    <row r="24" ht="15.75" customHeight="1">
      <c r="A24" s="10" t="s">
        <v>779</v>
      </c>
      <c r="B24" s="10" t="s">
        <v>731</v>
      </c>
      <c r="C24" s="10" t="s">
        <v>766</v>
      </c>
      <c r="D24" s="16" t="s">
        <v>780</v>
      </c>
      <c r="E24" s="24">
        <f t="shared" si="1"/>
        <v>0.45</v>
      </c>
      <c r="F24" s="13" t="s">
        <v>19</v>
      </c>
      <c r="G24" s="13" t="s">
        <v>733</v>
      </c>
      <c r="H24" s="25"/>
      <c r="I24" s="25"/>
      <c r="J24" s="25"/>
      <c r="K24" s="26">
        <v>0.44635416666642413</v>
      </c>
      <c r="L24" s="26">
        <v>0.5088541666664241</v>
      </c>
      <c r="M24" s="27">
        <v>12.0</v>
      </c>
      <c r="N24" s="28">
        <f t="shared" si="2"/>
        <v>0.0625</v>
      </c>
      <c r="O24" s="29">
        <f t="shared" si="3"/>
        <v>1.5</v>
      </c>
      <c r="P24" s="29">
        <f t="shared" si="4"/>
        <v>18</v>
      </c>
      <c r="Q24" s="29">
        <f t="shared" si="5"/>
        <v>0.45</v>
      </c>
      <c r="R24" s="29"/>
      <c r="S24" s="30">
        <f t="shared" si="6"/>
        <v>0</v>
      </c>
      <c r="T24" s="31" t="b">
        <v>1</v>
      </c>
      <c r="U24" s="31"/>
    </row>
    <row r="25" ht="15.75" customHeight="1">
      <c r="A25" s="10" t="s">
        <v>781</v>
      </c>
      <c r="B25" s="10" t="s">
        <v>731</v>
      </c>
      <c r="C25" s="10" t="s">
        <v>766</v>
      </c>
      <c r="D25" s="16" t="s">
        <v>782</v>
      </c>
      <c r="E25" s="24">
        <f t="shared" si="1"/>
        <v>0.5</v>
      </c>
      <c r="F25" s="13" t="s">
        <v>19</v>
      </c>
      <c r="G25" s="13" t="s">
        <v>733</v>
      </c>
      <c r="H25" s="25"/>
      <c r="I25" s="25"/>
      <c r="J25" s="25"/>
      <c r="K25" s="26">
        <v>0.44635416666642413</v>
      </c>
      <c r="L25" s="26">
        <v>0.5296874999985448</v>
      </c>
      <c r="M25" s="27">
        <v>10.0</v>
      </c>
      <c r="N25" s="28">
        <f t="shared" si="2"/>
        <v>0.08333333333</v>
      </c>
      <c r="O25" s="29">
        <f t="shared" si="3"/>
        <v>2</v>
      </c>
      <c r="P25" s="29">
        <f t="shared" si="4"/>
        <v>20</v>
      </c>
      <c r="Q25" s="29">
        <f t="shared" si="5"/>
        <v>0.5</v>
      </c>
      <c r="R25" s="29"/>
      <c r="S25" s="30">
        <f t="shared" si="6"/>
        <v>0</v>
      </c>
      <c r="T25" s="31" t="b">
        <v>1</v>
      </c>
      <c r="U25" s="31"/>
    </row>
    <row r="26" ht="15.75" customHeight="1">
      <c r="A26" s="10" t="s">
        <v>783</v>
      </c>
      <c r="B26" s="10" t="s">
        <v>731</v>
      </c>
      <c r="C26" s="10" t="s">
        <v>766</v>
      </c>
      <c r="D26" s="16" t="s">
        <v>784</v>
      </c>
      <c r="E26" s="24">
        <f t="shared" si="1"/>
        <v>0.6</v>
      </c>
      <c r="F26" s="13" t="s">
        <v>19</v>
      </c>
      <c r="G26" s="13" t="s">
        <v>733</v>
      </c>
      <c r="H26" s="25"/>
      <c r="I26" s="25"/>
      <c r="J26" s="25"/>
      <c r="K26" s="26">
        <v>0.44635416666642413</v>
      </c>
      <c r="L26" s="26">
        <v>0.5296874999985448</v>
      </c>
      <c r="M26" s="27">
        <v>12.0</v>
      </c>
      <c r="N26" s="28">
        <f t="shared" si="2"/>
        <v>0.08333333333</v>
      </c>
      <c r="O26" s="29">
        <f t="shared" si="3"/>
        <v>2</v>
      </c>
      <c r="P26" s="29">
        <f t="shared" si="4"/>
        <v>24</v>
      </c>
      <c r="Q26" s="29">
        <f t="shared" si="5"/>
        <v>0.6</v>
      </c>
      <c r="R26" s="29"/>
      <c r="S26" s="30">
        <f t="shared" si="6"/>
        <v>0</v>
      </c>
      <c r="T26" s="31" t="b">
        <v>0</v>
      </c>
      <c r="U26" s="31" t="b">
        <v>0</v>
      </c>
    </row>
    <row r="27" ht="15.75" customHeight="1">
      <c r="A27" s="10" t="s">
        <v>785</v>
      </c>
      <c r="B27" s="10" t="s">
        <v>731</v>
      </c>
      <c r="C27" s="10" t="s">
        <v>766</v>
      </c>
      <c r="D27" s="16" t="s">
        <v>786</v>
      </c>
      <c r="E27" s="24">
        <f t="shared" si="1"/>
        <v>1.2</v>
      </c>
      <c r="F27" s="13" t="s">
        <v>19</v>
      </c>
      <c r="G27" s="13" t="s">
        <v>733</v>
      </c>
      <c r="H27" s="25"/>
      <c r="I27" s="25"/>
      <c r="J27" s="25"/>
      <c r="K27" s="26">
        <v>0.44635416666642413</v>
      </c>
      <c r="L27" s="26">
        <v>0.5296874999985448</v>
      </c>
      <c r="M27" s="27">
        <v>24.0</v>
      </c>
      <c r="N27" s="28">
        <f t="shared" si="2"/>
        <v>0.08333333333</v>
      </c>
      <c r="O27" s="29">
        <f t="shared" si="3"/>
        <v>2</v>
      </c>
      <c r="P27" s="29">
        <f t="shared" si="4"/>
        <v>48</v>
      </c>
      <c r="Q27" s="29">
        <f t="shared" si="5"/>
        <v>1.2</v>
      </c>
      <c r="R27" s="29"/>
      <c r="S27" s="30">
        <f t="shared" si="6"/>
        <v>0</v>
      </c>
      <c r="T27" s="31" t="b">
        <v>0</v>
      </c>
      <c r="U27" s="31"/>
    </row>
    <row r="28" ht="15.75" customHeight="1">
      <c r="A28" s="10" t="s">
        <v>787</v>
      </c>
      <c r="B28" s="10" t="s">
        <v>731</v>
      </c>
      <c r="C28" s="10" t="s">
        <v>766</v>
      </c>
      <c r="D28" s="16" t="s">
        <v>788</v>
      </c>
      <c r="E28" s="24">
        <f t="shared" si="1"/>
        <v>1</v>
      </c>
      <c r="F28" s="13" t="s">
        <v>19</v>
      </c>
      <c r="G28" s="13" t="s">
        <v>733</v>
      </c>
      <c r="H28" s="25"/>
      <c r="I28" s="25"/>
      <c r="J28" s="25"/>
      <c r="K28" s="26">
        <v>0.44635416666642413</v>
      </c>
      <c r="L28" s="26">
        <v>0.48802083333430346</v>
      </c>
      <c r="M28" s="27">
        <v>40.0</v>
      </c>
      <c r="N28" s="28">
        <f t="shared" si="2"/>
        <v>0.04166666667</v>
      </c>
      <c r="O28" s="29">
        <f t="shared" si="3"/>
        <v>1</v>
      </c>
      <c r="P28" s="29">
        <f t="shared" si="4"/>
        <v>40</v>
      </c>
      <c r="Q28" s="29">
        <f t="shared" si="5"/>
        <v>1</v>
      </c>
      <c r="R28" s="29"/>
      <c r="S28" s="30">
        <f t="shared" si="6"/>
        <v>0</v>
      </c>
      <c r="T28" s="31" t="b">
        <v>1</v>
      </c>
      <c r="U28" s="31"/>
    </row>
    <row r="29" ht="15.75" customHeight="1">
      <c r="A29" s="10" t="s">
        <v>789</v>
      </c>
      <c r="B29" s="10" t="s">
        <v>731</v>
      </c>
      <c r="C29" s="10" t="s">
        <v>766</v>
      </c>
      <c r="D29" s="16" t="s">
        <v>790</v>
      </c>
      <c r="E29" s="24">
        <f t="shared" si="1"/>
        <v>0.9</v>
      </c>
      <c r="F29" s="13" t="s">
        <v>19</v>
      </c>
      <c r="G29" s="13" t="s">
        <v>733</v>
      </c>
      <c r="H29" s="25"/>
      <c r="I29" s="25"/>
      <c r="J29" s="25"/>
      <c r="K29" s="26">
        <v>0.19635416666642413</v>
      </c>
      <c r="L29" s="26">
        <v>0.32135416666642413</v>
      </c>
      <c r="M29" s="27">
        <v>12.0</v>
      </c>
      <c r="N29" s="28">
        <f t="shared" si="2"/>
        <v>0.125</v>
      </c>
      <c r="O29" s="29">
        <f t="shared" si="3"/>
        <v>3</v>
      </c>
      <c r="P29" s="29">
        <f t="shared" si="4"/>
        <v>36</v>
      </c>
      <c r="Q29" s="29">
        <f t="shared" si="5"/>
        <v>0.9</v>
      </c>
      <c r="R29" s="29"/>
      <c r="S29" s="30">
        <f t="shared" si="6"/>
        <v>0</v>
      </c>
      <c r="T29" s="31" t="b">
        <v>0</v>
      </c>
      <c r="U29" s="31" t="b">
        <v>0</v>
      </c>
    </row>
    <row r="30" ht="15.75" customHeight="1">
      <c r="A30" s="10" t="s">
        <v>791</v>
      </c>
      <c r="B30" s="10" t="s">
        <v>731</v>
      </c>
      <c r="C30" s="10" t="s">
        <v>766</v>
      </c>
      <c r="D30" s="16" t="s">
        <v>792</v>
      </c>
      <c r="E30" s="24">
        <f t="shared" si="1"/>
        <v>0.5</v>
      </c>
      <c r="F30" s="13" t="s">
        <v>19</v>
      </c>
      <c r="G30" s="13" t="s">
        <v>733</v>
      </c>
      <c r="H30" s="25"/>
      <c r="I30" s="25"/>
      <c r="J30" s="25"/>
      <c r="K30" s="26">
        <v>0.19635416666642413</v>
      </c>
      <c r="L30" s="26">
        <v>0.2796874999985448</v>
      </c>
      <c r="M30" s="27">
        <v>10.0</v>
      </c>
      <c r="N30" s="28">
        <f t="shared" si="2"/>
        <v>0.08333333333</v>
      </c>
      <c r="O30" s="29">
        <f t="shared" si="3"/>
        <v>2</v>
      </c>
      <c r="P30" s="29">
        <f t="shared" si="4"/>
        <v>20</v>
      </c>
      <c r="Q30" s="29">
        <f t="shared" si="5"/>
        <v>0.5</v>
      </c>
      <c r="R30" s="29"/>
      <c r="S30" s="30">
        <f t="shared" si="6"/>
        <v>0</v>
      </c>
      <c r="T30" s="31" t="b">
        <v>1</v>
      </c>
      <c r="U30" s="31"/>
    </row>
    <row r="31" ht="15.75" customHeight="1">
      <c r="A31" s="10" t="s">
        <v>793</v>
      </c>
      <c r="B31" s="10" t="s">
        <v>731</v>
      </c>
      <c r="C31" s="10" t="s">
        <v>766</v>
      </c>
      <c r="D31" s="16" t="s">
        <v>794</v>
      </c>
      <c r="E31" s="24">
        <f t="shared" si="1"/>
        <v>0.5</v>
      </c>
      <c r="F31" s="13" t="s">
        <v>19</v>
      </c>
      <c r="G31" s="13" t="s">
        <v>733</v>
      </c>
      <c r="H31" s="25"/>
      <c r="I31" s="25"/>
      <c r="J31" s="25"/>
      <c r="K31" s="26">
        <v>0.19635416666642413</v>
      </c>
      <c r="L31" s="26">
        <v>0.2796874999985448</v>
      </c>
      <c r="M31" s="27">
        <v>10.0</v>
      </c>
      <c r="N31" s="28">
        <f t="shared" si="2"/>
        <v>0.08333333333</v>
      </c>
      <c r="O31" s="29">
        <f t="shared" si="3"/>
        <v>2</v>
      </c>
      <c r="P31" s="29">
        <f t="shared" si="4"/>
        <v>20</v>
      </c>
      <c r="Q31" s="29">
        <f t="shared" si="5"/>
        <v>0.5</v>
      </c>
      <c r="R31" s="29"/>
      <c r="S31" s="30">
        <f t="shared" si="6"/>
        <v>0</v>
      </c>
      <c r="T31" s="31" t="b">
        <v>0</v>
      </c>
      <c r="U31" s="31" t="b">
        <v>0</v>
      </c>
    </row>
    <row r="32" ht="15.75" customHeight="1">
      <c r="A32" s="10" t="s">
        <v>795</v>
      </c>
      <c r="B32" s="10" t="s">
        <v>731</v>
      </c>
      <c r="C32" s="10" t="s">
        <v>766</v>
      </c>
      <c r="D32" s="16" t="s">
        <v>796</v>
      </c>
      <c r="E32" s="24">
        <f t="shared" si="1"/>
        <v>0.225</v>
      </c>
      <c r="F32" s="13" t="s">
        <v>19</v>
      </c>
      <c r="G32" s="13" t="s">
        <v>733</v>
      </c>
      <c r="H32" s="25"/>
      <c r="I32" s="25"/>
      <c r="J32" s="25"/>
      <c r="K32" s="26">
        <v>0.19635416666642413</v>
      </c>
      <c r="L32" s="26">
        <v>0.32135416666642413</v>
      </c>
      <c r="M32" s="27">
        <v>3.0</v>
      </c>
      <c r="N32" s="28">
        <f t="shared" si="2"/>
        <v>0.125</v>
      </c>
      <c r="O32" s="29">
        <f t="shared" si="3"/>
        <v>3</v>
      </c>
      <c r="P32" s="29">
        <f t="shared" si="4"/>
        <v>9</v>
      </c>
      <c r="Q32" s="29">
        <f t="shared" si="5"/>
        <v>0.225</v>
      </c>
      <c r="R32" s="29">
        <v>0.75</v>
      </c>
      <c r="S32" s="30">
        <f t="shared" si="6"/>
        <v>0</v>
      </c>
      <c r="T32" s="31" t="b">
        <v>0</v>
      </c>
      <c r="U32" s="31" t="b">
        <v>0</v>
      </c>
    </row>
    <row r="33" ht="15.75" customHeight="1">
      <c r="A33" s="10" t="s">
        <v>797</v>
      </c>
      <c r="B33" s="10" t="s">
        <v>731</v>
      </c>
      <c r="C33" s="10" t="s">
        <v>766</v>
      </c>
      <c r="D33" s="16" t="s">
        <v>798</v>
      </c>
      <c r="E33" s="24">
        <f t="shared" si="1"/>
        <v>0.6</v>
      </c>
      <c r="F33" s="13" t="s">
        <v>19</v>
      </c>
      <c r="G33" s="13" t="s">
        <v>733</v>
      </c>
      <c r="H33" s="25"/>
      <c r="I33" s="25"/>
      <c r="J33" s="25"/>
      <c r="K33" s="26">
        <v>0.32135416666642413</v>
      </c>
      <c r="L33" s="26">
        <v>0.4046874999985448</v>
      </c>
      <c r="M33" s="27">
        <v>12.0</v>
      </c>
      <c r="N33" s="28">
        <f t="shared" si="2"/>
        <v>0.08333333333</v>
      </c>
      <c r="O33" s="29">
        <f t="shared" si="3"/>
        <v>2</v>
      </c>
      <c r="P33" s="29">
        <f t="shared" si="4"/>
        <v>24</v>
      </c>
      <c r="Q33" s="29">
        <f t="shared" si="5"/>
        <v>0.6</v>
      </c>
      <c r="R33" s="29"/>
      <c r="S33" s="30">
        <f t="shared" si="6"/>
        <v>0</v>
      </c>
      <c r="T33" s="31" t="b">
        <v>0</v>
      </c>
      <c r="U33" s="31" t="b">
        <v>0</v>
      </c>
    </row>
    <row r="34" ht="15.75" customHeight="1">
      <c r="A34" s="10" t="s">
        <v>799</v>
      </c>
      <c r="B34" s="10" t="s">
        <v>731</v>
      </c>
      <c r="C34" s="10" t="s">
        <v>766</v>
      </c>
      <c r="D34" s="16" t="s">
        <v>800</v>
      </c>
      <c r="E34" s="24">
        <f t="shared" si="1"/>
        <v>0.9</v>
      </c>
      <c r="F34" s="13" t="s">
        <v>19</v>
      </c>
      <c r="G34" s="13" t="s">
        <v>733</v>
      </c>
      <c r="H34" s="25"/>
      <c r="I34" s="25"/>
      <c r="J34" s="25"/>
      <c r="K34" s="26">
        <v>0.2796874999985448</v>
      </c>
      <c r="L34" s="26">
        <v>0.4046874999985448</v>
      </c>
      <c r="M34" s="27">
        <v>12.0</v>
      </c>
      <c r="N34" s="28">
        <f t="shared" si="2"/>
        <v>0.125</v>
      </c>
      <c r="O34" s="29">
        <f t="shared" si="3"/>
        <v>3</v>
      </c>
      <c r="P34" s="29">
        <f t="shared" si="4"/>
        <v>36</v>
      </c>
      <c r="Q34" s="29">
        <f t="shared" si="5"/>
        <v>0.9</v>
      </c>
      <c r="R34" s="29"/>
      <c r="S34" s="30">
        <f t="shared" si="6"/>
        <v>0</v>
      </c>
      <c r="T34" s="31" t="b">
        <v>1</v>
      </c>
      <c r="U34" s="31"/>
    </row>
    <row r="35" ht="15.75" customHeight="1">
      <c r="A35" s="10" t="s">
        <v>801</v>
      </c>
      <c r="B35" s="10" t="s">
        <v>731</v>
      </c>
      <c r="C35" s="10" t="s">
        <v>766</v>
      </c>
      <c r="D35" s="16" t="s">
        <v>802</v>
      </c>
      <c r="E35" s="24">
        <f t="shared" si="1"/>
        <v>0.55</v>
      </c>
      <c r="F35" s="13" t="s">
        <v>19</v>
      </c>
      <c r="G35" s="13" t="s">
        <v>733</v>
      </c>
      <c r="H35" s="25"/>
      <c r="I35" s="25"/>
      <c r="J35" s="25"/>
      <c r="K35" s="26">
        <v>0.44635416666642413</v>
      </c>
      <c r="L35" s="26">
        <v>0.5296874999985448</v>
      </c>
      <c r="M35" s="27">
        <v>11.0</v>
      </c>
      <c r="N35" s="28">
        <f t="shared" si="2"/>
        <v>0.08333333333</v>
      </c>
      <c r="O35" s="29">
        <f t="shared" si="3"/>
        <v>2</v>
      </c>
      <c r="P35" s="29">
        <f t="shared" si="4"/>
        <v>22</v>
      </c>
      <c r="Q35" s="29">
        <f t="shared" si="5"/>
        <v>0.55</v>
      </c>
      <c r="R35" s="29"/>
      <c r="S35" s="30">
        <f t="shared" si="6"/>
        <v>0</v>
      </c>
      <c r="T35" s="31" t="b">
        <v>0</v>
      </c>
      <c r="U35" s="31"/>
    </row>
    <row r="36" ht="15.75" customHeight="1">
      <c r="A36" s="10" t="s">
        <v>803</v>
      </c>
      <c r="B36" s="10" t="s">
        <v>731</v>
      </c>
      <c r="C36" s="10" t="s">
        <v>766</v>
      </c>
      <c r="D36" s="16" t="s">
        <v>804</v>
      </c>
      <c r="E36" s="24">
        <f t="shared" si="1"/>
        <v>0.5</v>
      </c>
      <c r="F36" s="13" t="s">
        <v>19</v>
      </c>
      <c r="G36" s="13" t="s">
        <v>733</v>
      </c>
      <c r="H36" s="25"/>
      <c r="I36" s="25"/>
      <c r="J36" s="25"/>
      <c r="K36" s="26">
        <v>0.48802083333430346</v>
      </c>
      <c r="L36" s="26">
        <v>0.5713541666664241</v>
      </c>
      <c r="M36" s="27">
        <v>10.0</v>
      </c>
      <c r="N36" s="28">
        <f t="shared" si="2"/>
        <v>0.08333333333</v>
      </c>
      <c r="O36" s="29">
        <f t="shared" si="3"/>
        <v>2</v>
      </c>
      <c r="P36" s="29">
        <f t="shared" si="4"/>
        <v>20</v>
      </c>
      <c r="Q36" s="29">
        <f t="shared" si="5"/>
        <v>0.5</v>
      </c>
      <c r="R36" s="29" t="s">
        <v>805</v>
      </c>
      <c r="S36" s="30">
        <f t="shared" si="6"/>
        <v>0</v>
      </c>
      <c r="T36" s="31" t="b">
        <v>0</v>
      </c>
      <c r="U36" s="31" t="b">
        <v>0</v>
      </c>
    </row>
    <row r="37" ht="15.75" customHeight="1">
      <c r="A37" s="10" t="s">
        <v>806</v>
      </c>
      <c r="B37" s="10" t="s">
        <v>731</v>
      </c>
      <c r="C37" s="10" t="s">
        <v>766</v>
      </c>
      <c r="D37" s="16" t="s">
        <v>807</v>
      </c>
      <c r="E37" s="24">
        <f t="shared" si="1"/>
        <v>0.375</v>
      </c>
      <c r="F37" s="13" t="s">
        <v>19</v>
      </c>
      <c r="G37" s="13" t="s">
        <v>733</v>
      </c>
      <c r="H37" s="25"/>
      <c r="I37" s="25"/>
      <c r="J37" s="25"/>
      <c r="K37" s="26">
        <v>0.44635416666642413</v>
      </c>
      <c r="L37" s="26">
        <v>0.5713541666664241</v>
      </c>
      <c r="M37" s="27">
        <v>5.0</v>
      </c>
      <c r="N37" s="28">
        <f t="shared" si="2"/>
        <v>0.125</v>
      </c>
      <c r="O37" s="29">
        <f t="shared" si="3"/>
        <v>3</v>
      </c>
      <c r="P37" s="29">
        <f t="shared" si="4"/>
        <v>15</v>
      </c>
      <c r="Q37" s="29">
        <f t="shared" si="5"/>
        <v>0.375</v>
      </c>
      <c r="R37" s="29" t="s">
        <v>808</v>
      </c>
      <c r="S37" s="30">
        <f t="shared" si="6"/>
        <v>0</v>
      </c>
      <c r="T37" s="31" t="b">
        <v>0</v>
      </c>
      <c r="U37" s="31" t="b">
        <v>0</v>
      </c>
    </row>
    <row r="38" ht="15.75" customHeight="1">
      <c r="A38" s="10" t="s">
        <v>809</v>
      </c>
      <c r="B38" s="10" t="s">
        <v>731</v>
      </c>
      <c r="C38" s="10" t="s">
        <v>766</v>
      </c>
      <c r="D38" s="16" t="s">
        <v>810</v>
      </c>
      <c r="E38" s="24">
        <f t="shared" si="1"/>
        <v>0.225</v>
      </c>
      <c r="F38" s="13" t="s">
        <v>19</v>
      </c>
      <c r="G38" s="13" t="s">
        <v>733</v>
      </c>
      <c r="H38" s="25"/>
      <c r="I38" s="25"/>
      <c r="J38" s="25"/>
      <c r="K38" s="26">
        <v>0.23802083333430346</v>
      </c>
      <c r="L38" s="26">
        <v>0.30052083333430346</v>
      </c>
      <c r="M38" s="27">
        <v>6.0</v>
      </c>
      <c r="N38" s="28">
        <f t="shared" si="2"/>
        <v>0.0625</v>
      </c>
      <c r="O38" s="29">
        <f t="shared" si="3"/>
        <v>1.5</v>
      </c>
      <c r="P38" s="29">
        <f t="shared" si="4"/>
        <v>9</v>
      </c>
      <c r="Q38" s="29">
        <f t="shared" si="5"/>
        <v>0.225</v>
      </c>
      <c r="R38" s="29"/>
      <c r="S38" s="30">
        <f t="shared" si="6"/>
        <v>0</v>
      </c>
      <c r="T38" s="31" t="b">
        <v>1</v>
      </c>
      <c r="U38" s="31"/>
    </row>
    <row r="39" ht="15.75" customHeight="1">
      <c r="A39" s="10" t="s">
        <v>811</v>
      </c>
      <c r="B39" s="10" t="s">
        <v>731</v>
      </c>
      <c r="C39" s="10" t="s">
        <v>766</v>
      </c>
      <c r="D39" s="16" t="s">
        <v>812</v>
      </c>
      <c r="E39" s="24">
        <f t="shared" si="1"/>
        <v>0.5</v>
      </c>
      <c r="F39" s="13" t="s">
        <v>19</v>
      </c>
      <c r="G39" s="13" t="s">
        <v>733</v>
      </c>
      <c r="H39" s="25"/>
      <c r="I39" s="25"/>
      <c r="J39" s="25"/>
      <c r="K39" s="26">
        <v>0.48802083333430346</v>
      </c>
      <c r="L39" s="26">
        <v>0.5713541666664241</v>
      </c>
      <c r="M39" s="27">
        <v>10.0</v>
      </c>
      <c r="N39" s="28">
        <f t="shared" si="2"/>
        <v>0.08333333333</v>
      </c>
      <c r="O39" s="29">
        <f t="shared" si="3"/>
        <v>2</v>
      </c>
      <c r="P39" s="29">
        <f t="shared" si="4"/>
        <v>20</v>
      </c>
      <c r="Q39" s="29">
        <f t="shared" si="5"/>
        <v>0.5</v>
      </c>
      <c r="R39" s="29"/>
      <c r="S39" s="30">
        <f t="shared" si="6"/>
        <v>0</v>
      </c>
      <c r="T39" s="31" t="b">
        <v>1</v>
      </c>
      <c r="U39" s="31"/>
    </row>
    <row r="40" ht="15.75" customHeight="1">
      <c r="A40" s="10" t="s">
        <v>813</v>
      </c>
      <c r="B40" s="10" t="s">
        <v>731</v>
      </c>
      <c r="C40" s="10" t="s">
        <v>766</v>
      </c>
      <c r="D40" s="16" t="s">
        <v>814</v>
      </c>
      <c r="E40" s="24">
        <f t="shared" si="1"/>
        <v>0.3</v>
      </c>
      <c r="F40" s="13" t="s">
        <v>19</v>
      </c>
      <c r="G40" s="13" t="s">
        <v>733</v>
      </c>
      <c r="H40" s="25"/>
      <c r="I40" s="25"/>
      <c r="J40" s="25"/>
      <c r="K40" s="26">
        <v>0.23802083333430346</v>
      </c>
      <c r="L40" s="26">
        <v>0.32135416666642413</v>
      </c>
      <c r="M40" s="27">
        <v>6.0</v>
      </c>
      <c r="N40" s="28">
        <f t="shared" si="2"/>
        <v>0.08333333333</v>
      </c>
      <c r="O40" s="29">
        <f t="shared" si="3"/>
        <v>2</v>
      </c>
      <c r="P40" s="29">
        <f t="shared" si="4"/>
        <v>12</v>
      </c>
      <c r="Q40" s="29">
        <f t="shared" si="5"/>
        <v>0.3</v>
      </c>
      <c r="R40" s="29"/>
      <c r="S40" s="30">
        <f t="shared" si="6"/>
        <v>0</v>
      </c>
      <c r="T40" s="31" t="b">
        <v>1</v>
      </c>
      <c r="U40" s="31"/>
    </row>
    <row r="41" ht="15.75" customHeight="1">
      <c r="A41" s="10" t="s">
        <v>815</v>
      </c>
      <c r="B41" s="10" t="s">
        <v>731</v>
      </c>
      <c r="C41" s="10" t="s">
        <v>766</v>
      </c>
      <c r="D41" s="16" t="s">
        <v>816</v>
      </c>
      <c r="E41" s="24">
        <f t="shared" si="1"/>
        <v>0.25</v>
      </c>
      <c r="F41" s="13" t="s">
        <v>360</v>
      </c>
      <c r="G41" s="13" t="s">
        <v>733</v>
      </c>
      <c r="H41" s="25"/>
      <c r="I41" s="25"/>
      <c r="J41" s="25"/>
      <c r="K41" s="26">
        <v>0.44635416666642413</v>
      </c>
      <c r="L41" s="26">
        <v>0.48802083333430346</v>
      </c>
      <c r="M41" s="27">
        <v>10.0</v>
      </c>
      <c r="N41" s="28">
        <f t="shared" si="2"/>
        <v>0.04166666667</v>
      </c>
      <c r="O41" s="29">
        <f t="shared" si="3"/>
        <v>1</v>
      </c>
      <c r="P41" s="29">
        <f t="shared" si="4"/>
        <v>10</v>
      </c>
      <c r="Q41" s="29">
        <f t="shared" si="5"/>
        <v>0.25</v>
      </c>
      <c r="R41" s="29"/>
      <c r="S41" s="30">
        <f t="shared" si="6"/>
        <v>0</v>
      </c>
      <c r="T41" s="31" t="b">
        <v>1</v>
      </c>
      <c r="U41" s="31"/>
    </row>
    <row r="42" ht="15.75" customHeight="1">
      <c r="A42" s="10" t="s">
        <v>817</v>
      </c>
      <c r="B42" s="10" t="s">
        <v>731</v>
      </c>
      <c r="C42" s="10" t="s">
        <v>766</v>
      </c>
      <c r="D42" s="16" t="s">
        <v>818</v>
      </c>
      <c r="E42" s="24">
        <f t="shared" si="1"/>
        <v>0.5</v>
      </c>
      <c r="F42" s="13" t="s">
        <v>19</v>
      </c>
      <c r="G42" s="13" t="s">
        <v>733</v>
      </c>
      <c r="H42" s="25"/>
      <c r="I42" s="25"/>
      <c r="J42" s="25"/>
      <c r="K42" s="26">
        <v>0.44635416666642413</v>
      </c>
      <c r="L42" s="26">
        <v>0.5296874999985448</v>
      </c>
      <c r="M42" s="27">
        <v>10.0</v>
      </c>
      <c r="N42" s="28">
        <f t="shared" si="2"/>
        <v>0.08333333333</v>
      </c>
      <c r="O42" s="29">
        <f t="shared" si="3"/>
        <v>2</v>
      </c>
      <c r="P42" s="29">
        <f t="shared" si="4"/>
        <v>20</v>
      </c>
      <c r="Q42" s="29">
        <f t="shared" si="5"/>
        <v>0.5</v>
      </c>
      <c r="R42" s="29"/>
      <c r="S42" s="30">
        <f t="shared" si="6"/>
        <v>0</v>
      </c>
      <c r="T42" s="31" t="b">
        <v>1</v>
      </c>
      <c r="U42" s="31"/>
    </row>
    <row r="43" ht="15.75" customHeight="1">
      <c r="A43" s="10" t="s">
        <v>819</v>
      </c>
      <c r="B43" s="10" t="s">
        <v>731</v>
      </c>
      <c r="C43" s="10" t="s">
        <v>766</v>
      </c>
      <c r="D43" s="16" t="s">
        <v>820</v>
      </c>
      <c r="E43" s="24">
        <f t="shared" si="1"/>
        <v>0.15</v>
      </c>
      <c r="F43" s="13" t="s">
        <v>19</v>
      </c>
      <c r="G43" s="13" t="s">
        <v>733</v>
      </c>
      <c r="H43" s="25"/>
      <c r="I43" s="25"/>
      <c r="J43" s="25"/>
      <c r="K43" s="26">
        <v>0.44635416666642413</v>
      </c>
      <c r="L43" s="26">
        <v>0.48802083333430346</v>
      </c>
      <c r="M43" s="27">
        <v>6.0</v>
      </c>
      <c r="N43" s="28">
        <f t="shared" si="2"/>
        <v>0.04166666667</v>
      </c>
      <c r="O43" s="29">
        <f t="shared" si="3"/>
        <v>1</v>
      </c>
      <c r="P43" s="29">
        <f t="shared" si="4"/>
        <v>6</v>
      </c>
      <c r="Q43" s="29">
        <f t="shared" si="5"/>
        <v>0.15</v>
      </c>
      <c r="R43" s="29"/>
      <c r="S43" s="30">
        <f t="shared" si="6"/>
        <v>0</v>
      </c>
      <c r="T43" s="31" t="b">
        <v>1</v>
      </c>
      <c r="U43" s="31"/>
    </row>
    <row r="44" ht="15.75" customHeight="1">
      <c r="A44" s="10" t="s">
        <v>821</v>
      </c>
      <c r="B44" s="10" t="s">
        <v>731</v>
      </c>
      <c r="C44" s="10" t="s">
        <v>766</v>
      </c>
      <c r="D44" s="16" t="s">
        <v>822</v>
      </c>
      <c r="E44" s="24">
        <f t="shared" si="1"/>
        <v>0.5</v>
      </c>
      <c r="F44" s="13" t="s">
        <v>19</v>
      </c>
      <c r="G44" s="13" t="s">
        <v>733</v>
      </c>
      <c r="H44" s="25"/>
      <c r="I44" s="25"/>
      <c r="J44" s="25"/>
      <c r="K44" s="26">
        <v>0.44635416666642413</v>
      </c>
      <c r="L44" s="26">
        <v>0.5296874999985448</v>
      </c>
      <c r="M44" s="27">
        <v>10.0</v>
      </c>
      <c r="N44" s="28">
        <f t="shared" si="2"/>
        <v>0.08333333333</v>
      </c>
      <c r="O44" s="29">
        <f t="shared" si="3"/>
        <v>2</v>
      </c>
      <c r="P44" s="29">
        <f t="shared" si="4"/>
        <v>20</v>
      </c>
      <c r="Q44" s="29">
        <f t="shared" si="5"/>
        <v>0.5</v>
      </c>
      <c r="R44" s="29"/>
      <c r="S44" s="30">
        <f t="shared" si="6"/>
        <v>0</v>
      </c>
      <c r="T44" s="31" t="b">
        <v>1</v>
      </c>
      <c r="U44" s="31"/>
    </row>
    <row r="45" ht="15.75" customHeight="1">
      <c r="A45" s="10" t="s">
        <v>823</v>
      </c>
      <c r="B45" s="10" t="s">
        <v>731</v>
      </c>
      <c r="C45" s="10" t="s">
        <v>766</v>
      </c>
      <c r="D45" s="16" t="s">
        <v>824</v>
      </c>
      <c r="E45" s="24">
        <f t="shared" si="1"/>
        <v>0.3</v>
      </c>
      <c r="F45" s="13" t="s">
        <v>19</v>
      </c>
      <c r="G45" s="13" t="s">
        <v>733</v>
      </c>
      <c r="H45" s="25"/>
      <c r="J45" s="25"/>
      <c r="K45" s="47">
        <v>0.44635416666642413</v>
      </c>
      <c r="L45" s="47">
        <v>0.5296874999985448</v>
      </c>
      <c r="M45" s="48">
        <v>6.0</v>
      </c>
      <c r="N45" s="28">
        <f t="shared" si="2"/>
        <v>0.08333333333</v>
      </c>
      <c r="O45" s="29">
        <f t="shared" si="3"/>
        <v>2</v>
      </c>
      <c r="P45" s="29">
        <f t="shared" si="4"/>
        <v>12</v>
      </c>
      <c r="Q45" s="29">
        <f t="shared" si="5"/>
        <v>0.3</v>
      </c>
      <c r="R45" s="29" t="s">
        <v>825</v>
      </c>
      <c r="S45" s="30">
        <f t="shared" si="6"/>
        <v>0</v>
      </c>
      <c r="T45" s="31" t="b">
        <v>1</v>
      </c>
      <c r="U45" s="31"/>
    </row>
    <row r="46" ht="15.75" customHeight="1">
      <c r="A46" s="10" t="s">
        <v>826</v>
      </c>
      <c r="B46" s="10" t="s">
        <v>731</v>
      </c>
      <c r="C46" s="10" t="s">
        <v>766</v>
      </c>
      <c r="D46" s="16" t="s">
        <v>827</v>
      </c>
      <c r="E46" s="24">
        <f t="shared" si="1"/>
        <v>0.5</v>
      </c>
      <c r="F46" s="13" t="s">
        <v>19</v>
      </c>
      <c r="G46" s="13" t="s">
        <v>733</v>
      </c>
      <c r="H46" s="25"/>
      <c r="I46" s="25"/>
      <c r="J46" s="25"/>
      <c r="K46" s="47">
        <v>0.44635416666642413</v>
      </c>
      <c r="L46" s="47">
        <v>0.5296874999985448</v>
      </c>
      <c r="M46" s="48">
        <v>10.0</v>
      </c>
      <c r="N46" s="28">
        <f t="shared" si="2"/>
        <v>0.08333333333</v>
      </c>
      <c r="O46" s="29">
        <f t="shared" si="3"/>
        <v>2</v>
      </c>
      <c r="P46" s="29">
        <f t="shared" si="4"/>
        <v>20</v>
      </c>
      <c r="Q46" s="29">
        <f t="shared" si="5"/>
        <v>0.5</v>
      </c>
      <c r="R46" s="29" t="s">
        <v>828</v>
      </c>
      <c r="S46" s="30">
        <f t="shared" si="6"/>
        <v>0</v>
      </c>
      <c r="T46" s="31" t="b">
        <v>0</v>
      </c>
      <c r="U46" s="31" t="b">
        <v>0</v>
      </c>
    </row>
    <row r="47" ht="15.75" customHeight="1">
      <c r="A47" s="10" t="s">
        <v>829</v>
      </c>
      <c r="B47" s="10" t="s">
        <v>731</v>
      </c>
      <c r="C47" s="10" t="s">
        <v>766</v>
      </c>
      <c r="D47" s="16" t="s">
        <v>830</v>
      </c>
      <c r="E47" s="24">
        <f t="shared" si="1"/>
        <v>0.3</v>
      </c>
      <c r="F47" s="13" t="s">
        <v>19</v>
      </c>
      <c r="G47" s="13" t="s">
        <v>733</v>
      </c>
      <c r="H47" s="25"/>
      <c r="I47" s="25"/>
      <c r="J47" s="25"/>
      <c r="K47" s="47">
        <v>0.44635416666642413</v>
      </c>
      <c r="L47" s="47">
        <v>0.48802083333430346</v>
      </c>
      <c r="M47" s="48">
        <v>12.0</v>
      </c>
      <c r="N47" s="28">
        <f t="shared" si="2"/>
        <v>0.04166666667</v>
      </c>
      <c r="O47" s="29">
        <f t="shared" si="3"/>
        <v>1</v>
      </c>
      <c r="P47" s="29">
        <f t="shared" si="4"/>
        <v>12</v>
      </c>
      <c r="Q47" s="29">
        <f t="shared" si="5"/>
        <v>0.3</v>
      </c>
      <c r="R47" s="29" t="s">
        <v>831</v>
      </c>
      <c r="S47" s="30">
        <f t="shared" si="6"/>
        <v>0</v>
      </c>
      <c r="T47" s="31" t="b">
        <v>1</v>
      </c>
      <c r="U47" s="31"/>
    </row>
    <row r="48" ht="15.75" customHeight="1">
      <c r="A48" s="10" t="s">
        <v>832</v>
      </c>
      <c r="B48" s="10" t="s">
        <v>731</v>
      </c>
      <c r="C48" s="10" t="s">
        <v>766</v>
      </c>
      <c r="D48" s="16" t="s">
        <v>833</v>
      </c>
      <c r="E48" s="24">
        <f t="shared" si="1"/>
        <v>0.375</v>
      </c>
      <c r="F48" s="13" t="s">
        <v>19</v>
      </c>
      <c r="G48" s="13" t="s">
        <v>733</v>
      </c>
      <c r="H48" s="25"/>
      <c r="I48" s="25"/>
      <c r="J48" s="25"/>
      <c r="K48" s="47">
        <v>0.44635416666642413</v>
      </c>
      <c r="L48" s="47">
        <v>0.5713541666664241</v>
      </c>
      <c r="M48" s="48">
        <v>5.0</v>
      </c>
      <c r="N48" s="28">
        <f t="shared" si="2"/>
        <v>0.125</v>
      </c>
      <c r="O48" s="29">
        <f t="shared" si="3"/>
        <v>3</v>
      </c>
      <c r="P48" s="29">
        <f t="shared" si="4"/>
        <v>15</v>
      </c>
      <c r="Q48" s="29">
        <f t="shared" si="5"/>
        <v>0.375</v>
      </c>
      <c r="R48" s="29" t="s">
        <v>834</v>
      </c>
      <c r="S48" s="30">
        <f t="shared" si="6"/>
        <v>0</v>
      </c>
      <c r="T48" s="31" t="b">
        <v>1</v>
      </c>
      <c r="U48" s="31"/>
    </row>
    <row r="49" ht="15.75" customHeight="1">
      <c r="A49" s="10" t="s">
        <v>835</v>
      </c>
      <c r="B49" s="10" t="s">
        <v>731</v>
      </c>
      <c r="C49" s="10" t="s">
        <v>766</v>
      </c>
      <c r="D49" s="16" t="s">
        <v>836</v>
      </c>
      <c r="E49" s="24">
        <f t="shared" si="1"/>
        <v>0.425</v>
      </c>
      <c r="F49" s="13" t="s">
        <v>19</v>
      </c>
      <c r="G49" s="13" t="s">
        <v>750</v>
      </c>
      <c r="H49" s="25"/>
      <c r="I49" s="25"/>
      <c r="J49" s="25"/>
      <c r="K49" s="47">
        <v>0.44635416666642413</v>
      </c>
      <c r="L49" s="47">
        <v>0.5296874999985448</v>
      </c>
      <c r="M49" s="48">
        <v>6.0</v>
      </c>
      <c r="N49" s="28">
        <f t="shared" si="2"/>
        <v>0.08333333333</v>
      </c>
      <c r="O49" s="29">
        <f t="shared" si="3"/>
        <v>2</v>
      </c>
      <c r="P49" s="29">
        <f t="shared" si="4"/>
        <v>12</v>
      </c>
      <c r="Q49" s="29">
        <f t="shared" si="5"/>
        <v>0.3</v>
      </c>
      <c r="R49" s="29"/>
      <c r="S49" s="30">
        <f t="shared" si="6"/>
        <v>0.125</v>
      </c>
      <c r="T49" s="31" t="b">
        <v>1</v>
      </c>
      <c r="U49" s="31"/>
    </row>
    <row r="50" ht="15.75" customHeight="1">
      <c r="A50" s="10" t="s">
        <v>837</v>
      </c>
      <c r="B50" s="10" t="s">
        <v>731</v>
      </c>
      <c r="C50" s="10" t="s">
        <v>766</v>
      </c>
      <c r="D50" s="11" t="s">
        <v>838</v>
      </c>
      <c r="E50" s="24">
        <f t="shared" si="1"/>
        <v>0.5</v>
      </c>
      <c r="F50" s="13" t="s">
        <v>19</v>
      </c>
      <c r="G50" s="13" t="s">
        <v>733</v>
      </c>
      <c r="I50" s="25"/>
      <c r="J50" s="25"/>
      <c r="K50" s="47">
        <v>0.44635416666642413</v>
      </c>
      <c r="L50" s="47">
        <v>0.5296874999985448</v>
      </c>
      <c r="M50" s="48">
        <v>10.0</v>
      </c>
      <c r="N50" s="28">
        <f t="shared" si="2"/>
        <v>0.08333333333</v>
      </c>
      <c r="O50" s="29">
        <f t="shared" si="3"/>
        <v>2</v>
      </c>
      <c r="P50" s="29">
        <f t="shared" si="4"/>
        <v>20</v>
      </c>
      <c r="Q50" s="29">
        <f t="shared" si="5"/>
        <v>0.5</v>
      </c>
      <c r="R50" s="49"/>
      <c r="T50" s="50" t="b">
        <v>0</v>
      </c>
      <c r="U50" s="50" t="b">
        <v>0</v>
      </c>
    </row>
    <row r="51" ht="15.75" customHeight="1">
      <c r="A51" s="10" t="s">
        <v>839</v>
      </c>
      <c r="B51" s="10" t="s">
        <v>731</v>
      </c>
      <c r="C51" s="10" t="s">
        <v>766</v>
      </c>
      <c r="D51" s="16" t="s">
        <v>840</v>
      </c>
      <c r="E51" s="24">
        <f t="shared" si="1"/>
        <v>0.5</v>
      </c>
      <c r="F51" s="13" t="s">
        <v>19</v>
      </c>
      <c r="G51" s="13" t="s">
        <v>733</v>
      </c>
      <c r="H51" s="25"/>
      <c r="I51" s="25"/>
      <c r="J51" s="25"/>
      <c r="K51" s="26">
        <v>0.44635416666642413</v>
      </c>
      <c r="L51" s="26">
        <v>0.5296874999985448</v>
      </c>
      <c r="M51" s="27">
        <v>10.0</v>
      </c>
      <c r="N51" s="28">
        <f t="shared" si="2"/>
        <v>0.08333333333</v>
      </c>
      <c r="O51" s="29">
        <f t="shared" si="3"/>
        <v>2</v>
      </c>
      <c r="P51" s="29">
        <f t="shared" si="4"/>
        <v>20</v>
      </c>
      <c r="Q51" s="29">
        <f t="shared" si="5"/>
        <v>0.5</v>
      </c>
      <c r="R51" s="29"/>
      <c r="S51" s="30">
        <f t="shared" ref="S51:S79" si="7">E51-Q51</f>
        <v>0</v>
      </c>
      <c r="T51" s="31" t="b">
        <v>0</v>
      </c>
      <c r="U51" s="31" t="b">
        <v>0</v>
      </c>
    </row>
    <row r="52" ht="15.75" customHeight="1">
      <c r="A52" s="10" t="s">
        <v>841</v>
      </c>
      <c r="B52" s="10" t="s">
        <v>731</v>
      </c>
      <c r="C52" s="10" t="s">
        <v>766</v>
      </c>
      <c r="D52" s="16" t="s">
        <v>842</v>
      </c>
      <c r="E52" s="24">
        <f t="shared" si="1"/>
        <v>0.225</v>
      </c>
      <c r="F52" s="13" t="s">
        <v>19</v>
      </c>
      <c r="G52" s="13" t="s">
        <v>750</v>
      </c>
      <c r="K52" s="26">
        <v>0.44635416666642413</v>
      </c>
      <c r="L52" s="26">
        <v>0.5296874999985448</v>
      </c>
      <c r="M52" s="27">
        <v>2.0</v>
      </c>
      <c r="N52" s="28">
        <f t="shared" si="2"/>
        <v>0.08333333333</v>
      </c>
      <c r="O52" s="29">
        <f t="shared" si="3"/>
        <v>2</v>
      </c>
      <c r="P52" s="29">
        <f t="shared" si="4"/>
        <v>4</v>
      </c>
      <c r="Q52" s="29">
        <f t="shared" si="5"/>
        <v>0.1</v>
      </c>
      <c r="R52" s="29">
        <v>0.53</v>
      </c>
      <c r="S52" s="30">
        <f t="shared" si="7"/>
        <v>0.125</v>
      </c>
      <c r="T52" s="31" t="b">
        <v>0</v>
      </c>
      <c r="U52" s="31"/>
    </row>
    <row r="53" ht="15.75" customHeight="1">
      <c r="A53" s="10" t="s">
        <v>843</v>
      </c>
      <c r="B53" s="10" t="s">
        <v>731</v>
      </c>
      <c r="C53" s="10" t="s">
        <v>766</v>
      </c>
      <c r="D53" s="16" t="s">
        <v>844</v>
      </c>
      <c r="E53" s="24">
        <f t="shared" si="1"/>
        <v>0.9</v>
      </c>
      <c r="F53" s="13" t="s">
        <v>19</v>
      </c>
      <c r="G53" s="13" t="s">
        <v>733</v>
      </c>
      <c r="H53" s="25"/>
      <c r="I53" s="25"/>
      <c r="J53" s="25"/>
      <c r="K53" s="26">
        <v>0.19635416666642413</v>
      </c>
      <c r="L53" s="26">
        <v>0.32135416666642413</v>
      </c>
      <c r="M53" s="27">
        <v>12.0</v>
      </c>
      <c r="N53" s="28">
        <f t="shared" si="2"/>
        <v>0.125</v>
      </c>
      <c r="O53" s="29">
        <f t="shared" si="3"/>
        <v>3</v>
      </c>
      <c r="P53" s="29">
        <f t="shared" si="4"/>
        <v>36</v>
      </c>
      <c r="Q53" s="29">
        <f t="shared" si="5"/>
        <v>0.9</v>
      </c>
      <c r="R53" s="29" t="s">
        <v>845</v>
      </c>
      <c r="S53" s="30">
        <f t="shared" si="7"/>
        <v>0</v>
      </c>
      <c r="T53" s="31" t="b">
        <v>0</v>
      </c>
      <c r="U53" s="31" t="b">
        <v>0</v>
      </c>
    </row>
    <row r="54" ht="15.75" customHeight="1">
      <c r="A54" s="10" t="s">
        <v>846</v>
      </c>
      <c r="B54" s="10" t="s">
        <v>731</v>
      </c>
      <c r="C54" s="10" t="s">
        <v>766</v>
      </c>
      <c r="D54" s="16" t="s">
        <v>847</v>
      </c>
      <c r="E54" s="24">
        <f t="shared" si="1"/>
        <v>0.3</v>
      </c>
      <c r="F54" s="13" t="s">
        <v>19</v>
      </c>
      <c r="G54" s="13" t="s">
        <v>733</v>
      </c>
      <c r="H54" s="25"/>
      <c r="I54" s="25"/>
      <c r="J54" s="25"/>
      <c r="K54" s="47">
        <v>0.19635416666642413</v>
      </c>
      <c r="L54" s="47">
        <v>0.23802083333430346</v>
      </c>
      <c r="M54" s="48">
        <v>12.0</v>
      </c>
      <c r="N54" s="28">
        <f t="shared" si="2"/>
        <v>0.04166666667</v>
      </c>
      <c r="O54" s="29">
        <f t="shared" si="3"/>
        <v>1</v>
      </c>
      <c r="P54" s="29">
        <f t="shared" si="4"/>
        <v>12</v>
      </c>
      <c r="Q54" s="29">
        <f t="shared" si="5"/>
        <v>0.3</v>
      </c>
      <c r="R54" s="29"/>
      <c r="S54" s="30">
        <f t="shared" si="7"/>
        <v>0</v>
      </c>
      <c r="T54" s="31" t="b">
        <v>1</v>
      </c>
      <c r="U54" s="31"/>
    </row>
    <row r="55" ht="15.75" customHeight="1">
      <c r="A55" s="10" t="s">
        <v>848</v>
      </c>
      <c r="B55" s="10" t="s">
        <v>731</v>
      </c>
      <c r="C55" s="10" t="s">
        <v>766</v>
      </c>
      <c r="D55" s="16" t="s">
        <v>849</v>
      </c>
      <c r="E55" s="24">
        <f t="shared" si="1"/>
        <v>0.3</v>
      </c>
      <c r="F55" s="13" t="s">
        <v>19</v>
      </c>
      <c r="G55" s="13" t="s">
        <v>733</v>
      </c>
      <c r="H55" s="25"/>
      <c r="I55" s="25"/>
      <c r="J55" s="25"/>
      <c r="K55" s="47">
        <v>0.19635416666642413</v>
      </c>
      <c r="L55" s="47">
        <v>0.23802083333430346</v>
      </c>
      <c r="M55" s="48">
        <v>12.0</v>
      </c>
      <c r="N55" s="28">
        <f t="shared" si="2"/>
        <v>0.04166666667</v>
      </c>
      <c r="O55" s="29">
        <f t="shared" si="3"/>
        <v>1</v>
      </c>
      <c r="P55" s="29">
        <f t="shared" si="4"/>
        <v>12</v>
      </c>
      <c r="Q55" s="29">
        <f t="shared" si="5"/>
        <v>0.3</v>
      </c>
      <c r="R55" s="29"/>
      <c r="S55" s="30">
        <f t="shared" si="7"/>
        <v>0</v>
      </c>
      <c r="T55" s="31" t="b">
        <v>1</v>
      </c>
      <c r="U55" s="31"/>
    </row>
    <row r="56" ht="15.75" customHeight="1">
      <c r="A56" s="10" t="s">
        <v>850</v>
      </c>
      <c r="B56" s="10" t="s">
        <v>731</v>
      </c>
      <c r="C56" s="10" t="s">
        <v>766</v>
      </c>
      <c r="D56" s="16" t="s">
        <v>851</v>
      </c>
      <c r="E56" s="24">
        <f t="shared" si="1"/>
        <v>0.3</v>
      </c>
      <c r="F56" s="13" t="s">
        <v>19</v>
      </c>
      <c r="G56" s="13" t="s">
        <v>733</v>
      </c>
      <c r="H56" s="25"/>
      <c r="I56" s="25"/>
      <c r="J56" s="25"/>
      <c r="K56" s="47">
        <v>0.19635416666642413</v>
      </c>
      <c r="L56" s="47">
        <v>0.23802083333430346</v>
      </c>
      <c r="M56" s="48">
        <v>12.0</v>
      </c>
      <c r="N56" s="28">
        <f t="shared" si="2"/>
        <v>0.04166666667</v>
      </c>
      <c r="O56" s="29">
        <f t="shared" si="3"/>
        <v>1</v>
      </c>
      <c r="P56" s="29">
        <f t="shared" si="4"/>
        <v>12</v>
      </c>
      <c r="Q56" s="29">
        <f t="shared" si="5"/>
        <v>0.3</v>
      </c>
      <c r="R56" s="29"/>
      <c r="S56" s="30">
        <f t="shared" si="7"/>
        <v>0</v>
      </c>
      <c r="T56" s="31" t="b">
        <v>1</v>
      </c>
      <c r="U56" s="31"/>
    </row>
    <row r="57" ht="15.75" customHeight="1">
      <c r="A57" s="10" t="s">
        <v>852</v>
      </c>
      <c r="B57" s="10" t="s">
        <v>731</v>
      </c>
      <c r="C57" s="10" t="s">
        <v>766</v>
      </c>
      <c r="D57" s="16" t="s">
        <v>853</v>
      </c>
      <c r="E57" s="24">
        <f t="shared" si="1"/>
        <v>0.9</v>
      </c>
      <c r="F57" s="13" t="s">
        <v>19</v>
      </c>
      <c r="G57" s="13" t="s">
        <v>733</v>
      </c>
      <c r="H57" s="25"/>
      <c r="I57" s="25"/>
      <c r="J57" s="25"/>
      <c r="K57" s="47">
        <v>0.19635416666642413</v>
      </c>
      <c r="L57" s="47">
        <v>0.32135416666642413</v>
      </c>
      <c r="M57" s="48">
        <v>12.0</v>
      </c>
      <c r="N57" s="28">
        <f t="shared" si="2"/>
        <v>0.125</v>
      </c>
      <c r="O57" s="29">
        <f t="shared" si="3"/>
        <v>3</v>
      </c>
      <c r="P57" s="29">
        <f t="shared" si="4"/>
        <v>36</v>
      </c>
      <c r="Q57" s="29">
        <f t="shared" si="5"/>
        <v>0.9</v>
      </c>
      <c r="R57" s="29"/>
      <c r="S57" s="30">
        <f t="shared" si="7"/>
        <v>0</v>
      </c>
      <c r="T57" s="31" t="b">
        <v>1</v>
      </c>
      <c r="U57" s="31"/>
    </row>
    <row r="58" ht="15.75" customHeight="1">
      <c r="A58" s="10" t="s">
        <v>854</v>
      </c>
      <c r="B58" s="10" t="s">
        <v>731</v>
      </c>
      <c r="C58" s="10" t="s">
        <v>766</v>
      </c>
      <c r="D58" s="16" t="s">
        <v>855</v>
      </c>
      <c r="E58" s="24">
        <f t="shared" si="1"/>
        <v>0.5</v>
      </c>
      <c r="F58" s="13" t="s">
        <v>19</v>
      </c>
      <c r="G58" s="13" t="s">
        <v>733</v>
      </c>
      <c r="H58" s="25"/>
      <c r="I58" s="25"/>
      <c r="J58" s="25"/>
      <c r="K58" s="47">
        <v>0.32135416666642413</v>
      </c>
      <c r="L58" s="47">
        <v>0.4046874999985448</v>
      </c>
      <c r="M58" s="48">
        <v>10.0</v>
      </c>
      <c r="N58" s="28">
        <f t="shared" si="2"/>
        <v>0.08333333333</v>
      </c>
      <c r="O58" s="29">
        <f t="shared" si="3"/>
        <v>2</v>
      </c>
      <c r="P58" s="29">
        <f t="shared" si="4"/>
        <v>20</v>
      </c>
      <c r="Q58" s="29">
        <f t="shared" si="5"/>
        <v>0.5</v>
      </c>
      <c r="R58" s="29"/>
      <c r="S58" s="30">
        <f t="shared" si="7"/>
        <v>0</v>
      </c>
      <c r="T58" s="31" t="b">
        <v>0</v>
      </c>
      <c r="U58" s="31" t="b">
        <v>0</v>
      </c>
    </row>
    <row r="59" ht="15.75" customHeight="1">
      <c r="A59" s="10" t="s">
        <v>856</v>
      </c>
      <c r="B59" s="10" t="s">
        <v>731</v>
      </c>
      <c r="C59" s="10" t="s">
        <v>766</v>
      </c>
      <c r="D59" s="16" t="s">
        <v>857</v>
      </c>
      <c r="E59" s="24">
        <f t="shared" si="1"/>
        <v>0.15</v>
      </c>
      <c r="F59" s="13" t="s">
        <v>19</v>
      </c>
      <c r="G59" s="13" t="s">
        <v>733</v>
      </c>
      <c r="H59" s="25"/>
      <c r="I59" s="25"/>
      <c r="J59" s="25"/>
      <c r="K59" s="26">
        <v>0.32135416666642413</v>
      </c>
      <c r="L59" s="26">
        <v>0.4046874999985448</v>
      </c>
      <c r="M59" s="27">
        <v>3.0</v>
      </c>
      <c r="N59" s="28">
        <f t="shared" si="2"/>
        <v>0.08333333333</v>
      </c>
      <c r="O59" s="29">
        <f t="shared" si="3"/>
        <v>2</v>
      </c>
      <c r="P59" s="29">
        <f t="shared" si="4"/>
        <v>6</v>
      </c>
      <c r="Q59" s="29">
        <f t="shared" si="5"/>
        <v>0.15</v>
      </c>
      <c r="R59" s="29">
        <v>0.75</v>
      </c>
      <c r="S59" s="30">
        <f t="shared" si="7"/>
        <v>0</v>
      </c>
      <c r="T59" s="31" t="b">
        <v>1</v>
      </c>
      <c r="U59" s="31"/>
    </row>
    <row r="60" ht="15.75" customHeight="1">
      <c r="A60" s="10" t="s">
        <v>858</v>
      </c>
      <c r="B60" s="10" t="s">
        <v>731</v>
      </c>
      <c r="C60" s="10" t="s">
        <v>766</v>
      </c>
      <c r="D60" s="16" t="s">
        <v>859</v>
      </c>
      <c r="E60" s="24">
        <f t="shared" si="1"/>
        <v>0.5</v>
      </c>
      <c r="F60" s="13" t="s">
        <v>19</v>
      </c>
      <c r="G60" s="13" t="s">
        <v>733</v>
      </c>
      <c r="H60" s="25"/>
      <c r="I60" s="25"/>
      <c r="J60" s="25"/>
      <c r="K60" s="26">
        <v>0.44635416666642413</v>
      </c>
      <c r="L60" s="26">
        <v>0.5296874999985448</v>
      </c>
      <c r="M60" s="27">
        <v>10.0</v>
      </c>
      <c r="N60" s="28">
        <f t="shared" si="2"/>
        <v>0.08333333333</v>
      </c>
      <c r="O60" s="29">
        <f t="shared" si="3"/>
        <v>2</v>
      </c>
      <c r="P60" s="29">
        <f t="shared" si="4"/>
        <v>20</v>
      </c>
      <c r="Q60" s="29">
        <f t="shared" si="5"/>
        <v>0.5</v>
      </c>
      <c r="R60" s="51" t="s">
        <v>860</v>
      </c>
      <c r="S60" s="30">
        <f t="shared" si="7"/>
        <v>0</v>
      </c>
      <c r="T60" s="31" t="b">
        <v>0</v>
      </c>
      <c r="U60" s="31" t="b">
        <v>0</v>
      </c>
    </row>
    <row r="61" ht="15.75" customHeight="1">
      <c r="A61" s="10" t="s">
        <v>861</v>
      </c>
      <c r="B61" s="10" t="s">
        <v>731</v>
      </c>
      <c r="C61" s="10" t="s">
        <v>766</v>
      </c>
      <c r="D61" s="16" t="s">
        <v>862</v>
      </c>
      <c r="E61" s="24">
        <f t="shared" si="1"/>
        <v>0.5</v>
      </c>
      <c r="F61" s="13" t="s">
        <v>19</v>
      </c>
      <c r="G61" s="13" t="s">
        <v>733</v>
      </c>
      <c r="H61" s="25"/>
      <c r="I61" s="25"/>
      <c r="J61" s="25"/>
      <c r="K61" s="26">
        <v>0.36302083333430346</v>
      </c>
      <c r="L61" s="26">
        <v>0.44635416666642413</v>
      </c>
      <c r="M61" s="27">
        <v>10.0</v>
      </c>
      <c r="N61" s="28">
        <f t="shared" si="2"/>
        <v>0.08333333333</v>
      </c>
      <c r="O61" s="29">
        <f t="shared" si="3"/>
        <v>2</v>
      </c>
      <c r="P61" s="29">
        <f t="shared" si="4"/>
        <v>20</v>
      </c>
      <c r="Q61" s="29">
        <f t="shared" si="5"/>
        <v>0.5</v>
      </c>
      <c r="R61" s="29"/>
      <c r="S61" s="30">
        <f t="shared" si="7"/>
        <v>0</v>
      </c>
      <c r="T61" s="31" t="b">
        <v>0</v>
      </c>
      <c r="U61" s="31" t="b">
        <v>0</v>
      </c>
    </row>
    <row r="62" ht="15.75" customHeight="1">
      <c r="A62" s="10" t="s">
        <v>863</v>
      </c>
      <c r="B62" s="10" t="s">
        <v>731</v>
      </c>
      <c r="C62" s="10" t="s">
        <v>766</v>
      </c>
      <c r="D62" s="16" t="s">
        <v>864</v>
      </c>
      <c r="E62" s="24">
        <f t="shared" si="1"/>
        <v>0.6</v>
      </c>
      <c r="F62" s="13" t="s">
        <v>19</v>
      </c>
      <c r="G62" s="13" t="s">
        <v>733</v>
      </c>
      <c r="K62" s="26">
        <v>0.36302083333430346</v>
      </c>
      <c r="L62" s="26">
        <v>0.44635416666642413</v>
      </c>
      <c r="M62" s="27">
        <v>12.0</v>
      </c>
      <c r="N62" s="28">
        <f t="shared" si="2"/>
        <v>0.08333333333</v>
      </c>
      <c r="O62" s="29">
        <f t="shared" si="3"/>
        <v>2</v>
      </c>
      <c r="P62" s="29">
        <f t="shared" si="4"/>
        <v>24</v>
      </c>
      <c r="Q62" s="29">
        <f t="shared" si="5"/>
        <v>0.6</v>
      </c>
      <c r="R62" s="29">
        <v>5.0</v>
      </c>
      <c r="S62" s="30">
        <f t="shared" si="7"/>
        <v>0</v>
      </c>
      <c r="T62" s="31" t="b">
        <v>0</v>
      </c>
      <c r="U62" s="31" t="b">
        <v>0</v>
      </c>
    </row>
    <row r="63" ht="15.75" customHeight="1">
      <c r="A63" s="10" t="s">
        <v>865</v>
      </c>
      <c r="B63" s="10" t="s">
        <v>731</v>
      </c>
      <c r="C63" s="10" t="s">
        <v>766</v>
      </c>
      <c r="D63" s="16" t="s">
        <v>866</v>
      </c>
      <c r="E63" s="24">
        <f t="shared" si="1"/>
        <v>0.6</v>
      </c>
      <c r="F63" s="13" t="s">
        <v>19</v>
      </c>
      <c r="G63" s="13" t="s">
        <v>733</v>
      </c>
      <c r="K63" s="26">
        <v>0.19635416666642413</v>
      </c>
      <c r="L63" s="26">
        <v>0.2796874999985448</v>
      </c>
      <c r="M63" s="27">
        <v>12.0</v>
      </c>
      <c r="N63" s="28">
        <f t="shared" si="2"/>
        <v>0.08333333333</v>
      </c>
      <c r="O63" s="29">
        <f t="shared" si="3"/>
        <v>2</v>
      </c>
      <c r="P63" s="29">
        <f t="shared" si="4"/>
        <v>24</v>
      </c>
      <c r="Q63" s="29">
        <f t="shared" si="5"/>
        <v>0.6</v>
      </c>
      <c r="R63" s="29">
        <v>1.0</v>
      </c>
      <c r="S63" s="30">
        <f t="shared" si="7"/>
        <v>0</v>
      </c>
      <c r="T63" s="31" t="b">
        <v>0</v>
      </c>
      <c r="U63" s="31" t="b">
        <v>0</v>
      </c>
    </row>
    <row r="64" ht="15.75" customHeight="1">
      <c r="A64" s="10" t="s">
        <v>867</v>
      </c>
      <c r="B64" s="10" t="s">
        <v>731</v>
      </c>
      <c r="C64" s="10" t="s">
        <v>87</v>
      </c>
      <c r="D64" s="16" t="s">
        <v>868</v>
      </c>
      <c r="E64" s="24">
        <f t="shared" si="1"/>
        <v>0.6</v>
      </c>
      <c r="F64" s="13" t="s">
        <v>19</v>
      </c>
      <c r="G64" s="13" t="s">
        <v>733</v>
      </c>
      <c r="H64" s="25"/>
      <c r="I64" s="25"/>
      <c r="J64" s="25"/>
      <c r="K64" s="26">
        <v>0.44635416666642413</v>
      </c>
      <c r="L64" s="26">
        <v>0.5296874999985448</v>
      </c>
      <c r="M64" s="27">
        <v>12.0</v>
      </c>
      <c r="N64" s="28">
        <f t="shared" si="2"/>
        <v>0.08333333333</v>
      </c>
      <c r="O64" s="29">
        <f t="shared" si="3"/>
        <v>2</v>
      </c>
      <c r="P64" s="29">
        <f t="shared" si="4"/>
        <v>24</v>
      </c>
      <c r="Q64" s="29">
        <f t="shared" si="5"/>
        <v>0.6</v>
      </c>
      <c r="R64" s="29">
        <v>0.75</v>
      </c>
      <c r="S64" s="30">
        <f t="shared" si="7"/>
        <v>0</v>
      </c>
      <c r="T64" s="31" t="b">
        <v>0</v>
      </c>
      <c r="U64" s="31" t="b">
        <v>0</v>
      </c>
    </row>
    <row r="65" ht="15.75" customHeight="1">
      <c r="A65" s="10" t="s">
        <v>869</v>
      </c>
      <c r="B65" s="10" t="s">
        <v>731</v>
      </c>
      <c r="C65" s="10" t="s">
        <v>87</v>
      </c>
      <c r="D65" s="16" t="s">
        <v>870</v>
      </c>
      <c r="E65" s="24">
        <f t="shared" si="1"/>
        <v>0.6</v>
      </c>
      <c r="F65" s="13" t="s">
        <v>19</v>
      </c>
      <c r="G65" s="13" t="s">
        <v>733</v>
      </c>
      <c r="H65" s="25"/>
      <c r="I65" s="25"/>
      <c r="J65" s="25"/>
      <c r="K65" s="26">
        <v>0.44635416666642413</v>
      </c>
      <c r="L65" s="26">
        <v>0.5296874999985448</v>
      </c>
      <c r="M65" s="27">
        <v>12.0</v>
      </c>
      <c r="N65" s="28">
        <f t="shared" si="2"/>
        <v>0.08333333333</v>
      </c>
      <c r="O65" s="29">
        <f t="shared" si="3"/>
        <v>2</v>
      </c>
      <c r="P65" s="29">
        <f t="shared" si="4"/>
        <v>24</v>
      </c>
      <c r="Q65" s="29">
        <f t="shared" si="5"/>
        <v>0.6</v>
      </c>
      <c r="R65" s="29">
        <v>0.75</v>
      </c>
      <c r="S65" s="30">
        <f t="shared" si="7"/>
        <v>0</v>
      </c>
      <c r="T65" s="31" t="b">
        <v>1</v>
      </c>
      <c r="U65" s="31"/>
    </row>
    <row r="66" ht="15.75" customHeight="1">
      <c r="A66" s="10" t="s">
        <v>871</v>
      </c>
      <c r="B66" s="10" t="s">
        <v>731</v>
      </c>
      <c r="C66" s="10" t="s">
        <v>87</v>
      </c>
      <c r="D66" s="52" t="s">
        <v>872</v>
      </c>
      <c r="E66" s="24">
        <f t="shared" si="1"/>
        <v>0.9</v>
      </c>
      <c r="F66" s="13" t="s">
        <v>19</v>
      </c>
      <c r="G66" s="13" t="s">
        <v>733</v>
      </c>
      <c r="H66" s="25"/>
      <c r="I66" s="25"/>
      <c r="J66" s="25"/>
      <c r="K66" s="47">
        <v>0.2796874999985448</v>
      </c>
      <c r="L66" s="47">
        <v>0.4046874999985448</v>
      </c>
      <c r="M66" s="48">
        <v>12.0</v>
      </c>
      <c r="N66" s="28">
        <f t="shared" si="2"/>
        <v>0.125</v>
      </c>
      <c r="O66" s="29">
        <f t="shared" si="3"/>
        <v>3</v>
      </c>
      <c r="P66" s="29">
        <f t="shared" si="4"/>
        <v>36</v>
      </c>
      <c r="Q66" s="29">
        <f t="shared" si="5"/>
        <v>0.9</v>
      </c>
      <c r="R66" s="29"/>
      <c r="S66" s="30">
        <f t="shared" si="7"/>
        <v>0</v>
      </c>
      <c r="T66" s="31" t="b">
        <v>0</v>
      </c>
      <c r="U66" s="31" t="b">
        <v>0</v>
      </c>
    </row>
    <row r="67" ht="15.75" customHeight="1">
      <c r="A67" s="10" t="s">
        <v>873</v>
      </c>
      <c r="B67" s="10" t="s">
        <v>731</v>
      </c>
      <c r="C67" s="10" t="s">
        <v>87</v>
      </c>
      <c r="D67" s="16" t="s">
        <v>874</v>
      </c>
      <c r="E67" s="24">
        <f t="shared" si="1"/>
        <v>0.25</v>
      </c>
      <c r="F67" s="13" t="s">
        <v>19</v>
      </c>
      <c r="G67" s="13" t="s">
        <v>733</v>
      </c>
      <c r="K67" s="26">
        <v>0.5296874999985448</v>
      </c>
      <c r="L67" s="26">
        <v>0.5713541666664241</v>
      </c>
      <c r="M67" s="27">
        <v>10.0</v>
      </c>
      <c r="N67" s="28">
        <f t="shared" si="2"/>
        <v>0.04166666667</v>
      </c>
      <c r="O67" s="29">
        <f t="shared" si="3"/>
        <v>1</v>
      </c>
      <c r="P67" s="29">
        <f t="shared" si="4"/>
        <v>10</v>
      </c>
      <c r="Q67" s="29">
        <f t="shared" si="5"/>
        <v>0.25</v>
      </c>
      <c r="R67" s="29"/>
      <c r="S67" s="30">
        <f t="shared" si="7"/>
        <v>0</v>
      </c>
      <c r="T67" s="31" t="b">
        <v>0</v>
      </c>
      <c r="U67" s="31" t="b">
        <v>0</v>
      </c>
    </row>
    <row r="68" ht="15.75" customHeight="1">
      <c r="A68" s="10" t="s">
        <v>875</v>
      </c>
      <c r="B68" s="10" t="s">
        <v>731</v>
      </c>
      <c r="C68" s="10" t="s">
        <v>87</v>
      </c>
      <c r="D68" s="16" t="s">
        <v>876</v>
      </c>
      <c r="E68" s="24">
        <f t="shared" si="1"/>
        <v>0.3</v>
      </c>
      <c r="F68" s="13" t="s">
        <v>19</v>
      </c>
      <c r="G68" s="13" t="s">
        <v>733</v>
      </c>
      <c r="H68" s="25"/>
      <c r="I68" s="25"/>
      <c r="J68" s="25"/>
      <c r="K68" s="26">
        <v>0.19635416666642413</v>
      </c>
      <c r="L68" s="26">
        <v>0.23802083333430346</v>
      </c>
      <c r="M68" s="27">
        <v>12.0</v>
      </c>
      <c r="N68" s="28">
        <f t="shared" si="2"/>
        <v>0.04166666667</v>
      </c>
      <c r="O68" s="29">
        <f t="shared" si="3"/>
        <v>1</v>
      </c>
      <c r="P68" s="29">
        <f t="shared" si="4"/>
        <v>12</v>
      </c>
      <c r="Q68" s="29">
        <f t="shared" si="5"/>
        <v>0.3</v>
      </c>
      <c r="R68" s="29" t="e">
        <v>#N/A</v>
      </c>
      <c r="S68" s="30">
        <f t="shared" si="7"/>
        <v>0</v>
      </c>
      <c r="T68" s="31" t="b">
        <v>1</v>
      </c>
      <c r="U68" s="31"/>
    </row>
    <row r="69" ht="15.75" customHeight="1">
      <c r="A69" s="10" t="s">
        <v>877</v>
      </c>
      <c r="B69" s="10" t="s">
        <v>731</v>
      </c>
      <c r="C69" s="10" t="s">
        <v>87</v>
      </c>
      <c r="D69" s="16" t="s">
        <v>878</v>
      </c>
      <c r="E69" s="24">
        <f t="shared" si="1"/>
        <v>0.375</v>
      </c>
      <c r="F69" s="13" t="s">
        <v>19</v>
      </c>
      <c r="G69" s="13" t="s">
        <v>733</v>
      </c>
      <c r="H69" s="25"/>
      <c r="I69" s="25"/>
      <c r="J69" s="25"/>
      <c r="K69" s="47">
        <v>0.5088541666664241</v>
      </c>
      <c r="L69" s="47">
        <v>0.5713541666664241</v>
      </c>
      <c r="M69" s="48">
        <v>10.0</v>
      </c>
      <c r="N69" s="28">
        <f t="shared" si="2"/>
        <v>0.0625</v>
      </c>
      <c r="O69" s="29">
        <f t="shared" si="3"/>
        <v>1.5</v>
      </c>
      <c r="P69" s="29">
        <f t="shared" si="4"/>
        <v>15</v>
      </c>
      <c r="Q69" s="29">
        <f t="shared" si="5"/>
        <v>0.375</v>
      </c>
      <c r="R69" s="29"/>
      <c r="S69" s="30">
        <f t="shared" si="7"/>
        <v>0</v>
      </c>
      <c r="T69" s="31" t="b">
        <v>0</v>
      </c>
      <c r="U69" s="31" t="b">
        <v>0</v>
      </c>
    </row>
    <row r="70" ht="15.75" customHeight="1">
      <c r="A70" s="10" t="s">
        <v>879</v>
      </c>
      <c r="B70" s="10" t="s">
        <v>731</v>
      </c>
      <c r="C70" s="10" t="s">
        <v>87</v>
      </c>
      <c r="D70" s="16" t="s">
        <v>880</v>
      </c>
      <c r="E70" s="24">
        <f t="shared" si="1"/>
        <v>0.45</v>
      </c>
      <c r="F70" s="13" t="s">
        <v>19</v>
      </c>
      <c r="G70" s="13" t="s">
        <v>733</v>
      </c>
      <c r="H70" s="25"/>
      <c r="I70" s="25"/>
      <c r="J70" s="25"/>
      <c r="K70" s="47">
        <v>0.5088541666664241</v>
      </c>
      <c r="L70" s="47">
        <v>0.5713541666664241</v>
      </c>
      <c r="M70" s="48">
        <v>12.0</v>
      </c>
      <c r="N70" s="28">
        <f t="shared" si="2"/>
        <v>0.0625</v>
      </c>
      <c r="O70" s="29">
        <f t="shared" si="3"/>
        <v>1.5</v>
      </c>
      <c r="P70" s="29">
        <f t="shared" si="4"/>
        <v>18</v>
      </c>
      <c r="Q70" s="29">
        <f t="shared" si="5"/>
        <v>0.45</v>
      </c>
      <c r="R70" s="29"/>
      <c r="S70" s="30">
        <f t="shared" si="7"/>
        <v>0</v>
      </c>
      <c r="T70" s="31" t="b">
        <v>0</v>
      </c>
      <c r="U70" s="31" t="b">
        <v>0</v>
      </c>
    </row>
    <row r="71" ht="15.75" customHeight="1">
      <c r="A71" s="10" t="s">
        <v>881</v>
      </c>
      <c r="B71" s="10" t="s">
        <v>731</v>
      </c>
      <c r="C71" s="10" t="s">
        <v>87</v>
      </c>
      <c r="D71" s="11" t="s">
        <v>882</v>
      </c>
      <c r="E71" s="24">
        <f t="shared" si="1"/>
        <v>0.5</v>
      </c>
      <c r="F71" s="13" t="s">
        <v>19</v>
      </c>
      <c r="G71" s="13" t="s">
        <v>733</v>
      </c>
      <c r="H71" s="25"/>
      <c r="I71" s="25"/>
      <c r="J71" s="25"/>
      <c r="K71" s="26">
        <v>0.48802083333430346</v>
      </c>
      <c r="L71" s="26">
        <v>0.5713541666664241</v>
      </c>
      <c r="M71" s="27">
        <v>10.0</v>
      </c>
      <c r="N71" s="28">
        <f t="shared" si="2"/>
        <v>0.08333333333</v>
      </c>
      <c r="O71" s="29">
        <f t="shared" si="3"/>
        <v>2</v>
      </c>
      <c r="P71" s="29">
        <f t="shared" si="4"/>
        <v>20</v>
      </c>
      <c r="Q71" s="29">
        <f t="shared" si="5"/>
        <v>0.5</v>
      </c>
      <c r="R71" s="29" t="s">
        <v>805</v>
      </c>
      <c r="S71" s="30">
        <f t="shared" si="7"/>
        <v>0</v>
      </c>
      <c r="T71" s="31" t="b">
        <v>0</v>
      </c>
      <c r="U71" s="31" t="b">
        <v>0</v>
      </c>
    </row>
    <row r="72" ht="15.75" customHeight="1">
      <c r="A72" s="10" t="s">
        <v>883</v>
      </c>
      <c r="B72" s="10" t="s">
        <v>731</v>
      </c>
      <c r="C72" s="10" t="s">
        <v>87</v>
      </c>
      <c r="D72" s="11" t="s">
        <v>884</v>
      </c>
      <c r="E72" s="24">
        <f t="shared" si="1"/>
        <v>0.75</v>
      </c>
      <c r="F72" s="13" t="s">
        <v>19</v>
      </c>
      <c r="G72" s="13" t="s">
        <v>733</v>
      </c>
      <c r="H72" s="25"/>
      <c r="I72" s="25"/>
      <c r="K72" s="26">
        <v>0.44635416666642413</v>
      </c>
      <c r="L72" s="26">
        <v>0.5713541666664241</v>
      </c>
      <c r="M72" s="27">
        <v>10.0</v>
      </c>
      <c r="N72" s="28">
        <f t="shared" si="2"/>
        <v>0.125</v>
      </c>
      <c r="O72" s="29">
        <f t="shared" si="3"/>
        <v>3</v>
      </c>
      <c r="P72" s="29">
        <f t="shared" si="4"/>
        <v>30</v>
      </c>
      <c r="Q72" s="29">
        <f t="shared" si="5"/>
        <v>0.75</v>
      </c>
      <c r="R72" s="29" t="s">
        <v>885</v>
      </c>
      <c r="S72" s="30">
        <f t="shared" si="7"/>
        <v>0</v>
      </c>
      <c r="T72" s="31" t="b">
        <v>0</v>
      </c>
      <c r="U72" s="31" t="b">
        <v>0</v>
      </c>
    </row>
    <row r="73" ht="15.75" customHeight="1">
      <c r="A73" s="10" t="s">
        <v>886</v>
      </c>
      <c r="B73" s="10" t="s">
        <v>731</v>
      </c>
      <c r="C73" s="10" t="s">
        <v>87</v>
      </c>
      <c r="D73" s="11" t="s">
        <v>887</v>
      </c>
      <c r="E73" s="24">
        <f t="shared" si="1"/>
        <v>0.625</v>
      </c>
      <c r="F73" s="13" t="s">
        <v>19</v>
      </c>
      <c r="G73" s="13" t="s">
        <v>750</v>
      </c>
      <c r="H73" s="25"/>
      <c r="K73" s="26">
        <v>0.48802083333430346</v>
      </c>
      <c r="L73" s="26">
        <v>0.5713541666664241</v>
      </c>
      <c r="M73" s="27">
        <v>10.0</v>
      </c>
      <c r="N73" s="28">
        <f t="shared" si="2"/>
        <v>0.08333333333</v>
      </c>
      <c r="O73" s="29">
        <f t="shared" si="3"/>
        <v>2</v>
      </c>
      <c r="P73" s="29">
        <f t="shared" si="4"/>
        <v>20</v>
      </c>
      <c r="Q73" s="29">
        <f t="shared" si="5"/>
        <v>0.5</v>
      </c>
      <c r="R73" s="29">
        <v>0.75</v>
      </c>
      <c r="S73" s="30">
        <f t="shared" si="7"/>
        <v>0.125</v>
      </c>
      <c r="T73" s="31" t="b">
        <v>1</v>
      </c>
      <c r="U73" s="31"/>
    </row>
    <row r="74" ht="15.75" customHeight="1">
      <c r="A74" s="10" t="s">
        <v>888</v>
      </c>
      <c r="B74" s="10" t="s">
        <v>731</v>
      </c>
      <c r="C74" s="10" t="s">
        <v>87</v>
      </c>
      <c r="D74" s="16" t="s">
        <v>889</v>
      </c>
      <c r="E74" s="24">
        <f t="shared" si="1"/>
        <v>0.45</v>
      </c>
      <c r="F74" s="13" t="s">
        <v>19</v>
      </c>
      <c r="G74" s="13" t="s">
        <v>733</v>
      </c>
      <c r="H74" s="25"/>
      <c r="I74" s="25"/>
      <c r="J74" s="25"/>
      <c r="K74" s="26">
        <v>0.5088541666664241</v>
      </c>
      <c r="L74" s="26">
        <v>0.5713541666664241</v>
      </c>
      <c r="M74" s="27">
        <v>12.0</v>
      </c>
      <c r="N74" s="28">
        <f t="shared" si="2"/>
        <v>0.0625</v>
      </c>
      <c r="O74" s="29">
        <f t="shared" si="3"/>
        <v>1.5</v>
      </c>
      <c r="P74" s="29">
        <f t="shared" si="4"/>
        <v>18</v>
      </c>
      <c r="Q74" s="29">
        <f t="shared" si="5"/>
        <v>0.45</v>
      </c>
      <c r="R74" s="29" t="e">
        <v>#N/A</v>
      </c>
      <c r="S74" s="30">
        <f t="shared" si="7"/>
        <v>0</v>
      </c>
      <c r="T74" s="31" t="b">
        <v>0</v>
      </c>
      <c r="U74" s="31" t="b">
        <v>0</v>
      </c>
    </row>
    <row r="75" ht="15.75" customHeight="1">
      <c r="A75" s="10" t="s">
        <v>890</v>
      </c>
      <c r="B75" s="10" t="s">
        <v>731</v>
      </c>
      <c r="C75" s="10" t="s">
        <v>87</v>
      </c>
      <c r="D75" s="16" t="s">
        <v>891</v>
      </c>
      <c r="E75" s="24">
        <f t="shared" si="1"/>
        <v>0.3</v>
      </c>
      <c r="F75" s="13" t="s">
        <v>19</v>
      </c>
      <c r="G75" s="13" t="s">
        <v>733</v>
      </c>
      <c r="H75" s="25"/>
      <c r="I75" s="25"/>
      <c r="J75" s="25"/>
      <c r="K75" s="26">
        <v>0.5296874999985448</v>
      </c>
      <c r="L75" s="26">
        <v>0.5713541666664241</v>
      </c>
      <c r="M75" s="27">
        <v>12.0</v>
      </c>
      <c r="N75" s="28">
        <f t="shared" si="2"/>
        <v>0.04166666667</v>
      </c>
      <c r="O75" s="29">
        <f t="shared" si="3"/>
        <v>1</v>
      </c>
      <c r="P75" s="29">
        <f t="shared" si="4"/>
        <v>12</v>
      </c>
      <c r="Q75" s="29">
        <f t="shared" si="5"/>
        <v>0.3</v>
      </c>
      <c r="R75" s="29"/>
      <c r="S75" s="30">
        <f t="shared" si="7"/>
        <v>0</v>
      </c>
      <c r="T75" s="31" t="b">
        <v>0</v>
      </c>
      <c r="U75" s="31" t="b">
        <v>0</v>
      </c>
    </row>
    <row r="76" ht="15.75" customHeight="1">
      <c r="A76" s="10" t="s">
        <v>892</v>
      </c>
      <c r="B76" s="10" t="s">
        <v>731</v>
      </c>
      <c r="C76" s="10" t="s">
        <v>87</v>
      </c>
      <c r="D76" s="11" t="s">
        <v>893</v>
      </c>
      <c r="E76" s="24">
        <f t="shared" si="1"/>
        <v>0.45</v>
      </c>
      <c r="F76" s="13" t="s">
        <v>19</v>
      </c>
      <c r="G76" s="13" t="s">
        <v>733</v>
      </c>
      <c r="H76" s="25"/>
      <c r="I76" s="25"/>
      <c r="J76" s="25"/>
      <c r="K76" s="26">
        <v>0.5088541666664241</v>
      </c>
      <c r="L76" s="26">
        <v>0.5713541666664241</v>
      </c>
      <c r="M76" s="27">
        <v>12.0</v>
      </c>
      <c r="N76" s="28">
        <f t="shared" si="2"/>
        <v>0.0625</v>
      </c>
      <c r="O76" s="29">
        <f t="shared" si="3"/>
        <v>1.5</v>
      </c>
      <c r="P76" s="29">
        <f t="shared" si="4"/>
        <v>18</v>
      </c>
      <c r="Q76" s="29">
        <f t="shared" si="5"/>
        <v>0.45</v>
      </c>
      <c r="R76" s="29" t="s">
        <v>831</v>
      </c>
      <c r="S76" s="30">
        <f t="shared" si="7"/>
        <v>0</v>
      </c>
      <c r="T76" s="31" t="b">
        <v>0</v>
      </c>
      <c r="U76" s="31"/>
    </row>
    <row r="77" ht="15.75" customHeight="1">
      <c r="A77" s="10" t="s">
        <v>894</v>
      </c>
      <c r="B77" s="10" t="s">
        <v>731</v>
      </c>
      <c r="C77" s="10" t="s">
        <v>87</v>
      </c>
      <c r="D77" s="16" t="s">
        <v>895</v>
      </c>
      <c r="E77" s="24">
        <f t="shared" si="1"/>
        <v>0.6</v>
      </c>
      <c r="F77" s="13" t="s">
        <v>19</v>
      </c>
      <c r="G77" s="13" t="s">
        <v>733</v>
      </c>
      <c r="H77" s="25"/>
      <c r="I77" s="25"/>
      <c r="J77" s="25"/>
      <c r="K77" s="26">
        <v>0.19635416666642413</v>
      </c>
      <c r="L77" s="26">
        <v>0.2796874999985448</v>
      </c>
      <c r="M77" s="27">
        <v>12.0</v>
      </c>
      <c r="N77" s="53">
        <f t="shared" si="2"/>
        <v>0.08333333333</v>
      </c>
      <c r="O77" s="30">
        <f t="shared" si="3"/>
        <v>2</v>
      </c>
      <c r="P77" s="30">
        <f t="shared" si="4"/>
        <v>24</v>
      </c>
      <c r="Q77" s="30">
        <f t="shared" si="5"/>
        <v>0.6</v>
      </c>
      <c r="R77" s="30"/>
      <c r="S77" s="30">
        <f t="shared" si="7"/>
        <v>0</v>
      </c>
      <c r="T77" s="31" t="b">
        <v>0</v>
      </c>
      <c r="U77" s="31" t="b">
        <v>0</v>
      </c>
    </row>
    <row r="78" ht="15.75" customHeight="1">
      <c r="A78" s="10" t="s">
        <v>896</v>
      </c>
      <c r="B78" s="10" t="s">
        <v>731</v>
      </c>
      <c r="C78" s="10" t="s">
        <v>87</v>
      </c>
      <c r="D78" s="16" t="s">
        <v>897</v>
      </c>
      <c r="E78" s="24">
        <f t="shared" si="1"/>
        <v>0.125</v>
      </c>
      <c r="F78" s="13" t="s">
        <v>19</v>
      </c>
      <c r="G78" s="13" t="s">
        <v>733</v>
      </c>
      <c r="H78" s="25"/>
      <c r="I78" s="25"/>
      <c r="J78" s="25"/>
      <c r="K78" s="26">
        <v>0.2796874999985448</v>
      </c>
      <c r="L78" s="26">
        <v>0.38385416666642413</v>
      </c>
      <c r="M78" s="27">
        <v>2.0</v>
      </c>
      <c r="N78" s="53">
        <f t="shared" si="2"/>
        <v>0.1041666667</v>
      </c>
      <c r="O78" s="30">
        <f t="shared" si="3"/>
        <v>2.5</v>
      </c>
      <c r="P78" s="30">
        <f t="shared" si="4"/>
        <v>5</v>
      </c>
      <c r="Q78" s="30">
        <f t="shared" si="5"/>
        <v>0.125</v>
      </c>
      <c r="R78" s="30"/>
      <c r="S78" s="30">
        <f t="shared" si="7"/>
        <v>0</v>
      </c>
      <c r="T78" s="31" t="b">
        <v>0</v>
      </c>
      <c r="U78" s="31" t="b">
        <v>0</v>
      </c>
    </row>
    <row r="79" ht="15.75" customHeight="1">
      <c r="A79" s="10" t="s">
        <v>898</v>
      </c>
      <c r="B79" s="10" t="s">
        <v>731</v>
      </c>
      <c r="C79" s="10" t="s">
        <v>87</v>
      </c>
      <c r="D79" s="16" t="s">
        <v>899</v>
      </c>
      <c r="E79" s="24">
        <f t="shared" si="1"/>
        <v>0.875</v>
      </c>
      <c r="F79" s="13" t="s">
        <v>19</v>
      </c>
      <c r="G79" s="13" t="s">
        <v>750</v>
      </c>
      <c r="H79" s="25"/>
      <c r="I79" s="25"/>
      <c r="J79" s="25"/>
      <c r="K79" s="26">
        <v>0.44635416666642413</v>
      </c>
      <c r="L79" s="26">
        <v>0.5713541666664241</v>
      </c>
      <c r="M79" s="27">
        <v>10.0</v>
      </c>
      <c r="N79" s="53">
        <f t="shared" si="2"/>
        <v>0.125</v>
      </c>
      <c r="O79" s="30">
        <f t="shared" si="3"/>
        <v>3</v>
      </c>
      <c r="P79" s="30">
        <f t="shared" si="4"/>
        <v>30</v>
      </c>
      <c r="Q79" s="30">
        <f t="shared" si="5"/>
        <v>0.75</v>
      </c>
      <c r="R79" s="30"/>
      <c r="S79" s="30">
        <f t="shared" si="7"/>
        <v>0.125</v>
      </c>
      <c r="T79" s="31" t="b">
        <v>0</v>
      </c>
      <c r="U79" s="31" t="b">
        <v>0</v>
      </c>
    </row>
    <row r="80" ht="15.75" customHeight="1">
      <c r="A80" s="17" t="s">
        <v>900</v>
      </c>
      <c r="B80" s="17" t="s">
        <v>731</v>
      </c>
      <c r="C80" s="17" t="s">
        <v>87</v>
      </c>
      <c r="D80" s="11" t="s">
        <v>901</v>
      </c>
      <c r="E80" s="24">
        <f t="shared" si="1"/>
        <v>0.6</v>
      </c>
      <c r="F80" s="13" t="s">
        <v>19</v>
      </c>
      <c r="G80" s="13" t="s">
        <v>733</v>
      </c>
      <c r="K80" s="54">
        <v>0.48802083333430346</v>
      </c>
      <c r="L80" s="54">
        <v>0.5713541666664241</v>
      </c>
      <c r="M80" s="48">
        <v>12.0</v>
      </c>
      <c r="N80" s="53">
        <f t="shared" si="2"/>
        <v>0.08333333333</v>
      </c>
      <c r="O80" s="30">
        <f t="shared" si="3"/>
        <v>2</v>
      </c>
      <c r="P80" s="30">
        <f t="shared" si="4"/>
        <v>24</v>
      </c>
      <c r="Q80" s="30">
        <f t="shared" si="5"/>
        <v>0.6</v>
      </c>
    </row>
    <row r="81" ht="15.75" customHeight="1">
      <c r="A81" s="17" t="s">
        <v>902</v>
      </c>
      <c r="B81" s="17" t="s">
        <v>731</v>
      </c>
      <c r="C81" s="17" t="s">
        <v>87</v>
      </c>
      <c r="D81" s="11" t="s">
        <v>903</v>
      </c>
      <c r="E81" s="24">
        <f t="shared" si="1"/>
        <v>0.425</v>
      </c>
      <c r="F81" s="13" t="s">
        <v>19</v>
      </c>
      <c r="G81" s="13" t="s">
        <v>750</v>
      </c>
      <c r="K81" s="54">
        <v>0.38385416666642413</v>
      </c>
      <c r="L81" s="54">
        <v>0.4671874999985448</v>
      </c>
      <c r="M81" s="48">
        <v>6.0</v>
      </c>
      <c r="N81" s="53">
        <f t="shared" si="2"/>
        <v>0.08333333333</v>
      </c>
      <c r="O81" s="30">
        <f t="shared" si="3"/>
        <v>2</v>
      </c>
      <c r="P81" s="30">
        <f t="shared" si="4"/>
        <v>12</v>
      </c>
      <c r="Q81" s="30">
        <f t="shared" si="5"/>
        <v>0.3</v>
      </c>
    </row>
    <row r="82" ht="15.75" customHeight="1">
      <c r="A82" s="17" t="s">
        <v>904</v>
      </c>
      <c r="B82" s="17" t="s">
        <v>731</v>
      </c>
      <c r="C82" s="17" t="s">
        <v>87</v>
      </c>
      <c r="D82" s="11" t="s">
        <v>905</v>
      </c>
      <c r="E82" s="24">
        <f t="shared" si="1"/>
        <v>0.3</v>
      </c>
      <c r="F82" s="13" t="s">
        <v>19</v>
      </c>
      <c r="G82" s="13" t="s">
        <v>733</v>
      </c>
      <c r="K82" s="54">
        <v>0.5296874999985448</v>
      </c>
      <c r="L82" s="54">
        <v>0.5713541666664241</v>
      </c>
      <c r="M82" s="48">
        <v>12.0</v>
      </c>
      <c r="N82" s="53">
        <f t="shared" si="2"/>
        <v>0.04166666667</v>
      </c>
      <c r="O82" s="30">
        <f t="shared" si="3"/>
        <v>1</v>
      </c>
      <c r="P82" s="30">
        <f t="shared" si="4"/>
        <v>12</v>
      </c>
      <c r="Q82" s="30">
        <f t="shared" si="5"/>
        <v>0.3</v>
      </c>
    </row>
    <row r="83" ht="15.75" customHeight="1">
      <c r="A83" s="17" t="s">
        <v>906</v>
      </c>
      <c r="B83" s="17" t="s">
        <v>731</v>
      </c>
      <c r="C83" s="17" t="s">
        <v>108</v>
      </c>
      <c r="D83" s="11" t="s">
        <v>907</v>
      </c>
      <c r="E83" s="24">
        <f t="shared" si="1"/>
        <v>0.375</v>
      </c>
      <c r="F83" s="13" t="s">
        <v>19</v>
      </c>
      <c r="G83" s="13" t="s">
        <v>733</v>
      </c>
      <c r="K83" s="54">
        <v>0.5088541666664241</v>
      </c>
      <c r="L83" s="54">
        <v>0.5713541666664241</v>
      </c>
      <c r="M83" s="48">
        <v>10.0</v>
      </c>
      <c r="N83" s="53">
        <f t="shared" si="2"/>
        <v>0.0625</v>
      </c>
      <c r="O83" s="30">
        <f t="shared" si="3"/>
        <v>1.5</v>
      </c>
      <c r="P83" s="30">
        <f t="shared" si="4"/>
        <v>15</v>
      </c>
      <c r="Q83" s="30">
        <f t="shared" si="5"/>
        <v>0.375</v>
      </c>
    </row>
    <row r="84" ht="15.75" customHeight="1">
      <c r="A84" s="17" t="s">
        <v>908</v>
      </c>
      <c r="B84" s="17" t="s">
        <v>731</v>
      </c>
      <c r="C84" s="17" t="s">
        <v>108</v>
      </c>
      <c r="D84" s="11" t="s">
        <v>909</v>
      </c>
      <c r="E84" s="24">
        <f t="shared" si="1"/>
        <v>0.375</v>
      </c>
      <c r="F84" s="13" t="s">
        <v>19</v>
      </c>
      <c r="G84" s="13" t="s">
        <v>733</v>
      </c>
      <c r="K84" s="54">
        <v>0.5088541666664241</v>
      </c>
      <c r="L84" s="54">
        <v>0.5713541666664241</v>
      </c>
      <c r="M84" s="48">
        <v>10.0</v>
      </c>
      <c r="N84" s="53">
        <f t="shared" si="2"/>
        <v>0.0625</v>
      </c>
      <c r="O84" s="30">
        <f t="shared" si="3"/>
        <v>1.5</v>
      </c>
      <c r="P84" s="30">
        <f t="shared" si="4"/>
        <v>15</v>
      </c>
      <c r="Q84" s="30">
        <f t="shared" si="5"/>
        <v>0.375</v>
      </c>
    </row>
    <row r="85" ht="15.75" customHeight="1">
      <c r="A85" s="17" t="s">
        <v>910</v>
      </c>
      <c r="B85" s="17" t="s">
        <v>731</v>
      </c>
      <c r="C85" s="17" t="s">
        <v>108</v>
      </c>
      <c r="D85" s="11" t="s">
        <v>911</v>
      </c>
      <c r="E85" s="24">
        <f t="shared" si="1"/>
        <v>0.9</v>
      </c>
      <c r="F85" s="13" t="s">
        <v>19</v>
      </c>
      <c r="G85" s="13" t="s">
        <v>733</v>
      </c>
      <c r="K85" s="54">
        <v>0.23802083333430346</v>
      </c>
      <c r="L85" s="54">
        <v>0.36302083333430346</v>
      </c>
      <c r="M85" s="48">
        <v>12.0</v>
      </c>
      <c r="N85" s="53">
        <f t="shared" si="2"/>
        <v>0.125</v>
      </c>
      <c r="O85" s="30">
        <f t="shared" si="3"/>
        <v>3</v>
      </c>
      <c r="P85" s="30">
        <f t="shared" si="4"/>
        <v>36</v>
      </c>
      <c r="Q85" s="30">
        <f t="shared" si="5"/>
        <v>0.9</v>
      </c>
    </row>
    <row r="86" ht="15.75" customHeight="1">
      <c r="A86" s="17" t="s">
        <v>912</v>
      </c>
      <c r="B86" s="17" t="s">
        <v>731</v>
      </c>
      <c r="C86" s="17" t="s">
        <v>108</v>
      </c>
      <c r="D86" s="11" t="s">
        <v>913</v>
      </c>
      <c r="E86" s="24">
        <f t="shared" si="1"/>
        <v>0.6</v>
      </c>
      <c r="F86" s="13" t="s">
        <v>19</v>
      </c>
      <c r="G86" s="13" t="s">
        <v>733</v>
      </c>
      <c r="K86" s="54">
        <v>0.19635416666642413</v>
      </c>
      <c r="L86" s="54">
        <v>0.2796874999985448</v>
      </c>
      <c r="M86" s="48">
        <v>12.0</v>
      </c>
      <c r="N86" s="53">
        <f t="shared" si="2"/>
        <v>0.08333333333</v>
      </c>
      <c r="O86" s="30">
        <f t="shared" si="3"/>
        <v>2</v>
      </c>
      <c r="P86" s="30">
        <f t="shared" si="4"/>
        <v>24</v>
      </c>
      <c r="Q86" s="30">
        <f t="shared" si="5"/>
        <v>0.6</v>
      </c>
    </row>
    <row r="87" ht="15.75" customHeight="1">
      <c r="A87" s="17" t="s">
        <v>914</v>
      </c>
      <c r="B87" s="17" t="s">
        <v>731</v>
      </c>
      <c r="C87" s="17" t="s">
        <v>108</v>
      </c>
      <c r="D87" s="11" t="s">
        <v>915</v>
      </c>
      <c r="E87" s="24">
        <f t="shared" si="1"/>
        <v>0.725</v>
      </c>
      <c r="F87" s="13" t="s">
        <v>19</v>
      </c>
      <c r="G87" s="13" t="s">
        <v>750</v>
      </c>
      <c r="K87" s="54">
        <v>0.23802083333430346</v>
      </c>
      <c r="L87" s="54">
        <v>0.4046874999985448</v>
      </c>
      <c r="M87" s="48">
        <v>6.0</v>
      </c>
      <c r="N87" s="53">
        <f t="shared" si="2"/>
        <v>0.1666666667</v>
      </c>
      <c r="O87" s="30">
        <f t="shared" si="3"/>
        <v>4</v>
      </c>
      <c r="P87" s="30">
        <f t="shared" si="4"/>
        <v>24</v>
      </c>
      <c r="Q87" s="30">
        <f t="shared" si="5"/>
        <v>0.6</v>
      </c>
    </row>
    <row r="88" ht="15.75" customHeight="1">
      <c r="A88" s="17" t="s">
        <v>916</v>
      </c>
      <c r="B88" s="17" t="s">
        <v>731</v>
      </c>
      <c r="C88" s="17" t="s">
        <v>108</v>
      </c>
      <c r="D88" s="11" t="s">
        <v>917</v>
      </c>
      <c r="E88" s="24">
        <f t="shared" si="1"/>
        <v>0.375</v>
      </c>
      <c r="F88" s="13" t="s">
        <v>19</v>
      </c>
      <c r="G88" s="13" t="s">
        <v>750</v>
      </c>
      <c r="K88" s="54">
        <v>0.2796874999985448</v>
      </c>
      <c r="L88" s="54">
        <v>0.38385416666642413</v>
      </c>
      <c r="M88" s="48">
        <v>4.0</v>
      </c>
      <c r="N88" s="53">
        <f t="shared" si="2"/>
        <v>0.1041666667</v>
      </c>
      <c r="O88" s="30">
        <f t="shared" si="3"/>
        <v>2.5</v>
      </c>
      <c r="P88" s="30">
        <f t="shared" si="4"/>
        <v>10</v>
      </c>
      <c r="Q88" s="30">
        <f t="shared" si="5"/>
        <v>0.25</v>
      </c>
    </row>
    <row r="89" ht="15.75" customHeight="1">
      <c r="A89" s="17" t="s">
        <v>918</v>
      </c>
      <c r="B89" s="17" t="s">
        <v>731</v>
      </c>
      <c r="C89" s="17" t="s">
        <v>108</v>
      </c>
      <c r="D89" s="11" t="s">
        <v>919</v>
      </c>
      <c r="E89" s="24">
        <f t="shared" si="1"/>
        <v>0.5</v>
      </c>
      <c r="F89" s="13" t="s">
        <v>19</v>
      </c>
      <c r="G89" s="13" t="s">
        <v>733</v>
      </c>
      <c r="K89" s="54">
        <v>0.48802083333430346</v>
      </c>
      <c r="L89" s="54">
        <v>0.5713541666664241</v>
      </c>
      <c r="M89" s="48">
        <v>10.0</v>
      </c>
      <c r="N89" s="53">
        <f t="shared" si="2"/>
        <v>0.08333333333</v>
      </c>
      <c r="O89" s="30">
        <f t="shared" si="3"/>
        <v>2</v>
      </c>
      <c r="P89" s="30">
        <f t="shared" si="4"/>
        <v>20</v>
      </c>
      <c r="Q89" s="30">
        <f t="shared" si="5"/>
        <v>0.5</v>
      </c>
    </row>
    <row r="90" ht="15.75" customHeight="1">
      <c r="A90" s="17" t="s">
        <v>920</v>
      </c>
      <c r="B90" s="17" t="s">
        <v>731</v>
      </c>
      <c r="C90" s="17" t="s">
        <v>108</v>
      </c>
      <c r="D90" s="17" t="s">
        <v>921</v>
      </c>
      <c r="E90" s="24">
        <f t="shared" si="1"/>
        <v>0.6</v>
      </c>
      <c r="F90" s="13" t="s">
        <v>19</v>
      </c>
      <c r="G90" s="13" t="s">
        <v>733</v>
      </c>
      <c r="K90" s="54">
        <v>0.48802083333430346</v>
      </c>
      <c r="L90" s="54">
        <v>0.5713541666664241</v>
      </c>
      <c r="M90" s="48">
        <v>12.0</v>
      </c>
      <c r="N90" s="53">
        <f t="shared" si="2"/>
        <v>0.08333333333</v>
      </c>
      <c r="O90" s="30">
        <f t="shared" si="3"/>
        <v>2</v>
      </c>
      <c r="P90" s="30">
        <f t="shared" si="4"/>
        <v>24</v>
      </c>
      <c r="Q90" s="30">
        <f t="shared" si="5"/>
        <v>0.6</v>
      </c>
    </row>
    <row r="91" ht="15.75" customHeight="1">
      <c r="A91" s="17" t="s">
        <v>922</v>
      </c>
      <c r="B91" s="17" t="s">
        <v>731</v>
      </c>
      <c r="C91" s="17" t="s">
        <v>108</v>
      </c>
      <c r="D91" s="17" t="s">
        <v>923</v>
      </c>
      <c r="E91" s="55">
        <f t="shared" si="1"/>
        <v>1.2</v>
      </c>
      <c r="F91" s="17" t="s">
        <v>19</v>
      </c>
      <c r="G91" s="17" t="s">
        <v>733</v>
      </c>
      <c r="K91" s="54">
        <v>0.19635416666642413</v>
      </c>
      <c r="L91" s="54">
        <v>0.36302083333430346</v>
      </c>
      <c r="M91" s="18">
        <v>12.0</v>
      </c>
      <c r="N91" s="53">
        <f t="shared" si="2"/>
        <v>0.1666666667</v>
      </c>
      <c r="O91" s="30">
        <f t="shared" si="3"/>
        <v>4</v>
      </c>
      <c r="P91" s="30">
        <f t="shared" si="4"/>
        <v>48</v>
      </c>
      <c r="Q91" s="30">
        <f t="shared" si="5"/>
        <v>1.2</v>
      </c>
    </row>
    <row r="92" ht="15.75" customHeight="1">
      <c r="A92" s="17" t="s">
        <v>924</v>
      </c>
      <c r="B92" s="17" t="s">
        <v>731</v>
      </c>
      <c r="C92" s="17" t="s">
        <v>108</v>
      </c>
      <c r="D92" s="17" t="s">
        <v>925</v>
      </c>
      <c r="E92" s="55">
        <f t="shared" si="1"/>
        <v>0.725</v>
      </c>
      <c r="F92" s="17" t="s">
        <v>19</v>
      </c>
      <c r="G92" s="17" t="s">
        <v>750</v>
      </c>
      <c r="K92" s="54">
        <v>0.19635416666642413</v>
      </c>
      <c r="L92" s="54">
        <v>0.2796874999985448</v>
      </c>
      <c r="M92" s="18">
        <v>12.0</v>
      </c>
      <c r="N92" s="53">
        <f t="shared" si="2"/>
        <v>0.08333333333</v>
      </c>
      <c r="O92" s="30">
        <f t="shared" si="3"/>
        <v>2</v>
      </c>
      <c r="P92" s="30">
        <f t="shared" si="4"/>
        <v>24</v>
      </c>
      <c r="Q92" s="30">
        <f t="shared" si="5"/>
        <v>0.6</v>
      </c>
    </row>
    <row r="93" ht="15.75" customHeight="1">
      <c r="A93" s="17" t="s">
        <v>926</v>
      </c>
      <c r="B93" s="17" t="s">
        <v>731</v>
      </c>
      <c r="C93" s="17" t="s">
        <v>108</v>
      </c>
      <c r="D93" s="17" t="s">
        <v>927</v>
      </c>
      <c r="E93" s="55">
        <f t="shared" si="1"/>
        <v>0.6</v>
      </c>
      <c r="F93" s="17" t="s">
        <v>19</v>
      </c>
      <c r="G93" s="17" t="s">
        <v>733</v>
      </c>
      <c r="K93" s="54">
        <v>0.23802083333430346</v>
      </c>
      <c r="L93" s="54">
        <v>0.32135416666642413</v>
      </c>
      <c r="M93" s="18">
        <v>12.0</v>
      </c>
      <c r="N93" s="53">
        <f t="shared" si="2"/>
        <v>0.08333333333</v>
      </c>
      <c r="O93" s="30">
        <f t="shared" si="3"/>
        <v>2</v>
      </c>
      <c r="P93" s="30">
        <f t="shared" si="4"/>
        <v>24</v>
      </c>
      <c r="Q93" s="30">
        <f t="shared" si="5"/>
        <v>0.6</v>
      </c>
    </row>
    <row r="94" ht="15.75" customHeight="1">
      <c r="A94" s="17" t="s">
        <v>928</v>
      </c>
      <c r="B94" s="17" t="s">
        <v>731</v>
      </c>
      <c r="C94" s="17" t="s">
        <v>108</v>
      </c>
      <c r="D94" s="17" t="s">
        <v>929</v>
      </c>
      <c r="E94" s="55">
        <f t="shared" si="1"/>
        <v>0.875</v>
      </c>
      <c r="F94" s="17" t="s">
        <v>19</v>
      </c>
      <c r="G94" s="17" t="s">
        <v>750</v>
      </c>
      <c r="K94" s="54">
        <v>0.2796874999985448</v>
      </c>
      <c r="L94" s="54">
        <v>0.4046874999985448</v>
      </c>
      <c r="M94" s="18">
        <v>10.0</v>
      </c>
      <c r="N94" s="53">
        <f t="shared" si="2"/>
        <v>0.125</v>
      </c>
      <c r="O94" s="30">
        <f t="shared" si="3"/>
        <v>3</v>
      </c>
      <c r="P94" s="30">
        <f t="shared" si="4"/>
        <v>30</v>
      </c>
      <c r="Q94" s="30">
        <f t="shared" si="5"/>
        <v>0.75</v>
      </c>
    </row>
    <row r="95" ht="15.75" customHeight="1">
      <c r="A95" s="17" t="s">
        <v>930</v>
      </c>
      <c r="B95" s="17" t="s">
        <v>731</v>
      </c>
      <c r="C95" s="17" t="s">
        <v>108</v>
      </c>
      <c r="D95" s="17" t="s">
        <v>931</v>
      </c>
      <c r="E95" s="55">
        <f t="shared" si="1"/>
        <v>0.875</v>
      </c>
      <c r="F95" s="17" t="s">
        <v>19</v>
      </c>
      <c r="G95" s="17" t="s">
        <v>750</v>
      </c>
      <c r="K95" s="54">
        <v>0.2796874999985448</v>
      </c>
      <c r="L95" s="54">
        <v>0.4046874999985448</v>
      </c>
      <c r="M95" s="18">
        <v>10.0</v>
      </c>
      <c r="N95" s="53">
        <f t="shared" si="2"/>
        <v>0.125</v>
      </c>
      <c r="O95" s="30">
        <f t="shared" si="3"/>
        <v>3</v>
      </c>
      <c r="P95" s="30">
        <f t="shared" si="4"/>
        <v>30</v>
      </c>
      <c r="Q95" s="30">
        <f t="shared" si="5"/>
        <v>0.75</v>
      </c>
    </row>
    <row r="96" ht="15.75" customHeight="1">
      <c r="A96" s="17" t="s">
        <v>932</v>
      </c>
      <c r="B96" s="17" t="s">
        <v>731</v>
      </c>
      <c r="C96" s="17" t="s">
        <v>108</v>
      </c>
      <c r="D96" s="17" t="s">
        <v>933</v>
      </c>
      <c r="E96" s="55">
        <f t="shared" si="1"/>
        <v>0.25</v>
      </c>
      <c r="F96" s="17" t="s">
        <v>19</v>
      </c>
      <c r="G96" s="17" t="s">
        <v>733</v>
      </c>
      <c r="K96" s="54">
        <v>0.36302083333430346</v>
      </c>
      <c r="L96" s="54">
        <v>0.4046874999985448</v>
      </c>
      <c r="M96" s="18">
        <v>10.0</v>
      </c>
      <c r="N96" s="53">
        <f t="shared" si="2"/>
        <v>0.04166666666</v>
      </c>
      <c r="O96" s="30">
        <f t="shared" si="3"/>
        <v>0.9999999999</v>
      </c>
      <c r="P96" s="30">
        <f t="shared" si="4"/>
        <v>9.999999999</v>
      </c>
      <c r="Q96" s="30">
        <f t="shared" si="5"/>
        <v>0.25</v>
      </c>
    </row>
    <row r="97" ht="15.75" customHeight="1">
      <c r="A97" s="17" t="s">
        <v>934</v>
      </c>
      <c r="B97" s="17" t="s">
        <v>731</v>
      </c>
      <c r="C97" s="17" t="s">
        <v>108</v>
      </c>
      <c r="D97" s="17" t="s">
        <v>935</v>
      </c>
      <c r="E97" s="55">
        <f t="shared" si="1"/>
        <v>0.425</v>
      </c>
      <c r="F97" s="17" t="s">
        <v>19</v>
      </c>
      <c r="G97" s="17" t="s">
        <v>750</v>
      </c>
      <c r="K97" s="54">
        <v>0.2796874999985448</v>
      </c>
      <c r="L97" s="54">
        <v>0.36302083333430346</v>
      </c>
      <c r="M97" s="18">
        <v>6.0</v>
      </c>
      <c r="N97" s="53">
        <f t="shared" si="2"/>
        <v>0.08333333334</v>
      </c>
      <c r="O97" s="30">
        <f t="shared" si="3"/>
        <v>2</v>
      </c>
      <c r="P97" s="30">
        <f t="shared" si="4"/>
        <v>12</v>
      </c>
      <c r="Q97" s="30">
        <f t="shared" si="5"/>
        <v>0.3</v>
      </c>
    </row>
    <row r="98" ht="15.75" customHeight="1">
      <c r="A98" s="17" t="s">
        <v>936</v>
      </c>
      <c r="B98" s="17" t="s">
        <v>731</v>
      </c>
      <c r="C98" s="17" t="s">
        <v>108</v>
      </c>
      <c r="D98" s="17" t="s">
        <v>937</v>
      </c>
      <c r="E98" s="55">
        <f t="shared" si="1"/>
        <v>0.425</v>
      </c>
      <c r="F98" s="17" t="s">
        <v>19</v>
      </c>
      <c r="G98" s="17" t="s">
        <v>750</v>
      </c>
      <c r="K98" s="54">
        <v>0.48802083333430346</v>
      </c>
      <c r="L98" s="54">
        <v>0.5713541666664241</v>
      </c>
      <c r="M98" s="18">
        <v>6.0</v>
      </c>
      <c r="N98" s="53">
        <f t="shared" si="2"/>
        <v>0.08333333333</v>
      </c>
      <c r="O98" s="30">
        <f t="shared" si="3"/>
        <v>2</v>
      </c>
      <c r="P98" s="30">
        <f t="shared" si="4"/>
        <v>12</v>
      </c>
      <c r="Q98" s="30">
        <f t="shared" si="5"/>
        <v>0.3</v>
      </c>
    </row>
    <row r="99" ht="15.75" customHeight="1">
      <c r="A99" s="17" t="s">
        <v>938</v>
      </c>
      <c r="B99" s="17" t="s">
        <v>731</v>
      </c>
      <c r="C99" s="17" t="s">
        <v>208</v>
      </c>
      <c r="D99" s="17" t="s">
        <v>939</v>
      </c>
      <c r="E99" s="55">
        <f t="shared" si="1"/>
        <v>0.5</v>
      </c>
      <c r="F99" s="17" t="s">
        <v>19</v>
      </c>
      <c r="G99" s="17" t="s">
        <v>733</v>
      </c>
      <c r="K99" s="54">
        <v>0.32135416666642413</v>
      </c>
      <c r="L99" s="54">
        <v>0.4046874999985448</v>
      </c>
      <c r="M99" s="18">
        <v>10.0</v>
      </c>
      <c r="N99" s="53">
        <f t="shared" si="2"/>
        <v>0.08333333333</v>
      </c>
      <c r="O99" s="30">
        <f t="shared" si="3"/>
        <v>2</v>
      </c>
      <c r="P99" s="30">
        <f t="shared" si="4"/>
        <v>20</v>
      </c>
      <c r="Q99" s="30">
        <f t="shared" si="5"/>
        <v>0.5</v>
      </c>
    </row>
    <row r="100" ht="15.75" customHeight="1">
      <c r="A100" s="17" t="s">
        <v>940</v>
      </c>
      <c r="B100" s="17" t="s">
        <v>731</v>
      </c>
      <c r="C100" s="17" t="s">
        <v>208</v>
      </c>
      <c r="D100" s="17" t="s">
        <v>941</v>
      </c>
      <c r="E100" s="55">
        <f t="shared" si="1"/>
        <v>0.3</v>
      </c>
      <c r="F100" s="17" t="s">
        <v>19</v>
      </c>
      <c r="G100" s="17" t="s">
        <v>733</v>
      </c>
      <c r="K100" s="54">
        <v>0.4046874999985448</v>
      </c>
      <c r="L100" s="54">
        <v>0.44635416666642413</v>
      </c>
      <c r="M100" s="18">
        <v>12.0</v>
      </c>
      <c r="N100" s="53">
        <f t="shared" si="2"/>
        <v>0.04166666667</v>
      </c>
      <c r="O100" s="30">
        <f t="shared" si="3"/>
        <v>1</v>
      </c>
      <c r="P100" s="30">
        <f t="shared" si="4"/>
        <v>12</v>
      </c>
      <c r="Q100" s="30">
        <f t="shared" si="5"/>
        <v>0.3</v>
      </c>
    </row>
    <row r="101" ht="15.75" customHeight="1">
      <c r="A101" s="17" t="s">
        <v>942</v>
      </c>
      <c r="B101" s="17" t="s">
        <v>731</v>
      </c>
      <c r="C101" s="17" t="s">
        <v>208</v>
      </c>
      <c r="D101" s="17" t="s">
        <v>943</v>
      </c>
      <c r="E101" s="55">
        <f t="shared" si="1"/>
        <v>0.25</v>
      </c>
      <c r="F101" s="17" t="s">
        <v>19</v>
      </c>
      <c r="G101" s="17" t="s">
        <v>733</v>
      </c>
      <c r="K101" s="54">
        <v>0.4046874999985448</v>
      </c>
      <c r="L101" s="54">
        <v>0.44635416666642413</v>
      </c>
      <c r="M101" s="18">
        <v>10.0</v>
      </c>
      <c r="N101" s="53">
        <f t="shared" si="2"/>
        <v>0.04166666667</v>
      </c>
      <c r="O101" s="30">
        <f t="shared" si="3"/>
        <v>1</v>
      </c>
      <c r="P101" s="30">
        <f t="shared" si="4"/>
        <v>10</v>
      </c>
      <c r="Q101" s="30">
        <f t="shared" si="5"/>
        <v>0.25</v>
      </c>
    </row>
    <row r="102" ht="15.75" customHeight="1">
      <c r="A102" s="17" t="s">
        <v>944</v>
      </c>
      <c r="B102" s="17" t="s">
        <v>731</v>
      </c>
      <c r="C102" s="17" t="s">
        <v>208</v>
      </c>
      <c r="D102" s="17" t="s">
        <v>945</v>
      </c>
      <c r="E102" s="55">
        <f t="shared" si="1"/>
        <v>0.5</v>
      </c>
      <c r="F102" s="17" t="s">
        <v>19</v>
      </c>
      <c r="G102" s="17" t="s">
        <v>733</v>
      </c>
      <c r="K102" s="54">
        <v>0.32135416666642413</v>
      </c>
      <c r="L102" s="54">
        <v>0.4046874999985448</v>
      </c>
      <c r="M102" s="18">
        <v>10.0</v>
      </c>
      <c r="N102" s="53">
        <f t="shared" si="2"/>
        <v>0.08333333333</v>
      </c>
      <c r="O102" s="30">
        <f t="shared" si="3"/>
        <v>2</v>
      </c>
      <c r="P102" s="30">
        <f t="shared" si="4"/>
        <v>20</v>
      </c>
      <c r="Q102" s="30">
        <f t="shared" si="5"/>
        <v>0.5</v>
      </c>
    </row>
    <row r="103" ht="15.75" customHeight="1">
      <c r="A103" s="17" t="s">
        <v>946</v>
      </c>
      <c r="B103" s="17" t="s">
        <v>731</v>
      </c>
      <c r="C103" s="17" t="s">
        <v>208</v>
      </c>
      <c r="D103" s="17" t="s">
        <v>947</v>
      </c>
      <c r="E103" s="55">
        <f t="shared" si="1"/>
        <v>0.9</v>
      </c>
      <c r="F103" s="17" t="s">
        <v>19</v>
      </c>
      <c r="G103" s="17" t="s">
        <v>733</v>
      </c>
      <c r="K103" s="54">
        <v>0.2796874999985448</v>
      </c>
      <c r="L103" s="54">
        <v>0.4046874999985448</v>
      </c>
      <c r="M103" s="18">
        <v>12.0</v>
      </c>
      <c r="N103" s="53">
        <f t="shared" si="2"/>
        <v>0.125</v>
      </c>
      <c r="O103" s="30">
        <f t="shared" si="3"/>
        <v>3</v>
      </c>
      <c r="P103" s="30">
        <f t="shared" si="4"/>
        <v>36</v>
      </c>
      <c r="Q103" s="30">
        <f t="shared" si="5"/>
        <v>0.9</v>
      </c>
    </row>
    <row r="104" ht="15.75" customHeight="1">
      <c r="A104" s="17" t="s">
        <v>948</v>
      </c>
      <c r="B104" s="17" t="s">
        <v>731</v>
      </c>
      <c r="C104" s="17" t="s">
        <v>208</v>
      </c>
      <c r="D104" s="17" t="s">
        <v>949</v>
      </c>
      <c r="E104" s="55">
        <f t="shared" si="1"/>
        <v>0.5</v>
      </c>
      <c r="F104" s="17" t="s">
        <v>19</v>
      </c>
      <c r="G104" s="17" t="s">
        <v>733</v>
      </c>
      <c r="K104" s="54">
        <v>0.32135416666642413</v>
      </c>
      <c r="L104" s="54">
        <v>0.4046874999985448</v>
      </c>
      <c r="M104" s="18">
        <v>10.0</v>
      </c>
      <c r="N104" s="53">
        <f t="shared" si="2"/>
        <v>0.08333333333</v>
      </c>
      <c r="O104" s="30">
        <f t="shared" si="3"/>
        <v>2</v>
      </c>
      <c r="P104" s="30">
        <f t="shared" si="4"/>
        <v>20</v>
      </c>
      <c r="Q104" s="30">
        <f t="shared" si="5"/>
        <v>0.5</v>
      </c>
    </row>
    <row r="105" ht="15.75" customHeight="1">
      <c r="A105" s="17" t="s">
        <v>950</v>
      </c>
      <c r="B105" s="17" t="s">
        <v>731</v>
      </c>
      <c r="C105" s="17" t="s">
        <v>208</v>
      </c>
      <c r="D105" s="17" t="s">
        <v>951</v>
      </c>
      <c r="E105" s="55">
        <f t="shared" si="1"/>
        <v>0.65</v>
      </c>
      <c r="F105" s="17" t="s">
        <v>19</v>
      </c>
      <c r="G105" s="17" t="s">
        <v>733</v>
      </c>
      <c r="K105" s="54">
        <v>0.32135416666642413</v>
      </c>
      <c r="L105" s="54">
        <v>0.36302083333430346</v>
      </c>
      <c r="M105" s="18">
        <v>26.0</v>
      </c>
      <c r="N105" s="53">
        <f t="shared" si="2"/>
        <v>0.04166666667</v>
      </c>
      <c r="O105" s="30">
        <f t="shared" si="3"/>
        <v>1</v>
      </c>
      <c r="P105" s="30">
        <f t="shared" si="4"/>
        <v>26</v>
      </c>
      <c r="Q105" s="30">
        <f t="shared" si="5"/>
        <v>0.65</v>
      </c>
    </row>
    <row r="106" ht="15.75" customHeight="1">
      <c r="A106" s="17" t="s">
        <v>952</v>
      </c>
      <c r="B106" s="17" t="s">
        <v>731</v>
      </c>
      <c r="C106" s="17" t="s">
        <v>208</v>
      </c>
      <c r="D106" s="17" t="s">
        <v>953</v>
      </c>
      <c r="E106" s="55">
        <f t="shared" si="1"/>
        <v>0.3</v>
      </c>
      <c r="F106" s="17" t="s">
        <v>19</v>
      </c>
      <c r="G106" s="17" t="s">
        <v>733</v>
      </c>
      <c r="K106" s="54">
        <v>0.32135416666642413</v>
      </c>
      <c r="L106" s="54">
        <v>0.36302083333430346</v>
      </c>
      <c r="M106" s="18">
        <v>12.0</v>
      </c>
      <c r="N106" s="53">
        <f t="shared" si="2"/>
        <v>0.04166666667</v>
      </c>
      <c r="O106" s="30">
        <f t="shared" si="3"/>
        <v>1</v>
      </c>
      <c r="P106" s="30">
        <f t="shared" si="4"/>
        <v>12</v>
      </c>
      <c r="Q106" s="30">
        <f t="shared" si="5"/>
        <v>0.3</v>
      </c>
    </row>
    <row r="107" ht="15.75" customHeight="1">
      <c r="A107" s="17" t="s">
        <v>954</v>
      </c>
      <c r="B107" s="17" t="s">
        <v>731</v>
      </c>
      <c r="C107" s="17" t="s">
        <v>208</v>
      </c>
      <c r="D107" s="17" t="s">
        <v>955</v>
      </c>
      <c r="E107" s="55">
        <f t="shared" si="1"/>
        <v>0.6</v>
      </c>
      <c r="F107" s="17" t="s">
        <v>19</v>
      </c>
      <c r="G107" s="17" t="s">
        <v>733</v>
      </c>
      <c r="K107" s="54">
        <v>0.32135416666642413</v>
      </c>
      <c r="L107" s="54">
        <v>0.4046874999985448</v>
      </c>
      <c r="M107" s="18">
        <v>12.0</v>
      </c>
      <c r="N107" s="53">
        <f t="shared" si="2"/>
        <v>0.08333333333</v>
      </c>
      <c r="O107" s="30">
        <f t="shared" si="3"/>
        <v>2</v>
      </c>
      <c r="P107" s="30">
        <f t="shared" si="4"/>
        <v>24</v>
      </c>
      <c r="Q107" s="30">
        <f t="shared" si="5"/>
        <v>0.6</v>
      </c>
    </row>
    <row r="108" ht="15.75" customHeight="1">
      <c r="A108" s="17" t="s">
        <v>956</v>
      </c>
      <c r="B108" s="17" t="s">
        <v>731</v>
      </c>
      <c r="C108" s="17" t="s">
        <v>208</v>
      </c>
      <c r="D108" s="17" t="s">
        <v>957</v>
      </c>
      <c r="E108" s="55">
        <f t="shared" si="1"/>
        <v>0.9</v>
      </c>
      <c r="F108" s="17" t="s">
        <v>19</v>
      </c>
      <c r="G108" s="17" t="s">
        <v>733</v>
      </c>
      <c r="K108" s="54">
        <v>0.2796874999985448</v>
      </c>
      <c r="L108" s="54">
        <v>0.4046874999985448</v>
      </c>
      <c r="M108" s="18">
        <v>12.0</v>
      </c>
      <c r="N108" s="53">
        <f t="shared" si="2"/>
        <v>0.125</v>
      </c>
      <c r="O108" s="30">
        <f t="shared" si="3"/>
        <v>3</v>
      </c>
      <c r="P108" s="30">
        <f t="shared" si="4"/>
        <v>36</v>
      </c>
      <c r="Q108" s="30">
        <f t="shared" si="5"/>
        <v>0.9</v>
      </c>
    </row>
    <row r="109" ht="15.75" customHeight="1">
      <c r="A109" s="17" t="s">
        <v>958</v>
      </c>
      <c r="B109" s="17" t="s">
        <v>731</v>
      </c>
      <c r="C109" s="17" t="s">
        <v>208</v>
      </c>
      <c r="D109" s="17" t="s">
        <v>959</v>
      </c>
      <c r="E109" s="55">
        <f t="shared" si="1"/>
        <v>0.5</v>
      </c>
      <c r="F109" s="17" t="s">
        <v>19</v>
      </c>
      <c r="G109" s="17" t="s">
        <v>733</v>
      </c>
      <c r="K109" s="54">
        <v>0.32135416666642413</v>
      </c>
      <c r="L109" s="54">
        <v>0.4046874999985448</v>
      </c>
      <c r="M109" s="18">
        <v>10.0</v>
      </c>
      <c r="N109" s="53">
        <f t="shared" si="2"/>
        <v>0.08333333333</v>
      </c>
      <c r="O109" s="30">
        <f t="shared" si="3"/>
        <v>2</v>
      </c>
      <c r="P109" s="30">
        <f t="shared" si="4"/>
        <v>20</v>
      </c>
      <c r="Q109" s="30">
        <f t="shared" si="5"/>
        <v>0.5</v>
      </c>
    </row>
    <row r="110" ht="15.75" customHeight="1">
      <c r="A110" s="17" t="s">
        <v>960</v>
      </c>
      <c r="B110" s="17" t="s">
        <v>731</v>
      </c>
      <c r="C110" s="17" t="s">
        <v>208</v>
      </c>
      <c r="D110" s="17" t="s">
        <v>961</v>
      </c>
      <c r="E110" s="55">
        <f t="shared" si="1"/>
        <v>0.5</v>
      </c>
      <c r="F110" s="17" t="s">
        <v>19</v>
      </c>
      <c r="G110" s="17" t="s">
        <v>733</v>
      </c>
      <c r="K110" s="54">
        <v>0.32135416666642413</v>
      </c>
      <c r="L110" s="54">
        <v>0.4046874999985448</v>
      </c>
      <c r="M110" s="18">
        <v>10.0</v>
      </c>
      <c r="N110" s="53">
        <f t="shared" si="2"/>
        <v>0.08333333333</v>
      </c>
      <c r="O110" s="30">
        <f t="shared" si="3"/>
        <v>2</v>
      </c>
      <c r="P110" s="30">
        <f t="shared" si="4"/>
        <v>20</v>
      </c>
      <c r="Q110" s="30">
        <f t="shared" si="5"/>
        <v>0.5</v>
      </c>
    </row>
    <row r="111" ht="15.75" customHeight="1">
      <c r="A111" s="17" t="s">
        <v>962</v>
      </c>
      <c r="B111" s="17" t="s">
        <v>731</v>
      </c>
      <c r="C111" s="17" t="s">
        <v>208</v>
      </c>
      <c r="D111" s="17" t="s">
        <v>963</v>
      </c>
      <c r="E111" s="55">
        <f t="shared" si="1"/>
        <v>0.575</v>
      </c>
      <c r="F111" s="17" t="s">
        <v>19</v>
      </c>
      <c r="G111" s="17" t="s">
        <v>750</v>
      </c>
      <c r="K111" s="54">
        <v>0.44635416666642413</v>
      </c>
      <c r="L111" s="54">
        <v>0.5713541666664241</v>
      </c>
      <c r="M111" s="18">
        <v>6.0</v>
      </c>
      <c r="N111" s="53">
        <f t="shared" si="2"/>
        <v>0.125</v>
      </c>
      <c r="O111" s="30">
        <f t="shared" si="3"/>
        <v>3</v>
      </c>
      <c r="P111" s="30">
        <f t="shared" si="4"/>
        <v>18</v>
      </c>
      <c r="Q111" s="30">
        <f t="shared" si="5"/>
        <v>0.45</v>
      </c>
    </row>
    <row r="112" ht="15.75" customHeight="1">
      <c r="A112" s="17" t="s">
        <v>964</v>
      </c>
      <c r="B112" s="17" t="s">
        <v>731</v>
      </c>
      <c r="C112" s="17" t="s">
        <v>208</v>
      </c>
      <c r="D112" s="17" t="s">
        <v>965</v>
      </c>
      <c r="E112" s="55">
        <f t="shared" si="1"/>
        <v>0.875</v>
      </c>
      <c r="F112" s="17" t="s">
        <v>19</v>
      </c>
      <c r="G112" s="17" t="s">
        <v>750</v>
      </c>
      <c r="K112" s="54">
        <v>0.44635416666642413</v>
      </c>
      <c r="L112" s="54">
        <v>0.5713541666664241</v>
      </c>
      <c r="M112" s="18">
        <v>10.0</v>
      </c>
      <c r="N112" s="53">
        <f t="shared" si="2"/>
        <v>0.125</v>
      </c>
      <c r="O112" s="30">
        <f t="shared" si="3"/>
        <v>3</v>
      </c>
      <c r="P112" s="30">
        <f t="shared" si="4"/>
        <v>30</v>
      </c>
      <c r="Q112" s="30">
        <f t="shared" si="5"/>
        <v>0.75</v>
      </c>
    </row>
    <row r="113" ht="15.75" customHeight="1">
      <c r="A113" s="17" t="s">
        <v>966</v>
      </c>
      <c r="B113" s="17" t="s">
        <v>731</v>
      </c>
      <c r="C113" s="17" t="s">
        <v>208</v>
      </c>
      <c r="D113" s="17" t="s">
        <v>967</v>
      </c>
      <c r="E113" s="55">
        <f t="shared" si="1"/>
        <v>0.575</v>
      </c>
      <c r="F113" s="17" t="s">
        <v>19</v>
      </c>
      <c r="G113" s="17" t="s">
        <v>750</v>
      </c>
      <c r="K113" s="54">
        <v>0.32135416666642413</v>
      </c>
      <c r="L113" s="54">
        <v>0.44635416666642413</v>
      </c>
      <c r="M113" s="18">
        <v>6.0</v>
      </c>
      <c r="N113" s="53">
        <f t="shared" si="2"/>
        <v>0.125</v>
      </c>
      <c r="O113" s="30">
        <f t="shared" si="3"/>
        <v>3</v>
      </c>
      <c r="P113" s="30">
        <f t="shared" si="4"/>
        <v>18</v>
      </c>
      <c r="Q113" s="30">
        <f t="shared" si="5"/>
        <v>0.45</v>
      </c>
    </row>
    <row r="114" ht="15.75" customHeight="1">
      <c r="A114" s="17" t="s">
        <v>968</v>
      </c>
      <c r="B114" s="17" t="s">
        <v>731</v>
      </c>
      <c r="C114" s="17" t="s">
        <v>208</v>
      </c>
      <c r="D114" s="17" t="s">
        <v>969</v>
      </c>
      <c r="E114" s="55">
        <f t="shared" si="1"/>
        <v>0.5</v>
      </c>
      <c r="F114" s="17" t="s">
        <v>19</v>
      </c>
      <c r="G114" s="17" t="s">
        <v>733</v>
      </c>
      <c r="K114" s="54">
        <v>0.23802083333430346</v>
      </c>
      <c r="L114" s="54">
        <v>0.32135416666642413</v>
      </c>
      <c r="M114" s="18">
        <v>10.0</v>
      </c>
      <c r="N114" s="53">
        <f t="shared" si="2"/>
        <v>0.08333333333</v>
      </c>
      <c r="O114" s="30">
        <f t="shared" si="3"/>
        <v>2</v>
      </c>
      <c r="P114" s="30">
        <f t="shared" si="4"/>
        <v>20</v>
      </c>
      <c r="Q114" s="30">
        <f t="shared" si="5"/>
        <v>0.5</v>
      </c>
    </row>
    <row r="115" ht="15.75" customHeight="1">
      <c r="A115" s="17" t="s">
        <v>970</v>
      </c>
      <c r="B115" s="17" t="s">
        <v>731</v>
      </c>
      <c r="C115" s="17" t="s">
        <v>208</v>
      </c>
      <c r="D115" s="17" t="s">
        <v>971</v>
      </c>
      <c r="E115" s="55">
        <f t="shared" si="1"/>
        <v>0.5</v>
      </c>
      <c r="F115" s="17" t="s">
        <v>19</v>
      </c>
      <c r="G115" s="17" t="s">
        <v>733</v>
      </c>
      <c r="K115" s="54">
        <v>0.23802083333430346</v>
      </c>
      <c r="L115" s="54">
        <v>0.32135416666642413</v>
      </c>
      <c r="M115" s="18">
        <v>10.0</v>
      </c>
      <c r="N115" s="53">
        <f t="shared" si="2"/>
        <v>0.08333333333</v>
      </c>
      <c r="O115" s="30">
        <f t="shared" si="3"/>
        <v>2</v>
      </c>
      <c r="P115" s="30">
        <f t="shared" si="4"/>
        <v>20</v>
      </c>
      <c r="Q115" s="30">
        <f t="shared" si="5"/>
        <v>0.5</v>
      </c>
    </row>
    <row r="116" ht="15.75" customHeight="1">
      <c r="A116" s="17" t="s">
        <v>972</v>
      </c>
      <c r="B116" s="17" t="s">
        <v>731</v>
      </c>
      <c r="C116" s="17" t="s">
        <v>208</v>
      </c>
      <c r="D116" s="17" t="s">
        <v>973</v>
      </c>
      <c r="E116" s="55">
        <f t="shared" si="1"/>
        <v>0.9</v>
      </c>
      <c r="F116" s="17" t="s">
        <v>19</v>
      </c>
      <c r="G116" s="17" t="s">
        <v>733</v>
      </c>
      <c r="K116" s="54">
        <v>0.32135416666642413</v>
      </c>
      <c r="L116" s="54">
        <v>0.44635416666642413</v>
      </c>
      <c r="M116" s="18">
        <v>12.0</v>
      </c>
      <c r="N116" s="53">
        <f t="shared" si="2"/>
        <v>0.125</v>
      </c>
      <c r="O116" s="30">
        <f t="shared" si="3"/>
        <v>3</v>
      </c>
      <c r="P116" s="30">
        <f t="shared" si="4"/>
        <v>36</v>
      </c>
      <c r="Q116" s="30">
        <f t="shared" si="5"/>
        <v>0.9</v>
      </c>
    </row>
    <row r="117" ht="15.75" customHeight="1">
      <c r="A117" s="17" t="s">
        <v>974</v>
      </c>
      <c r="B117" s="17" t="s">
        <v>731</v>
      </c>
      <c r="C117" s="17" t="s">
        <v>208</v>
      </c>
      <c r="D117" s="17" t="s">
        <v>975</v>
      </c>
      <c r="E117" s="55">
        <f t="shared" si="1"/>
        <v>1</v>
      </c>
      <c r="F117" s="17" t="s">
        <v>19</v>
      </c>
      <c r="G117" s="17" t="s">
        <v>733</v>
      </c>
      <c r="K117" s="54">
        <v>0.23802083333430346</v>
      </c>
      <c r="L117" s="54">
        <v>0.4046874999985448</v>
      </c>
      <c r="M117" s="18">
        <v>10.0</v>
      </c>
      <c r="N117" s="53">
        <f t="shared" si="2"/>
        <v>0.1666666667</v>
      </c>
      <c r="O117" s="30">
        <f t="shared" si="3"/>
        <v>4</v>
      </c>
      <c r="P117" s="30">
        <f t="shared" si="4"/>
        <v>40</v>
      </c>
      <c r="Q117" s="30">
        <f t="shared" si="5"/>
        <v>1</v>
      </c>
    </row>
    <row r="118" ht="15.75" customHeight="1">
      <c r="A118" s="17" t="s">
        <v>976</v>
      </c>
      <c r="B118" s="17" t="s">
        <v>731</v>
      </c>
      <c r="C118" s="17" t="s">
        <v>208</v>
      </c>
      <c r="D118" s="17" t="s">
        <v>977</v>
      </c>
      <c r="E118" s="55">
        <f t="shared" si="1"/>
        <v>0.5</v>
      </c>
      <c r="F118" s="17" t="s">
        <v>19</v>
      </c>
      <c r="G118" s="17" t="s">
        <v>733</v>
      </c>
      <c r="K118" s="54">
        <v>0.48802083333430346</v>
      </c>
      <c r="L118" s="54">
        <v>0.5713541666664241</v>
      </c>
      <c r="M118" s="18">
        <v>10.0</v>
      </c>
      <c r="N118" s="53">
        <f t="shared" si="2"/>
        <v>0.08333333333</v>
      </c>
      <c r="O118" s="30">
        <f t="shared" si="3"/>
        <v>2</v>
      </c>
      <c r="P118" s="30">
        <f t="shared" si="4"/>
        <v>20</v>
      </c>
      <c r="Q118" s="30">
        <f t="shared" si="5"/>
        <v>0.5</v>
      </c>
    </row>
    <row r="119" ht="15.75" customHeight="1">
      <c r="A119" s="17" t="s">
        <v>978</v>
      </c>
      <c r="B119" s="17" t="s">
        <v>731</v>
      </c>
      <c r="C119" s="17" t="s">
        <v>208</v>
      </c>
      <c r="D119" s="17" t="s">
        <v>979</v>
      </c>
      <c r="E119" s="55">
        <f t="shared" si="1"/>
        <v>0.3</v>
      </c>
      <c r="F119" s="17" t="s">
        <v>19</v>
      </c>
      <c r="G119" s="17" t="s">
        <v>733</v>
      </c>
      <c r="K119" s="54">
        <v>0.48802083333430346</v>
      </c>
      <c r="L119" s="54">
        <v>0.5296874999985448</v>
      </c>
      <c r="M119" s="18">
        <v>12.0</v>
      </c>
      <c r="N119" s="53">
        <f t="shared" si="2"/>
        <v>0.04166666666</v>
      </c>
      <c r="O119" s="30">
        <f t="shared" si="3"/>
        <v>0.9999999999</v>
      </c>
      <c r="P119" s="30">
        <f t="shared" si="4"/>
        <v>12</v>
      </c>
      <c r="Q119" s="30">
        <f t="shared" si="5"/>
        <v>0.3</v>
      </c>
    </row>
    <row r="120" ht="15.75" customHeight="1">
      <c r="A120" s="17" t="s">
        <v>980</v>
      </c>
      <c r="B120" s="17" t="s">
        <v>731</v>
      </c>
      <c r="C120" s="17" t="s">
        <v>208</v>
      </c>
      <c r="D120" s="17" t="s">
        <v>981</v>
      </c>
      <c r="E120" s="55">
        <f t="shared" si="1"/>
        <v>0.5</v>
      </c>
      <c r="F120" s="17" t="s">
        <v>19</v>
      </c>
      <c r="G120" s="17" t="s">
        <v>733</v>
      </c>
      <c r="K120" s="54">
        <v>0.48802083333430346</v>
      </c>
      <c r="L120" s="54">
        <v>0.5713541666664241</v>
      </c>
      <c r="M120" s="18">
        <v>10.0</v>
      </c>
      <c r="N120" s="53">
        <f t="shared" si="2"/>
        <v>0.08333333333</v>
      </c>
      <c r="O120" s="30">
        <f t="shared" si="3"/>
        <v>2</v>
      </c>
      <c r="P120" s="30">
        <f t="shared" si="4"/>
        <v>20</v>
      </c>
      <c r="Q120" s="30">
        <f t="shared" si="5"/>
        <v>0.5</v>
      </c>
    </row>
    <row r="121" ht="15.75" customHeight="1">
      <c r="A121" s="17" t="s">
        <v>982</v>
      </c>
      <c r="B121" s="17" t="s">
        <v>731</v>
      </c>
      <c r="C121" s="17" t="s">
        <v>208</v>
      </c>
      <c r="D121" s="17" t="s">
        <v>983</v>
      </c>
      <c r="E121" s="55">
        <f t="shared" si="1"/>
        <v>0.6</v>
      </c>
      <c r="F121" s="17" t="s">
        <v>19</v>
      </c>
      <c r="G121" s="17" t="s">
        <v>733</v>
      </c>
      <c r="K121" s="54">
        <v>0.48802083333430346</v>
      </c>
      <c r="L121" s="54">
        <v>0.5713541666664241</v>
      </c>
      <c r="M121" s="18">
        <v>12.0</v>
      </c>
      <c r="N121" s="53">
        <f t="shared" si="2"/>
        <v>0.08333333333</v>
      </c>
      <c r="O121" s="30">
        <f t="shared" si="3"/>
        <v>2</v>
      </c>
      <c r="P121" s="30">
        <f t="shared" si="4"/>
        <v>24</v>
      </c>
      <c r="Q121" s="30">
        <f t="shared" si="5"/>
        <v>0.6</v>
      </c>
    </row>
    <row r="122" ht="15.75" customHeight="1">
      <c r="A122" s="17" t="s">
        <v>984</v>
      </c>
      <c r="B122" s="17" t="s">
        <v>731</v>
      </c>
      <c r="C122" s="17" t="s">
        <v>208</v>
      </c>
      <c r="D122" s="17" t="s">
        <v>985</v>
      </c>
      <c r="E122" s="55">
        <f t="shared" si="1"/>
        <v>0.125</v>
      </c>
      <c r="F122" s="17" t="s">
        <v>19</v>
      </c>
      <c r="G122" s="17" t="s">
        <v>733</v>
      </c>
      <c r="K122" s="54">
        <v>0.23802083333430346</v>
      </c>
      <c r="L122" s="54">
        <v>0.25885416666642413</v>
      </c>
      <c r="M122" s="18">
        <v>10.0</v>
      </c>
      <c r="N122" s="53">
        <f t="shared" si="2"/>
        <v>0.02083333333</v>
      </c>
      <c r="O122" s="30">
        <f t="shared" si="3"/>
        <v>0.5</v>
      </c>
      <c r="P122" s="30">
        <f t="shared" si="4"/>
        <v>5</v>
      </c>
      <c r="Q122" s="30">
        <f t="shared" si="5"/>
        <v>0.125</v>
      </c>
    </row>
    <row r="123" ht="15.75" customHeight="1">
      <c r="A123" s="17" t="s">
        <v>986</v>
      </c>
      <c r="B123" s="17" t="s">
        <v>731</v>
      </c>
      <c r="C123" s="17" t="s">
        <v>208</v>
      </c>
      <c r="D123" s="17" t="s">
        <v>987</v>
      </c>
      <c r="E123" s="55">
        <f t="shared" si="1"/>
        <v>0.25</v>
      </c>
      <c r="F123" s="17" t="s">
        <v>19</v>
      </c>
      <c r="G123" s="17" t="s">
        <v>733</v>
      </c>
      <c r="K123" s="54">
        <v>0.25885416666642413</v>
      </c>
      <c r="L123" s="54">
        <v>0.30052083333430346</v>
      </c>
      <c r="M123" s="18">
        <v>10.0</v>
      </c>
      <c r="N123" s="53">
        <f t="shared" si="2"/>
        <v>0.04166666667</v>
      </c>
      <c r="O123" s="30">
        <f t="shared" si="3"/>
        <v>1</v>
      </c>
      <c r="P123" s="30">
        <f t="shared" si="4"/>
        <v>10</v>
      </c>
      <c r="Q123" s="30">
        <f t="shared" si="5"/>
        <v>0.25</v>
      </c>
    </row>
    <row r="124" ht="15.75" customHeight="1">
      <c r="A124" s="17" t="s">
        <v>988</v>
      </c>
      <c r="B124" s="17" t="s">
        <v>731</v>
      </c>
      <c r="C124" s="17" t="s">
        <v>208</v>
      </c>
      <c r="D124" s="17" t="s">
        <v>989</v>
      </c>
      <c r="E124" s="55">
        <f t="shared" si="1"/>
        <v>0.75</v>
      </c>
      <c r="F124" s="17" t="s">
        <v>19</v>
      </c>
      <c r="G124" s="17" t="s">
        <v>733</v>
      </c>
      <c r="K124" s="54">
        <v>0.23802083333430346</v>
      </c>
      <c r="L124" s="54">
        <v>0.36302083333430346</v>
      </c>
      <c r="M124" s="18">
        <v>10.0</v>
      </c>
      <c r="N124" s="53">
        <f t="shared" si="2"/>
        <v>0.125</v>
      </c>
      <c r="O124" s="30">
        <f t="shared" si="3"/>
        <v>3</v>
      </c>
      <c r="P124" s="30">
        <f t="shared" si="4"/>
        <v>30</v>
      </c>
      <c r="Q124" s="30">
        <f t="shared" si="5"/>
        <v>0.75</v>
      </c>
    </row>
    <row r="125" ht="15.75" customHeight="1">
      <c r="A125" s="17" t="s">
        <v>990</v>
      </c>
      <c r="B125" s="17" t="s">
        <v>731</v>
      </c>
      <c r="C125" s="17" t="s">
        <v>208</v>
      </c>
      <c r="D125" s="17" t="s">
        <v>991</v>
      </c>
      <c r="E125" s="55">
        <f t="shared" si="1"/>
        <v>1.2</v>
      </c>
      <c r="F125" s="17" t="s">
        <v>19</v>
      </c>
      <c r="G125" s="17" t="s">
        <v>733</v>
      </c>
      <c r="K125" s="54">
        <v>0.23802083333430346</v>
      </c>
      <c r="L125" s="54">
        <v>0.4046874999985448</v>
      </c>
      <c r="M125" s="18">
        <v>12.0</v>
      </c>
      <c r="N125" s="53">
        <f t="shared" si="2"/>
        <v>0.1666666667</v>
      </c>
      <c r="O125" s="30">
        <f t="shared" si="3"/>
        <v>4</v>
      </c>
      <c r="P125" s="30">
        <f t="shared" si="4"/>
        <v>48</v>
      </c>
      <c r="Q125" s="30">
        <f t="shared" si="5"/>
        <v>1.2</v>
      </c>
    </row>
    <row r="126" ht="15.75" customHeight="1">
      <c r="A126" s="17" t="s">
        <v>992</v>
      </c>
      <c r="B126" s="17" t="s">
        <v>731</v>
      </c>
      <c r="C126" s="17" t="s">
        <v>208</v>
      </c>
      <c r="D126" s="17" t="s">
        <v>993</v>
      </c>
      <c r="E126" s="55">
        <f t="shared" si="1"/>
        <v>1</v>
      </c>
      <c r="F126" s="17" t="s">
        <v>19</v>
      </c>
      <c r="G126" s="17" t="s">
        <v>733</v>
      </c>
      <c r="K126" s="54">
        <v>0.23802083333430346</v>
      </c>
      <c r="L126" s="54">
        <v>0.32135416666642413</v>
      </c>
      <c r="M126" s="18">
        <v>20.0</v>
      </c>
      <c r="N126" s="53">
        <f t="shared" si="2"/>
        <v>0.08333333333</v>
      </c>
      <c r="O126" s="30">
        <f t="shared" si="3"/>
        <v>2</v>
      </c>
      <c r="P126" s="30">
        <f t="shared" si="4"/>
        <v>40</v>
      </c>
      <c r="Q126" s="30">
        <f t="shared" si="5"/>
        <v>1</v>
      </c>
    </row>
    <row r="127" ht="15.75" customHeight="1">
      <c r="A127" s="17" t="s">
        <v>994</v>
      </c>
      <c r="B127" s="17" t="s">
        <v>731</v>
      </c>
      <c r="C127" s="17" t="s">
        <v>208</v>
      </c>
      <c r="D127" s="17" t="s">
        <v>995</v>
      </c>
      <c r="E127" s="55">
        <f t="shared" si="1"/>
        <v>0.3</v>
      </c>
      <c r="F127" s="17" t="s">
        <v>19</v>
      </c>
      <c r="G127" s="17" t="s">
        <v>733</v>
      </c>
      <c r="K127" s="54">
        <v>0.23802083333430346</v>
      </c>
      <c r="L127" s="54">
        <v>0.2796874999985448</v>
      </c>
      <c r="M127" s="18">
        <v>12.0</v>
      </c>
      <c r="N127" s="53">
        <f t="shared" si="2"/>
        <v>0.04166666666</v>
      </c>
      <c r="O127" s="30">
        <f t="shared" si="3"/>
        <v>0.9999999999</v>
      </c>
      <c r="P127" s="30">
        <f t="shared" si="4"/>
        <v>12</v>
      </c>
      <c r="Q127" s="30">
        <f t="shared" si="5"/>
        <v>0.3</v>
      </c>
    </row>
    <row r="128" ht="15.75" customHeight="1">
      <c r="A128" s="17" t="s">
        <v>996</v>
      </c>
      <c r="B128" s="17" t="s">
        <v>731</v>
      </c>
      <c r="C128" s="17" t="s">
        <v>208</v>
      </c>
      <c r="D128" s="17" t="s">
        <v>997</v>
      </c>
      <c r="E128" s="55">
        <f t="shared" si="1"/>
        <v>0.5</v>
      </c>
      <c r="F128" s="17" t="s">
        <v>19</v>
      </c>
      <c r="G128" s="17" t="s">
        <v>733</v>
      </c>
      <c r="K128" s="54">
        <v>0.23802083333430346</v>
      </c>
      <c r="L128" s="54">
        <v>0.32135416666642413</v>
      </c>
      <c r="M128" s="18">
        <v>10.0</v>
      </c>
      <c r="N128" s="53">
        <f t="shared" si="2"/>
        <v>0.08333333333</v>
      </c>
      <c r="O128" s="30">
        <f t="shared" si="3"/>
        <v>2</v>
      </c>
      <c r="P128" s="30">
        <f t="shared" si="4"/>
        <v>20</v>
      </c>
      <c r="Q128" s="30">
        <f t="shared" si="5"/>
        <v>0.5</v>
      </c>
    </row>
    <row r="129" ht="15.75" customHeight="1">
      <c r="A129" s="17" t="s">
        <v>998</v>
      </c>
      <c r="B129" s="17" t="s">
        <v>731</v>
      </c>
      <c r="C129" s="17" t="s">
        <v>208</v>
      </c>
      <c r="D129" s="17" t="s">
        <v>997</v>
      </c>
      <c r="E129" s="55">
        <f t="shared" si="1"/>
        <v>0.6</v>
      </c>
      <c r="F129" s="17" t="s">
        <v>19</v>
      </c>
      <c r="G129" s="17" t="s">
        <v>733</v>
      </c>
      <c r="K129" s="54">
        <v>0.23802083333430346</v>
      </c>
      <c r="L129" s="54">
        <v>0.32135416666642413</v>
      </c>
      <c r="M129" s="18">
        <v>12.0</v>
      </c>
      <c r="N129" s="53">
        <f t="shared" si="2"/>
        <v>0.08333333333</v>
      </c>
      <c r="O129" s="30">
        <f t="shared" si="3"/>
        <v>2</v>
      </c>
      <c r="P129" s="30">
        <f t="shared" si="4"/>
        <v>24</v>
      </c>
      <c r="Q129" s="30">
        <f t="shared" si="5"/>
        <v>0.6</v>
      </c>
    </row>
    <row r="130" ht="15.75" customHeight="1">
      <c r="A130" s="17" t="s">
        <v>999</v>
      </c>
      <c r="B130" s="17" t="s">
        <v>731</v>
      </c>
      <c r="C130" s="17" t="s">
        <v>208</v>
      </c>
      <c r="D130" s="17" t="s">
        <v>1000</v>
      </c>
      <c r="E130" s="55">
        <f t="shared" si="1"/>
        <v>0.6</v>
      </c>
      <c r="F130" s="17" t="s">
        <v>19</v>
      </c>
      <c r="G130" s="17" t="s">
        <v>733</v>
      </c>
      <c r="K130" s="54">
        <v>0.23802083333430346</v>
      </c>
      <c r="L130" s="54">
        <v>0.32135416666642413</v>
      </c>
      <c r="M130" s="18">
        <v>12.0</v>
      </c>
      <c r="N130" s="53">
        <f t="shared" si="2"/>
        <v>0.08333333333</v>
      </c>
      <c r="O130" s="30">
        <f t="shared" si="3"/>
        <v>2</v>
      </c>
      <c r="P130" s="30">
        <f t="shared" si="4"/>
        <v>24</v>
      </c>
      <c r="Q130" s="30">
        <f t="shared" si="5"/>
        <v>0.6</v>
      </c>
    </row>
    <row r="131" ht="15.75" customHeight="1">
      <c r="A131" s="17" t="s">
        <v>1001</v>
      </c>
      <c r="B131" s="17" t="s">
        <v>731</v>
      </c>
      <c r="C131" s="17" t="s">
        <v>208</v>
      </c>
      <c r="D131" s="17" t="s">
        <v>1002</v>
      </c>
      <c r="E131" s="55">
        <f t="shared" si="1"/>
        <v>0.75</v>
      </c>
      <c r="F131" s="17" t="s">
        <v>19</v>
      </c>
      <c r="G131" s="17" t="s">
        <v>733</v>
      </c>
      <c r="K131" s="54">
        <v>0.23802083333430346</v>
      </c>
      <c r="L131" s="54">
        <v>0.36302083333430346</v>
      </c>
      <c r="M131" s="18">
        <v>10.0</v>
      </c>
      <c r="N131" s="53">
        <f t="shared" si="2"/>
        <v>0.125</v>
      </c>
      <c r="O131" s="30">
        <f t="shared" si="3"/>
        <v>3</v>
      </c>
      <c r="P131" s="30">
        <f t="shared" si="4"/>
        <v>30</v>
      </c>
      <c r="Q131" s="30">
        <f t="shared" si="5"/>
        <v>0.75</v>
      </c>
    </row>
    <row r="132" ht="15.75" customHeight="1">
      <c r="A132" s="17" t="s">
        <v>1003</v>
      </c>
      <c r="B132" s="17" t="s">
        <v>731</v>
      </c>
      <c r="C132" s="17" t="s">
        <v>208</v>
      </c>
      <c r="D132" s="17" t="s">
        <v>1004</v>
      </c>
      <c r="E132" s="55">
        <f t="shared" si="1"/>
        <v>0.9</v>
      </c>
      <c r="F132" s="17" t="s">
        <v>19</v>
      </c>
      <c r="G132" s="17" t="s">
        <v>733</v>
      </c>
      <c r="K132" s="54">
        <v>0.23802083333430346</v>
      </c>
      <c r="L132" s="54">
        <v>0.36302083333430346</v>
      </c>
      <c r="M132" s="18">
        <v>12.0</v>
      </c>
      <c r="N132" s="53">
        <f t="shared" si="2"/>
        <v>0.125</v>
      </c>
      <c r="O132" s="30">
        <f t="shared" si="3"/>
        <v>3</v>
      </c>
      <c r="P132" s="30">
        <f t="shared" si="4"/>
        <v>36</v>
      </c>
      <c r="Q132" s="30">
        <f t="shared" si="5"/>
        <v>0.9</v>
      </c>
    </row>
    <row r="133" ht="15.75" customHeight="1">
      <c r="A133" s="17" t="s">
        <v>1005</v>
      </c>
      <c r="B133" s="17" t="s">
        <v>731</v>
      </c>
      <c r="C133" s="17" t="s">
        <v>208</v>
      </c>
      <c r="D133" s="17" t="s">
        <v>1006</v>
      </c>
      <c r="E133" s="55">
        <f t="shared" si="1"/>
        <v>1</v>
      </c>
      <c r="F133" s="17" t="s">
        <v>19</v>
      </c>
      <c r="G133" s="17" t="s">
        <v>733</v>
      </c>
      <c r="K133" s="54">
        <v>0.23802083333430346</v>
      </c>
      <c r="L133" s="54">
        <v>0.4046874999985448</v>
      </c>
      <c r="M133" s="18">
        <v>10.0</v>
      </c>
      <c r="N133" s="53">
        <f t="shared" si="2"/>
        <v>0.1666666667</v>
      </c>
      <c r="O133" s="30">
        <f t="shared" si="3"/>
        <v>4</v>
      </c>
      <c r="P133" s="30">
        <f t="shared" si="4"/>
        <v>40</v>
      </c>
      <c r="Q133" s="30">
        <f t="shared" si="5"/>
        <v>1</v>
      </c>
    </row>
    <row r="134" ht="15.75" customHeight="1">
      <c r="A134" s="17" t="s">
        <v>1007</v>
      </c>
      <c r="B134" s="17" t="s">
        <v>731</v>
      </c>
      <c r="C134" s="17" t="s">
        <v>208</v>
      </c>
      <c r="D134" s="17" t="s">
        <v>1008</v>
      </c>
      <c r="E134" s="55">
        <f t="shared" si="1"/>
        <v>0.375</v>
      </c>
      <c r="F134" s="17" t="s">
        <v>19</v>
      </c>
      <c r="G134" s="17" t="s">
        <v>733</v>
      </c>
      <c r="K134" s="54">
        <v>0.23802083333430346</v>
      </c>
      <c r="L134" s="54">
        <v>0.30052083333430346</v>
      </c>
      <c r="M134" s="18">
        <v>10.0</v>
      </c>
      <c r="N134" s="53">
        <f t="shared" si="2"/>
        <v>0.0625</v>
      </c>
      <c r="O134" s="30">
        <f t="shared" si="3"/>
        <v>1.5</v>
      </c>
      <c r="P134" s="30">
        <f t="shared" si="4"/>
        <v>15</v>
      </c>
      <c r="Q134" s="30">
        <f t="shared" si="5"/>
        <v>0.375</v>
      </c>
    </row>
    <row r="135" ht="15.75" customHeight="1">
      <c r="A135" s="17" t="s">
        <v>1009</v>
      </c>
      <c r="B135" s="17" t="s">
        <v>731</v>
      </c>
      <c r="C135" s="17" t="s">
        <v>208</v>
      </c>
      <c r="D135" s="17" t="s">
        <v>1008</v>
      </c>
      <c r="E135" s="55">
        <f t="shared" si="1"/>
        <v>0.9</v>
      </c>
      <c r="F135" s="17" t="s">
        <v>19</v>
      </c>
      <c r="G135" s="17" t="s">
        <v>733</v>
      </c>
      <c r="K135" s="54">
        <v>0.32135416666642413</v>
      </c>
      <c r="L135" s="54">
        <v>0.44635416666642413</v>
      </c>
      <c r="M135" s="18">
        <v>12.0</v>
      </c>
      <c r="N135" s="53">
        <f t="shared" si="2"/>
        <v>0.125</v>
      </c>
      <c r="O135" s="30">
        <f t="shared" si="3"/>
        <v>3</v>
      </c>
      <c r="P135" s="30">
        <f t="shared" si="4"/>
        <v>36</v>
      </c>
      <c r="Q135" s="30">
        <f t="shared" si="5"/>
        <v>0.9</v>
      </c>
    </row>
    <row r="136" ht="15.75" customHeight="1">
      <c r="A136" s="17" t="s">
        <v>1010</v>
      </c>
      <c r="B136" s="17" t="s">
        <v>731</v>
      </c>
      <c r="C136" s="17" t="s">
        <v>208</v>
      </c>
      <c r="D136" s="17" t="s">
        <v>1011</v>
      </c>
      <c r="E136" s="55">
        <f t="shared" si="1"/>
        <v>0.375</v>
      </c>
      <c r="F136" s="17" t="s">
        <v>19</v>
      </c>
      <c r="G136" s="17" t="s">
        <v>733</v>
      </c>
      <c r="K136" s="54">
        <v>0.3421874999985448</v>
      </c>
      <c r="L136" s="54">
        <v>0.4046874999985448</v>
      </c>
      <c r="M136" s="18">
        <v>10.0</v>
      </c>
      <c r="N136" s="53">
        <f t="shared" si="2"/>
        <v>0.0625</v>
      </c>
      <c r="O136" s="30">
        <f t="shared" si="3"/>
        <v>1.5</v>
      </c>
      <c r="P136" s="30">
        <f t="shared" si="4"/>
        <v>15</v>
      </c>
      <c r="Q136" s="30">
        <f t="shared" si="5"/>
        <v>0.375</v>
      </c>
    </row>
    <row r="137" ht="15.75" customHeight="1">
      <c r="A137" s="17" t="s">
        <v>1012</v>
      </c>
      <c r="B137" s="17" t="s">
        <v>731</v>
      </c>
      <c r="C137" s="17" t="s">
        <v>208</v>
      </c>
      <c r="D137" s="17" t="s">
        <v>1013</v>
      </c>
      <c r="E137" s="55">
        <f t="shared" si="1"/>
        <v>0.375</v>
      </c>
      <c r="F137" s="17" t="s">
        <v>19</v>
      </c>
      <c r="G137" s="17" t="s">
        <v>733</v>
      </c>
      <c r="K137" s="54">
        <v>0.5088541666664241</v>
      </c>
      <c r="L137" s="54">
        <v>0.5713541666664241</v>
      </c>
      <c r="M137" s="18">
        <v>10.0</v>
      </c>
      <c r="N137" s="53">
        <f t="shared" si="2"/>
        <v>0.0625</v>
      </c>
      <c r="O137" s="30">
        <f t="shared" si="3"/>
        <v>1.5</v>
      </c>
      <c r="P137" s="30">
        <f t="shared" si="4"/>
        <v>15</v>
      </c>
      <c r="Q137" s="30">
        <f t="shared" si="5"/>
        <v>0.375</v>
      </c>
    </row>
    <row r="138" ht="15.75" customHeight="1">
      <c r="A138" s="17" t="s">
        <v>1014</v>
      </c>
      <c r="B138" s="17" t="s">
        <v>731</v>
      </c>
      <c r="C138" s="17" t="s">
        <v>208</v>
      </c>
      <c r="D138" s="17" t="s">
        <v>1015</v>
      </c>
      <c r="E138" s="55">
        <f t="shared" si="1"/>
        <v>0.375</v>
      </c>
      <c r="F138" s="17" t="s">
        <v>19</v>
      </c>
      <c r="G138" s="17" t="s">
        <v>733</v>
      </c>
      <c r="K138" s="54">
        <v>0.3421874999985448</v>
      </c>
      <c r="L138" s="54">
        <v>0.4046874999985448</v>
      </c>
      <c r="M138" s="18">
        <v>10.0</v>
      </c>
      <c r="N138" s="53">
        <f t="shared" si="2"/>
        <v>0.0625</v>
      </c>
      <c r="O138" s="30">
        <f t="shared" si="3"/>
        <v>1.5</v>
      </c>
      <c r="P138" s="30">
        <f t="shared" si="4"/>
        <v>15</v>
      </c>
      <c r="Q138" s="30">
        <f t="shared" si="5"/>
        <v>0.375</v>
      </c>
    </row>
    <row r="139" ht="15.75" customHeight="1">
      <c r="A139" s="17" t="s">
        <v>1016</v>
      </c>
      <c r="B139" s="17" t="s">
        <v>731</v>
      </c>
      <c r="C139" s="17" t="s">
        <v>246</v>
      </c>
      <c r="D139" s="17" t="s">
        <v>1017</v>
      </c>
      <c r="E139" s="55">
        <f t="shared" si="1"/>
        <v>0.75</v>
      </c>
      <c r="F139" s="17" t="s">
        <v>19</v>
      </c>
      <c r="G139" s="17" t="s">
        <v>733</v>
      </c>
      <c r="K139" s="54">
        <v>0.4671874999985448</v>
      </c>
      <c r="L139" s="54">
        <v>0.5921874999985448</v>
      </c>
      <c r="M139" s="18">
        <v>10.0</v>
      </c>
      <c r="N139" s="53">
        <f t="shared" si="2"/>
        <v>0.125</v>
      </c>
      <c r="O139" s="30">
        <f t="shared" si="3"/>
        <v>3</v>
      </c>
      <c r="P139" s="30">
        <f t="shared" si="4"/>
        <v>30</v>
      </c>
      <c r="Q139" s="30">
        <f t="shared" si="5"/>
        <v>0.75</v>
      </c>
    </row>
    <row r="140" ht="15.75" customHeight="1">
      <c r="A140" s="17" t="s">
        <v>1018</v>
      </c>
      <c r="B140" s="17" t="s">
        <v>731</v>
      </c>
      <c r="C140" s="17" t="s">
        <v>246</v>
      </c>
      <c r="D140" s="17" t="s">
        <v>1019</v>
      </c>
      <c r="E140" s="55">
        <f t="shared" si="1"/>
        <v>0.75</v>
      </c>
      <c r="F140" s="17" t="s">
        <v>19</v>
      </c>
      <c r="G140" s="17" t="s">
        <v>733</v>
      </c>
      <c r="K140" s="54">
        <v>0.2796874999985448</v>
      </c>
      <c r="L140" s="54">
        <v>0.4046874999985448</v>
      </c>
      <c r="M140" s="18">
        <v>10.0</v>
      </c>
      <c r="N140" s="53">
        <f t="shared" si="2"/>
        <v>0.125</v>
      </c>
      <c r="O140" s="30">
        <f t="shared" si="3"/>
        <v>3</v>
      </c>
      <c r="P140" s="30">
        <f t="shared" si="4"/>
        <v>30</v>
      </c>
      <c r="Q140" s="30">
        <f t="shared" si="5"/>
        <v>0.75</v>
      </c>
    </row>
    <row r="141" ht="15.75" customHeight="1">
      <c r="A141" s="17" t="s">
        <v>1020</v>
      </c>
      <c r="B141" s="17" t="s">
        <v>731</v>
      </c>
      <c r="C141" s="17" t="s">
        <v>246</v>
      </c>
      <c r="D141" s="17" t="s">
        <v>1021</v>
      </c>
      <c r="E141" s="55">
        <f t="shared" si="1"/>
        <v>0.5</v>
      </c>
      <c r="F141" s="17" t="s">
        <v>19</v>
      </c>
      <c r="G141" s="17" t="s">
        <v>733</v>
      </c>
      <c r="K141" s="54">
        <v>0.44635416666642413</v>
      </c>
      <c r="L141" s="54">
        <v>0.5296874999985448</v>
      </c>
      <c r="M141" s="18">
        <v>10.0</v>
      </c>
      <c r="N141" s="53">
        <f t="shared" si="2"/>
        <v>0.08333333333</v>
      </c>
      <c r="O141" s="30">
        <f t="shared" si="3"/>
        <v>2</v>
      </c>
      <c r="P141" s="30">
        <f t="shared" si="4"/>
        <v>20</v>
      </c>
      <c r="Q141" s="30">
        <f t="shared" si="5"/>
        <v>0.5</v>
      </c>
    </row>
    <row r="142" ht="15.75" customHeight="1">
      <c r="A142" s="17" t="s">
        <v>1022</v>
      </c>
      <c r="B142" s="17" t="s">
        <v>731</v>
      </c>
      <c r="C142" s="17" t="s">
        <v>246</v>
      </c>
      <c r="D142" s="17" t="s">
        <v>1023</v>
      </c>
      <c r="E142" s="55">
        <f t="shared" si="1"/>
        <v>0.5</v>
      </c>
      <c r="F142" s="17" t="s">
        <v>19</v>
      </c>
      <c r="G142" s="17" t="s">
        <v>733</v>
      </c>
      <c r="K142" s="54">
        <v>0.32135416666642413</v>
      </c>
      <c r="L142" s="54">
        <v>0.4046874999985448</v>
      </c>
      <c r="M142" s="18">
        <v>10.0</v>
      </c>
      <c r="N142" s="53">
        <f t="shared" si="2"/>
        <v>0.08333333333</v>
      </c>
      <c r="O142" s="30">
        <f t="shared" si="3"/>
        <v>2</v>
      </c>
      <c r="P142" s="30">
        <f t="shared" si="4"/>
        <v>20</v>
      </c>
      <c r="Q142" s="30">
        <f t="shared" si="5"/>
        <v>0.5</v>
      </c>
    </row>
    <row r="143" ht="15.75" customHeight="1">
      <c r="A143" s="17" t="s">
        <v>1024</v>
      </c>
      <c r="B143" s="17" t="s">
        <v>731</v>
      </c>
      <c r="C143" s="17" t="s">
        <v>246</v>
      </c>
      <c r="D143" s="17" t="s">
        <v>1025</v>
      </c>
      <c r="E143" s="55">
        <f t="shared" si="1"/>
        <v>1.625</v>
      </c>
      <c r="F143" s="17" t="s">
        <v>19</v>
      </c>
      <c r="G143" s="17" t="s">
        <v>750</v>
      </c>
      <c r="K143" s="54">
        <v>0.19635416666642413</v>
      </c>
      <c r="L143" s="54">
        <v>0.4046874999985448</v>
      </c>
      <c r="M143" s="18">
        <v>12.0</v>
      </c>
      <c r="N143" s="53">
        <f t="shared" si="2"/>
        <v>0.2083333333</v>
      </c>
      <c r="O143" s="30">
        <f t="shared" si="3"/>
        <v>5</v>
      </c>
      <c r="P143" s="30">
        <f t="shared" si="4"/>
        <v>60</v>
      </c>
      <c r="Q143" s="30">
        <f t="shared" si="5"/>
        <v>1.5</v>
      </c>
    </row>
    <row r="144" ht="15.75" customHeight="1">
      <c r="A144" s="17" t="s">
        <v>1026</v>
      </c>
      <c r="B144" s="17" t="s">
        <v>731</v>
      </c>
      <c r="C144" s="17" t="s">
        <v>246</v>
      </c>
      <c r="D144" s="17" t="s">
        <v>1027</v>
      </c>
      <c r="E144" s="55">
        <f t="shared" si="1"/>
        <v>0.6</v>
      </c>
      <c r="F144" s="17" t="s">
        <v>19</v>
      </c>
      <c r="G144" s="17" t="s">
        <v>733</v>
      </c>
      <c r="K144" s="54">
        <v>0.19635416666642413</v>
      </c>
      <c r="L144" s="54">
        <v>0.23802083333430346</v>
      </c>
      <c r="M144" s="18">
        <v>24.0</v>
      </c>
      <c r="N144" s="53">
        <f t="shared" si="2"/>
        <v>0.04166666667</v>
      </c>
      <c r="O144" s="30">
        <f t="shared" si="3"/>
        <v>1</v>
      </c>
      <c r="P144" s="30">
        <f t="shared" si="4"/>
        <v>24</v>
      </c>
      <c r="Q144" s="30">
        <f t="shared" si="5"/>
        <v>0.6</v>
      </c>
    </row>
    <row r="145" ht="15.75" customHeight="1">
      <c r="A145" s="17" t="s">
        <v>1028</v>
      </c>
      <c r="B145" s="17" t="s">
        <v>731</v>
      </c>
      <c r="C145" s="17" t="s">
        <v>246</v>
      </c>
      <c r="D145" s="17" t="s">
        <v>1029</v>
      </c>
      <c r="E145" s="55">
        <f t="shared" si="1"/>
        <v>0.425</v>
      </c>
      <c r="F145" s="17" t="s">
        <v>19</v>
      </c>
      <c r="G145" s="17" t="s">
        <v>750</v>
      </c>
      <c r="K145" s="54">
        <v>0.19635416666642413</v>
      </c>
      <c r="L145" s="54">
        <v>0.32135416666642413</v>
      </c>
      <c r="M145" s="18">
        <v>4.0</v>
      </c>
      <c r="N145" s="53">
        <f t="shared" si="2"/>
        <v>0.125</v>
      </c>
      <c r="O145" s="30">
        <f t="shared" si="3"/>
        <v>3</v>
      </c>
      <c r="P145" s="30">
        <f t="shared" si="4"/>
        <v>12</v>
      </c>
      <c r="Q145" s="30">
        <f t="shared" si="5"/>
        <v>0.3</v>
      </c>
    </row>
    <row r="146" ht="15.75" customHeight="1">
      <c r="A146" s="17" t="s">
        <v>1030</v>
      </c>
      <c r="B146" s="17" t="s">
        <v>731</v>
      </c>
      <c r="C146" s="17" t="s">
        <v>246</v>
      </c>
      <c r="D146" s="17" t="s">
        <v>1031</v>
      </c>
      <c r="E146" s="55">
        <f t="shared" si="1"/>
        <v>0.25</v>
      </c>
      <c r="F146" s="17" t="s">
        <v>360</v>
      </c>
      <c r="G146" s="17" t="s">
        <v>733</v>
      </c>
      <c r="K146" s="54">
        <v>0.48802083333430346</v>
      </c>
      <c r="L146" s="54">
        <v>0.5296874999985448</v>
      </c>
      <c r="M146" s="18">
        <v>10.0</v>
      </c>
      <c r="N146" s="53">
        <f t="shared" si="2"/>
        <v>0.04166666666</v>
      </c>
      <c r="O146" s="30">
        <f t="shared" si="3"/>
        <v>0.9999999999</v>
      </c>
      <c r="P146" s="30">
        <f t="shared" si="4"/>
        <v>9.999999999</v>
      </c>
      <c r="Q146" s="30">
        <f t="shared" si="5"/>
        <v>0.25</v>
      </c>
    </row>
    <row r="147" ht="15.75" customHeight="1">
      <c r="A147" s="17" t="s">
        <v>1032</v>
      </c>
      <c r="B147" s="17" t="s">
        <v>731</v>
      </c>
      <c r="C147" s="17" t="s">
        <v>246</v>
      </c>
      <c r="D147" s="17" t="s">
        <v>1033</v>
      </c>
      <c r="E147" s="55">
        <f t="shared" si="1"/>
        <v>0.75</v>
      </c>
      <c r="F147" s="17" t="s">
        <v>19</v>
      </c>
      <c r="G147" s="17" t="s">
        <v>733</v>
      </c>
      <c r="K147" s="54">
        <v>0.44635416666642413</v>
      </c>
      <c r="L147" s="54">
        <v>0.5713541666664241</v>
      </c>
      <c r="M147" s="18">
        <v>10.0</v>
      </c>
      <c r="N147" s="53">
        <f t="shared" si="2"/>
        <v>0.125</v>
      </c>
      <c r="O147" s="30">
        <f t="shared" si="3"/>
        <v>3</v>
      </c>
      <c r="P147" s="30">
        <f t="shared" si="4"/>
        <v>30</v>
      </c>
      <c r="Q147" s="30">
        <f t="shared" si="5"/>
        <v>0.75</v>
      </c>
    </row>
    <row r="148" ht="15.75" customHeight="1">
      <c r="A148" s="17" t="s">
        <v>1034</v>
      </c>
      <c r="B148" s="17" t="s">
        <v>731</v>
      </c>
      <c r="C148" s="17" t="s">
        <v>246</v>
      </c>
      <c r="D148" s="17" t="s">
        <v>1035</v>
      </c>
      <c r="E148" s="55">
        <f t="shared" si="1"/>
        <v>0.35</v>
      </c>
      <c r="F148" s="17" t="s">
        <v>19</v>
      </c>
      <c r="G148" s="17" t="s">
        <v>733</v>
      </c>
      <c r="K148" s="54">
        <v>0.25885416666642413</v>
      </c>
      <c r="L148" s="54">
        <v>0.4046874999985448</v>
      </c>
      <c r="M148" s="18">
        <v>4.0</v>
      </c>
      <c r="N148" s="53">
        <f t="shared" si="2"/>
        <v>0.1458333333</v>
      </c>
      <c r="O148" s="30">
        <f t="shared" si="3"/>
        <v>3.5</v>
      </c>
      <c r="P148" s="30">
        <f t="shared" si="4"/>
        <v>14</v>
      </c>
      <c r="Q148" s="30">
        <f t="shared" si="5"/>
        <v>0.35</v>
      </c>
    </row>
    <row r="149" ht="15.75" customHeight="1">
      <c r="A149" s="17" t="s">
        <v>1036</v>
      </c>
      <c r="B149" s="17" t="s">
        <v>731</v>
      </c>
      <c r="C149" s="17" t="s">
        <v>246</v>
      </c>
      <c r="D149" s="17" t="s">
        <v>1037</v>
      </c>
      <c r="E149" s="55">
        <f t="shared" si="1"/>
        <v>1.25</v>
      </c>
      <c r="F149" s="17" t="s">
        <v>19</v>
      </c>
      <c r="G149" s="17" t="s">
        <v>750</v>
      </c>
      <c r="K149" s="54">
        <v>0.2171874999985448</v>
      </c>
      <c r="L149" s="54">
        <v>0.4046874999985448</v>
      </c>
      <c r="M149" s="18">
        <v>10.0</v>
      </c>
      <c r="N149" s="53">
        <f t="shared" si="2"/>
        <v>0.1875</v>
      </c>
      <c r="O149" s="30">
        <f t="shared" si="3"/>
        <v>4.5</v>
      </c>
      <c r="P149" s="30">
        <f t="shared" si="4"/>
        <v>45</v>
      </c>
      <c r="Q149" s="30">
        <f t="shared" si="5"/>
        <v>1.125</v>
      </c>
    </row>
    <row r="150" ht="15.75" customHeight="1">
      <c r="A150" s="17" t="s">
        <v>1038</v>
      </c>
      <c r="B150" s="17" t="s">
        <v>731</v>
      </c>
      <c r="C150" s="17" t="s">
        <v>246</v>
      </c>
      <c r="D150" s="17" t="s">
        <v>1039</v>
      </c>
      <c r="E150" s="55">
        <f t="shared" si="1"/>
        <v>0.5</v>
      </c>
      <c r="F150" s="17" t="s">
        <v>19</v>
      </c>
      <c r="G150" s="17" t="s">
        <v>750</v>
      </c>
      <c r="K150" s="54">
        <v>0.25885416666642413</v>
      </c>
      <c r="L150" s="54">
        <v>0.32135416666642413</v>
      </c>
      <c r="M150" s="18">
        <v>10.0</v>
      </c>
      <c r="N150" s="53">
        <f t="shared" si="2"/>
        <v>0.0625</v>
      </c>
      <c r="O150" s="30">
        <f t="shared" si="3"/>
        <v>1.5</v>
      </c>
      <c r="P150" s="30">
        <f t="shared" si="4"/>
        <v>15</v>
      </c>
      <c r="Q150" s="30">
        <f t="shared" si="5"/>
        <v>0.375</v>
      </c>
    </row>
    <row r="151" ht="15.75" customHeight="1">
      <c r="A151" s="17" t="s">
        <v>1040</v>
      </c>
      <c r="B151" s="17" t="s">
        <v>731</v>
      </c>
      <c r="C151" s="17" t="s">
        <v>246</v>
      </c>
      <c r="D151" s="17" t="s">
        <v>1041</v>
      </c>
      <c r="E151" s="55">
        <f t="shared" si="1"/>
        <v>0.225</v>
      </c>
      <c r="F151" s="17" t="s">
        <v>19</v>
      </c>
      <c r="G151" s="17" t="s">
        <v>733</v>
      </c>
      <c r="K151" s="54">
        <v>0.36302083333430346</v>
      </c>
      <c r="L151" s="54">
        <v>0.42552083333430346</v>
      </c>
      <c r="M151" s="18">
        <v>6.0</v>
      </c>
      <c r="N151" s="53">
        <f t="shared" si="2"/>
        <v>0.0625</v>
      </c>
      <c r="O151" s="30">
        <f t="shared" si="3"/>
        <v>1.5</v>
      </c>
      <c r="P151" s="30">
        <f t="shared" si="4"/>
        <v>9</v>
      </c>
      <c r="Q151" s="30">
        <f t="shared" si="5"/>
        <v>0.225</v>
      </c>
    </row>
    <row r="152" ht="15.75" customHeight="1">
      <c r="A152" s="17" t="s">
        <v>1042</v>
      </c>
      <c r="B152" s="17" t="s">
        <v>731</v>
      </c>
      <c r="C152" s="17" t="s">
        <v>246</v>
      </c>
      <c r="D152" s="17" t="s">
        <v>1043</v>
      </c>
      <c r="E152" s="55">
        <f t="shared" si="1"/>
        <v>0.15</v>
      </c>
      <c r="F152" s="17" t="s">
        <v>19</v>
      </c>
      <c r="G152" s="17" t="s">
        <v>733</v>
      </c>
      <c r="K152" s="54">
        <v>0.36302083333430346</v>
      </c>
      <c r="L152" s="54">
        <v>0.4046874999985448</v>
      </c>
      <c r="M152" s="18">
        <v>6.0</v>
      </c>
      <c r="N152" s="53">
        <f t="shared" si="2"/>
        <v>0.04166666666</v>
      </c>
      <c r="O152" s="30">
        <f t="shared" si="3"/>
        <v>0.9999999999</v>
      </c>
      <c r="P152" s="30">
        <f t="shared" si="4"/>
        <v>6</v>
      </c>
      <c r="Q152" s="30">
        <f t="shared" si="5"/>
        <v>0.15</v>
      </c>
    </row>
    <row r="153" ht="15.75" customHeight="1">
      <c r="A153" s="17" t="s">
        <v>1044</v>
      </c>
      <c r="B153" s="17" t="s">
        <v>731</v>
      </c>
      <c r="C153" s="17" t="s">
        <v>246</v>
      </c>
      <c r="D153" s="17" t="s">
        <v>1045</v>
      </c>
      <c r="E153" s="55">
        <f t="shared" si="1"/>
        <v>0.45</v>
      </c>
      <c r="F153" s="17" t="s">
        <v>19</v>
      </c>
      <c r="G153" s="17" t="s">
        <v>733</v>
      </c>
      <c r="K153" s="54">
        <v>0.36302083333430346</v>
      </c>
      <c r="L153" s="54">
        <v>0.42552083333430346</v>
      </c>
      <c r="M153" s="18">
        <v>12.0</v>
      </c>
      <c r="N153" s="53">
        <f t="shared" si="2"/>
        <v>0.0625</v>
      </c>
      <c r="O153" s="30">
        <f t="shared" si="3"/>
        <v>1.5</v>
      </c>
      <c r="P153" s="30">
        <f t="shared" si="4"/>
        <v>18</v>
      </c>
      <c r="Q153" s="30">
        <f t="shared" si="5"/>
        <v>0.45</v>
      </c>
    </row>
    <row r="154" ht="15.75" customHeight="1">
      <c r="A154" s="17" t="s">
        <v>1046</v>
      </c>
      <c r="B154" s="17" t="s">
        <v>731</v>
      </c>
      <c r="C154" s="17" t="s">
        <v>246</v>
      </c>
      <c r="D154" s="17" t="s">
        <v>1047</v>
      </c>
      <c r="E154" s="55">
        <f t="shared" si="1"/>
        <v>0.225</v>
      </c>
      <c r="F154" s="17" t="s">
        <v>19</v>
      </c>
      <c r="G154" s="17" t="s">
        <v>733</v>
      </c>
      <c r="K154" s="54">
        <v>0.36302083333430346</v>
      </c>
      <c r="L154" s="54">
        <v>0.42552083333430346</v>
      </c>
      <c r="M154" s="18">
        <v>6.0</v>
      </c>
      <c r="N154" s="53">
        <f t="shared" si="2"/>
        <v>0.0625</v>
      </c>
      <c r="O154" s="30">
        <f t="shared" si="3"/>
        <v>1.5</v>
      </c>
      <c r="P154" s="30">
        <f t="shared" si="4"/>
        <v>9</v>
      </c>
      <c r="Q154" s="30">
        <f t="shared" si="5"/>
        <v>0.225</v>
      </c>
    </row>
    <row r="155" ht="15.75" customHeight="1">
      <c r="A155" s="17" t="s">
        <v>1048</v>
      </c>
      <c r="B155" s="17" t="s">
        <v>731</v>
      </c>
      <c r="C155" s="17" t="s">
        <v>246</v>
      </c>
      <c r="D155" s="17" t="s">
        <v>1049</v>
      </c>
      <c r="E155" s="55">
        <f t="shared" si="1"/>
        <v>0.6</v>
      </c>
      <c r="F155" s="17" t="s">
        <v>19</v>
      </c>
      <c r="G155" s="17" t="s">
        <v>733</v>
      </c>
      <c r="K155" s="54">
        <v>0.32135416666642413</v>
      </c>
      <c r="L155" s="54">
        <v>0.4046874999985448</v>
      </c>
      <c r="M155" s="18">
        <v>12.0</v>
      </c>
      <c r="N155" s="53">
        <f t="shared" si="2"/>
        <v>0.08333333333</v>
      </c>
      <c r="O155" s="30">
        <f t="shared" si="3"/>
        <v>2</v>
      </c>
      <c r="P155" s="30">
        <f t="shared" si="4"/>
        <v>24</v>
      </c>
      <c r="Q155" s="30">
        <f t="shared" si="5"/>
        <v>0.6</v>
      </c>
    </row>
    <row r="156" ht="15.75" customHeight="1">
      <c r="A156" s="17" t="s">
        <v>1050</v>
      </c>
      <c r="B156" s="17" t="s">
        <v>731</v>
      </c>
      <c r="C156" s="17" t="s">
        <v>246</v>
      </c>
      <c r="D156" s="17" t="s">
        <v>1051</v>
      </c>
      <c r="E156" s="55">
        <f t="shared" si="1"/>
        <v>0.575</v>
      </c>
      <c r="F156" s="17" t="s">
        <v>19</v>
      </c>
      <c r="G156" s="17" t="s">
        <v>750</v>
      </c>
      <c r="K156" s="54">
        <v>0.36302083333430346</v>
      </c>
      <c r="L156" s="54">
        <v>0.48802083333430346</v>
      </c>
      <c r="M156" s="18">
        <v>6.0</v>
      </c>
      <c r="N156" s="53">
        <f t="shared" si="2"/>
        <v>0.125</v>
      </c>
      <c r="O156" s="30">
        <f t="shared" si="3"/>
        <v>3</v>
      </c>
      <c r="P156" s="30">
        <f t="shared" si="4"/>
        <v>18</v>
      </c>
      <c r="Q156" s="30">
        <f t="shared" si="5"/>
        <v>0.45</v>
      </c>
    </row>
    <row r="157" ht="15.75" customHeight="1">
      <c r="A157" s="17" t="s">
        <v>1052</v>
      </c>
      <c r="B157" s="17" t="s">
        <v>731</v>
      </c>
      <c r="C157" s="17" t="s">
        <v>246</v>
      </c>
      <c r="D157" s="17" t="s">
        <v>1053</v>
      </c>
      <c r="E157" s="55">
        <f t="shared" si="1"/>
        <v>0.45</v>
      </c>
      <c r="F157" s="17" t="s">
        <v>19</v>
      </c>
      <c r="G157" s="17" t="s">
        <v>733</v>
      </c>
      <c r="K157" s="54">
        <v>0.32135416666642413</v>
      </c>
      <c r="L157" s="54">
        <v>0.44635416666642413</v>
      </c>
      <c r="M157" s="18">
        <v>6.0</v>
      </c>
      <c r="N157" s="53">
        <f t="shared" si="2"/>
        <v>0.125</v>
      </c>
      <c r="O157" s="30">
        <f t="shared" si="3"/>
        <v>3</v>
      </c>
      <c r="P157" s="30">
        <f t="shared" si="4"/>
        <v>18</v>
      </c>
      <c r="Q157" s="30">
        <f t="shared" si="5"/>
        <v>0.45</v>
      </c>
    </row>
    <row r="158" ht="15.75" customHeight="1">
      <c r="A158" s="17" t="s">
        <v>1054</v>
      </c>
      <c r="B158" s="17" t="s">
        <v>731</v>
      </c>
      <c r="C158" s="17" t="s">
        <v>246</v>
      </c>
      <c r="D158" s="17" t="s">
        <v>1055</v>
      </c>
      <c r="E158" s="55">
        <f t="shared" si="1"/>
        <v>0.5</v>
      </c>
      <c r="F158" s="17" t="s">
        <v>19</v>
      </c>
      <c r="G158" s="17" t="s">
        <v>733</v>
      </c>
      <c r="K158" s="54">
        <v>0.32135416666642413</v>
      </c>
      <c r="L158" s="54">
        <v>0.4046874999985448</v>
      </c>
      <c r="M158" s="18">
        <v>10.0</v>
      </c>
      <c r="N158" s="53">
        <f t="shared" si="2"/>
        <v>0.08333333333</v>
      </c>
      <c r="O158" s="30">
        <f t="shared" si="3"/>
        <v>2</v>
      </c>
      <c r="P158" s="30">
        <f t="shared" si="4"/>
        <v>20</v>
      </c>
      <c r="Q158" s="30">
        <f t="shared" si="5"/>
        <v>0.5</v>
      </c>
    </row>
    <row r="159" ht="15.75" customHeight="1">
      <c r="A159" s="17" t="s">
        <v>1056</v>
      </c>
      <c r="B159" s="17" t="s">
        <v>731</v>
      </c>
      <c r="C159" s="17" t="s">
        <v>246</v>
      </c>
      <c r="D159" s="17" t="s">
        <v>1057</v>
      </c>
      <c r="E159" s="55">
        <f t="shared" si="1"/>
        <v>0.425</v>
      </c>
      <c r="F159" s="17" t="s">
        <v>19</v>
      </c>
      <c r="G159" s="17" t="s">
        <v>750</v>
      </c>
      <c r="K159" s="54">
        <v>0.36302083333430346</v>
      </c>
      <c r="L159" s="54">
        <v>0.44635416666642413</v>
      </c>
      <c r="M159" s="18">
        <v>6.0</v>
      </c>
      <c r="N159" s="53">
        <f t="shared" si="2"/>
        <v>0.08333333333</v>
      </c>
      <c r="O159" s="30">
        <f t="shared" si="3"/>
        <v>2</v>
      </c>
      <c r="P159" s="30">
        <f t="shared" si="4"/>
        <v>12</v>
      </c>
      <c r="Q159" s="30">
        <f t="shared" si="5"/>
        <v>0.3</v>
      </c>
    </row>
    <row r="160" ht="15.75" customHeight="1">
      <c r="A160" s="17" t="s">
        <v>1058</v>
      </c>
      <c r="B160" s="17" t="s">
        <v>731</v>
      </c>
      <c r="C160" s="17" t="s">
        <v>246</v>
      </c>
      <c r="D160" s="17" t="s">
        <v>1059</v>
      </c>
      <c r="E160" s="55">
        <f t="shared" si="1"/>
        <v>0.875</v>
      </c>
      <c r="F160" s="17" t="s">
        <v>19</v>
      </c>
      <c r="G160" s="17" t="s">
        <v>750</v>
      </c>
      <c r="K160" s="54">
        <v>0.23802083333430346</v>
      </c>
      <c r="L160" s="54">
        <v>0.36302083333430346</v>
      </c>
      <c r="M160" s="18">
        <v>10.0</v>
      </c>
      <c r="N160" s="53">
        <f t="shared" si="2"/>
        <v>0.125</v>
      </c>
      <c r="O160" s="30">
        <f t="shared" si="3"/>
        <v>3</v>
      </c>
      <c r="P160" s="30">
        <f t="shared" si="4"/>
        <v>30</v>
      </c>
      <c r="Q160" s="30">
        <f t="shared" si="5"/>
        <v>0.75</v>
      </c>
    </row>
    <row r="161" ht="15.75" customHeight="1">
      <c r="A161" s="17" t="s">
        <v>1060</v>
      </c>
      <c r="B161" s="17" t="s">
        <v>731</v>
      </c>
      <c r="C161" s="17" t="s">
        <v>246</v>
      </c>
      <c r="D161" s="17" t="s">
        <v>1061</v>
      </c>
      <c r="E161" s="55">
        <f t="shared" si="1"/>
        <v>0.725</v>
      </c>
      <c r="F161" s="17" t="s">
        <v>19</v>
      </c>
      <c r="G161" s="17" t="s">
        <v>750</v>
      </c>
      <c r="K161" s="54">
        <v>0.19635416666642413</v>
      </c>
      <c r="L161" s="54">
        <v>0.36302083333430346</v>
      </c>
      <c r="M161" s="18">
        <v>6.0</v>
      </c>
      <c r="N161" s="53">
        <f t="shared" si="2"/>
        <v>0.1666666667</v>
      </c>
      <c r="O161" s="30">
        <f t="shared" si="3"/>
        <v>4</v>
      </c>
      <c r="P161" s="30">
        <f t="shared" si="4"/>
        <v>24</v>
      </c>
      <c r="Q161" s="30">
        <f t="shared" si="5"/>
        <v>0.6</v>
      </c>
    </row>
    <row r="162" ht="15.75" customHeight="1">
      <c r="A162" s="17" t="s">
        <v>1062</v>
      </c>
      <c r="B162" s="17" t="s">
        <v>731</v>
      </c>
      <c r="C162" s="17" t="s">
        <v>273</v>
      </c>
      <c r="D162" s="17" t="s">
        <v>1063</v>
      </c>
      <c r="E162" s="55">
        <f t="shared" si="1"/>
        <v>1.2</v>
      </c>
      <c r="F162" s="17" t="s">
        <v>19</v>
      </c>
      <c r="G162" s="17" t="s">
        <v>733</v>
      </c>
      <c r="K162" s="54">
        <v>0.19635416666642413</v>
      </c>
      <c r="L162" s="54">
        <v>0.36302083333430346</v>
      </c>
      <c r="M162" s="18">
        <v>12.0</v>
      </c>
      <c r="N162" s="53">
        <f t="shared" si="2"/>
        <v>0.1666666667</v>
      </c>
      <c r="O162" s="30">
        <f t="shared" si="3"/>
        <v>4</v>
      </c>
      <c r="P162" s="30">
        <f t="shared" si="4"/>
        <v>48</v>
      </c>
      <c r="Q162" s="30">
        <f t="shared" si="5"/>
        <v>1.2</v>
      </c>
    </row>
    <row r="163" ht="15.75" customHeight="1">
      <c r="A163" s="17" t="s">
        <v>1064</v>
      </c>
      <c r="B163" s="17" t="s">
        <v>731</v>
      </c>
      <c r="C163" s="17" t="s">
        <v>273</v>
      </c>
      <c r="D163" s="17" t="s">
        <v>1065</v>
      </c>
      <c r="E163" s="55">
        <f t="shared" si="1"/>
        <v>0.3</v>
      </c>
      <c r="F163" s="17" t="s">
        <v>19</v>
      </c>
      <c r="G163" s="17" t="s">
        <v>733</v>
      </c>
      <c r="K163" s="54">
        <v>0.32135416666642413</v>
      </c>
      <c r="L163" s="54">
        <v>0.4046874999985448</v>
      </c>
      <c r="M163" s="18">
        <v>6.0</v>
      </c>
      <c r="N163" s="53">
        <f t="shared" si="2"/>
        <v>0.08333333333</v>
      </c>
      <c r="O163" s="30">
        <f t="shared" si="3"/>
        <v>2</v>
      </c>
      <c r="P163" s="30">
        <f t="shared" si="4"/>
        <v>12</v>
      </c>
      <c r="Q163" s="30">
        <f t="shared" si="5"/>
        <v>0.3</v>
      </c>
    </row>
    <row r="164" ht="15.75" customHeight="1">
      <c r="A164" s="17" t="s">
        <v>1066</v>
      </c>
      <c r="B164" s="17" t="s">
        <v>731</v>
      </c>
      <c r="C164" s="17" t="s">
        <v>273</v>
      </c>
      <c r="D164" s="17" t="s">
        <v>1067</v>
      </c>
      <c r="E164" s="55">
        <f t="shared" si="1"/>
        <v>0.875</v>
      </c>
      <c r="F164" s="17" t="s">
        <v>19</v>
      </c>
      <c r="G164" s="17" t="s">
        <v>750</v>
      </c>
      <c r="K164" s="54">
        <v>0.44635416666642413</v>
      </c>
      <c r="L164" s="54">
        <v>0.5713541666664241</v>
      </c>
      <c r="M164" s="18">
        <v>10.0</v>
      </c>
      <c r="N164" s="53">
        <f t="shared" si="2"/>
        <v>0.125</v>
      </c>
      <c r="O164" s="30">
        <f t="shared" si="3"/>
        <v>3</v>
      </c>
      <c r="P164" s="30">
        <f t="shared" si="4"/>
        <v>30</v>
      </c>
      <c r="Q164" s="30">
        <f t="shared" si="5"/>
        <v>0.75</v>
      </c>
    </row>
    <row r="165" ht="15.75" customHeight="1">
      <c r="A165" s="17" t="s">
        <v>1068</v>
      </c>
      <c r="B165" s="17" t="s">
        <v>731</v>
      </c>
      <c r="C165" s="17" t="s">
        <v>273</v>
      </c>
      <c r="D165" s="17" t="s">
        <v>1069</v>
      </c>
      <c r="E165" s="55">
        <f t="shared" si="1"/>
        <v>1.025</v>
      </c>
      <c r="F165" s="17" t="s">
        <v>19</v>
      </c>
      <c r="G165" s="17" t="s">
        <v>750</v>
      </c>
      <c r="K165" s="54">
        <v>0.44635416666642413</v>
      </c>
      <c r="L165" s="54">
        <v>0.5713541666664241</v>
      </c>
      <c r="M165" s="18">
        <v>12.0</v>
      </c>
      <c r="N165" s="53">
        <f t="shared" si="2"/>
        <v>0.125</v>
      </c>
      <c r="O165" s="30">
        <f t="shared" si="3"/>
        <v>3</v>
      </c>
      <c r="P165" s="30">
        <f t="shared" si="4"/>
        <v>36</v>
      </c>
      <c r="Q165" s="30">
        <f t="shared" si="5"/>
        <v>0.9</v>
      </c>
    </row>
    <row r="166" ht="15.75" customHeight="1">
      <c r="A166" s="17" t="s">
        <v>1070</v>
      </c>
      <c r="B166" s="17" t="s">
        <v>731</v>
      </c>
      <c r="C166" s="17" t="s">
        <v>273</v>
      </c>
      <c r="D166" s="17" t="s">
        <v>1071</v>
      </c>
      <c r="E166" s="55">
        <f t="shared" si="1"/>
        <v>0.45</v>
      </c>
      <c r="F166" s="17" t="s">
        <v>19</v>
      </c>
      <c r="G166" s="17" t="s">
        <v>733</v>
      </c>
      <c r="K166" s="54">
        <v>0.2796874999985448</v>
      </c>
      <c r="L166" s="54">
        <v>0.3421874999985448</v>
      </c>
      <c r="M166" s="18">
        <v>12.0</v>
      </c>
      <c r="N166" s="53">
        <f t="shared" si="2"/>
        <v>0.0625</v>
      </c>
      <c r="O166" s="30">
        <f t="shared" si="3"/>
        <v>1.5</v>
      </c>
      <c r="P166" s="30">
        <f t="shared" si="4"/>
        <v>18</v>
      </c>
      <c r="Q166" s="30">
        <f t="shared" si="5"/>
        <v>0.45</v>
      </c>
    </row>
    <row r="167" ht="15.75" customHeight="1">
      <c r="A167" s="17" t="s">
        <v>1072</v>
      </c>
      <c r="B167" s="17" t="s">
        <v>731</v>
      </c>
      <c r="C167" s="17" t="s">
        <v>273</v>
      </c>
      <c r="D167" s="17" t="s">
        <v>1073</v>
      </c>
      <c r="E167" s="55">
        <f t="shared" si="1"/>
        <v>0.5</v>
      </c>
      <c r="F167" s="17" t="s">
        <v>19</v>
      </c>
      <c r="G167" s="17" t="s">
        <v>733</v>
      </c>
      <c r="K167" s="54">
        <v>0.44635416666642413</v>
      </c>
      <c r="L167" s="54">
        <v>0.5296874999985448</v>
      </c>
      <c r="M167" s="18">
        <v>10.0</v>
      </c>
      <c r="N167" s="53">
        <f t="shared" si="2"/>
        <v>0.08333333333</v>
      </c>
      <c r="O167" s="30">
        <f t="shared" si="3"/>
        <v>2</v>
      </c>
      <c r="P167" s="30">
        <f t="shared" si="4"/>
        <v>20</v>
      </c>
      <c r="Q167" s="30">
        <f t="shared" si="5"/>
        <v>0.5</v>
      </c>
    </row>
    <row r="168" ht="15.75" customHeight="1">
      <c r="A168" s="17" t="s">
        <v>1074</v>
      </c>
      <c r="B168" s="17" t="s">
        <v>731</v>
      </c>
      <c r="C168" s="17" t="s">
        <v>273</v>
      </c>
      <c r="D168" s="17" t="s">
        <v>1075</v>
      </c>
      <c r="E168" s="55">
        <f t="shared" si="1"/>
        <v>0.3</v>
      </c>
      <c r="F168" s="17" t="s">
        <v>19</v>
      </c>
      <c r="G168" s="17" t="s">
        <v>733</v>
      </c>
      <c r="K168" s="54">
        <v>0.44635416666642413</v>
      </c>
      <c r="L168" s="54">
        <v>0.5296874999985448</v>
      </c>
      <c r="M168" s="18">
        <v>6.0</v>
      </c>
      <c r="N168" s="53">
        <f t="shared" si="2"/>
        <v>0.08333333333</v>
      </c>
      <c r="O168" s="30">
        <f t="shared" si="3"/>
        <v>2</v>
      </c>
      <c r="P168" s="30">
        <f t="shared" si="4"/>
        <v>12</v>
      </c>
      <c r="Q168" s="30">
        <f t="shared" si="5"/>
        <v>0.3</v>
      </c>
    </row>
    <row r="169" ht="15.75" customHeight="1">
      <c r="A169" s="17" t="s">
        <v>1076</v>
      </c>
      <c r="B169" s="17" t="s">
        <v>731</v>
      </c>
      <c r="C169" s="17" t="s">
        <v>273</v>
      </c>
      <c r="D169" s="17" t="s">
        <v>1077</v>
      </c>
      <c r="E169" s="55">
        <f t="shared" si="1"/>
        <v>0.625</v>
      </c>
      <c r="F169" s="17" t="s">
        <v>19</v>
      </c>
      <c r="G169" s="17" t="s">
        <v>750</v>
      </c>
      <c r="K169" s="54">
        <v>0.48802083333430346</v>
      </c>
      <c r="L169" s="54">
        <v>0.5713541666664241</v>
      </c>
      <c r="M169" s="18">
        <v>10.0</v>
      </c>
      <c r="N169" s="53">
        <f t="shared" si="2"/>
        <v>0.08333333333</v>
      </c>
      <c r="O169" s="30">
        <f t="shared" si="3"/>
        <v>2</v>
      </c>
      <c r="P169" s="30">
        <f t="shared" si="4"/>
        <v>20</v>
      </c>
      <c r="Q169" s="30">
        <f t="shared" si="5"/>
        <v>0.5</v>
      </c>
    </row>
    <row r="170" ht="15.75" customHeight="1">
      <c r="A170" s="17" t="s">
        <v>1078</v>
      </c>
      <c r="B170" s="17" t="s">
        <v>731</v>
      </c>
      <c r="C170" s="17" t="s">
        <v>273</v>
      </c>
      <c r="D170" s="17" t="s">
        <v>1079</v>
      </c>
      <c r="E170" s="55">
        <f t="shared" si="1"/>
        <v>1.25</v>
      </c>
      <c r="F170" s="17" t="s">
        <v>19</v>
      </c>
      <c r="G170" s="17" t="s">
        <v>750</v>
      </c>
      <c r="K170" s="54">
        <v>0.2171874999985448</v>
      </c>
      <c r="L170" s="54">
        <v>0.4046874999985448</v>
      </c>
      <c r="M170" s="18">
        <v>10.0</v>
      </c>
      <c r="N170" s="53">
        <f t="shared" si="2"/>
        <v>0.1875</v>
      </c>
      <c r="O170" s="30">
        <f t="shared" si="3"/>
        <v>4.5</v>
      </c>
      <c r="P170" s="30">
        <f t="shared" si="4"/>
        <v>45</v>
      </c>
      <c r="Q170" s="30">
        <f t="shared" si="5"/>
        <v>1.125</v>
      </c>
    </row>
    <row r="171" ht="15.75" customHeight="1">
      <c r="A171" s="17" t="s">
        <v>1080</v>
      </c>
      <c r="B171" s="17" t="s">
        <v>731</v>
      </c>
      <c r="C171" s="17" t="s">
        <v>273</v>
      </c>
      <c r="D171" s="17" t="s">
        <v>1081</v>
      </c>
      <c r="E171" s="55">
        <f t="shared" si="1"/>
        <v>0.425</v>
      </c>
      <c r="F171" s="17" t="s">
        <v>19</v>
      </c>
      <c r="G171" s="17" t="s">
        <v>750</v>
      </c>
      <c r="K171" s="54">
        <v>0.44635416666642413</v>
      </c>
      <c r="L171" s="54">
        <v>0.5713541666664241</v>
      </c>
      <c r="M171" s="18">
        <v>4.0</v>
      </c>
      <c r="N171" s="53">
        <f t="shared" si="2"/>
        <v>0.125</v>
      </c>
      <c r="O171" s="30">
        <f t="shared" si="3"/>
        <v>3</v>
      </c>
      <c r="P171" s="30">
        <f t="shared" si="4"/>
        <v>12</v>
      </c>
      <c r="Q171" s="30">
        <f t="shared" si="5"/>
        <v>0.3</v>
      </c>
    </row>
    <row r="172" ht="15.75" customHeight="1">
      <c r="A172" s="17" t="s">
        <v>1082</v>
      </c>
      <c r="B172" s="17" t="s">
        <v>731</v>
      </c>
      <c r="C172" s="17" t="s">
        <v>273</v>
      </c>
      <c r="D172" s="17" t="s">
        <v>1081</v>
      </c>
      <c r="E172" s="55">
        <f t="shared" si="1"/>
        <v>0.3</v>
      </c>
      <c r="F172" s="17" t="s">
        <v>19</v>
      </c>
      <c r="G172" s="17" t="s">
        <v>733</v>
      </c>
      <c r="K172" s="54">
        <v>0.48802083333430346</v>
      </c>
      <c r="L172" s="54">
        <v>0.5713541666664241</v>
      </c>
      <c r="M172" s="18">
        <v>6.0</v>
      </c>
      <c r="N172" s="53">
        <f t="shared" si="2"/>
        <v>0.08333333333</v>
      </c>
      <c r="O172" s="30">
        <f t="shared" si="3"/>
        <v>2</v>
      </c>
      <c r="P172" s="30">
        <f t="shared" si="4"/>
        <v>12</v>
      </c>
      <c r="Q172" s="30">
        <f t="shared" si="5"/>
        <v>0.3</v>
      </c>
    </row>
    <row r="173" ht="15.75" customHeight="1">
      <c r="A173" s="17" t="s">
        <v>1083</v>
      </c>
      <c r="B173" s="17" t="s">
        <v>731</v>
      </c>
      <c r="C173" s="17" t="s">
        <v>273</v>
      </c>
      <c r="D173" s="17" t="s">
        <v>1084</v>
      </c>
      <c r="E173" s="55">
        <f t="shared" si="1"/>
        <v>0.425</v>
      </c>
      <c r="F173" s="17" t="s">
        <v>19</v>
      </c>
      <c r="G173" s="17" t="s">
        <v>750</v>
      </c>
      <c r="K173" s="54">
        <v>0.44635416666642413</v>
      </c>
      <c r="L173" s="54">
        <v>0.5713541666664241</v>
      </c>
      <c r="M173" s="18">
        <v>4.0</v>
      </c>
      <c r="N173" s="53">
        <f t="shared" si="2"/>
        <v>0.125</v>
      </c>
      <c r="O173" s="30">
        <f t="shared" si="3"/>
        <v>3</v>
      </c>
      <c r="P173" s="30">
        <f t="shared" si="4"/>
        <v>12</v>
      </c>
      <c r="Q173" s="30">
        <f t="shared" si="5"/>
        <v>0.3</v>
      </c>
    </row>
    <row r="174" ht="15.75" customHeight="1">
      <c r="A174" s="17" t="s">
        <v>1085</v>
      </c>
      <c r="B174" s="17" t="s">
        <v>731</v>
      </c>
      <c r="C174" s="17" t="s">
        <v>273</v>
      </c>
      <c r="D174" s="17" t="s">
        <v>1086</v>
      </c>
      <c r="E174" s="55">
        <f t="shared" si="1"/>
        <v>0.3</v>
      </c>
      <c r="F174" s="17" t="s">
        <v>19</v>
      </c>
      <c r="G174" s="17" t="s">
        <v>733</v>
      </c>
      <c r="K174" s="54">
        <v>0.48802083333430346</v>
      </c>
      <c r="L174" s="54">
        <v>0.5713541666664241</v>
      </c>
      <c r="M174" s="18">
        <v>6.0</v>
      </c>
      <c r="N174" s="53">
        <f t="shared" si="2"/>
        <v>0.08333333333</v>
      </c>
      <c r="O174" s="30">
        <f t="shared" si="3"/>
        <v>2</v>
      </c>
      <c r="P174" s="30">
        <f t="shared" si="4"/>
        <v>12</v>
      </c>
      <c r="Q174" s="30">
        <f t="shared" si="5"/>
        <v>0.3</v>
      </c>
    </row>
    <row r="175" ht="15.75" customHeight="1">
      <c r="A175" s="17" t="s">
        <v>1087</v>
      </c>
      <c r="B175" s="17" t="s">
        <v>731</v>
      </c>
      <c r="C175" s="17" t="s">
        <v>273</v>
      </c>
      <c r="D175" s="17" t="s">
        <v>1088</v>
      </c>
      <c r="E175" s="55">
        <f t="shared" si="1"/>
        <v>0.625</v>
      </c>
      <c r="F175" s="17" t="s">
        <v>19</v>
      </c>
      <c r="G175" s="17" t="s">
        <v>733</v>
      </c>
      <c r="K175" s="54">
        <v>0.4671874999985448</v>
      </c>
      <c r="L175" s="54">
        <v>0.5713541666664241</v>
      </c>
      <c r="M175" s="18">
        <v>10.0</v>
      </c>
      <c r="N175" s="53">
        <f t="shared" si="2"/>
        <v>0.1041666667</v>
      </c>
      <c r="O175" s="30">
        <f t="shared" si="3"/>
        <v>2.5</v>
      </c>
      <c r="P175" s="30">
        <f t="shared" si="4"/>
        <v>25</v>
      </c>
      <c r="Q175" s="30">
        <f t="shared" si="5"/>
        <v>0.625</v>
      </c>
    </row>
    <row r="176" ht="15.75" customHeight="1">
      <c r="A176" s="17" t="s">
        <v>1089</v>
      </c>
      <c r="B176" s="17" t="s">
        <v>731</v>
      </c>
      <c r="C176" s="17" t="s">
        <v>273</v>
      </c>
      <c r="D176" s="17" t="s">
        <v>1090</v>
      </c>
      <c r="E176" s="55">
        <f t="shared" si="1"/>
        <v>0.425</v>
      </c>
      <c r="F176" s="17" t="s">
        <v>19</v>
      </c>
      <c r="G176" s="17" t="s">
        <v>750</v>
      </c>
      <c r="K176" s="54">
        <v>0.19635416666642413</v>
      </c>
      <c r="L176" s="54">
        <v>0.32135416666642413</v>
      </c>
      <c r="M176" s="18">
        <v>4.0</v>
      </c>
      <c r="N176" s="53">
        <f t="shared" si="2"/>
        <v>0.125</v>
      </c>
      <c r="O176" s="30">
        <f t="shared" si="3"/>
        <v>3</v>
      </c>
      <c r="P176" s="30">
        <f t="shared" si="4"/>
        <v>12</v>
      </c>
      <c r="Q176" s="30">
        <f t="shared" si="5"/>
        <v>0.3</v>
      </c>
    </row>
    <row r="177" ht="15.75" customHeight="1">
      <c r="A177" s="17" t="s">
        <v>1091</v>
      </c>
      <c r="B177" s="17" t="s">
        <v>731</v>
      </c>
      <c r="C177" s="17" t="s">
        <v>273</v>
      </c>
      <c r="D177" s="17" t="s">
        <v>1092</v>
      </c>
      <c r="E177" s="55">
        <f t="shared" si="1"/>
        <v>0.625</v>
      </c>
      <c r="F177" s="17" t="s">
        <v>19</v>
      </c>
      <c r="G177" s="17" t="s">
        <v>733</v>
      </c>
      <c r="K177" s="54">
        <v>0.4671874999985448</v>
      </c>
      <c r="L177" s="54">
        <v>0.5713541666664241</v>
      </c>
      <c r="M177" s="18">
        <v>10.0</v>
      </c>
      <c r="N177" s="53">
        <f t="shared" si="2"/>
        <v>0.1041666667</v>
      </c>
      <c r="O177" s="30">
        <f t="shared" si="3"/>
        <v>2.5</v>
      </c>
      <c r="P177" s="30">
        <f t="shared" si="4"/>
        <v>25</v>
      </c>
      <c r="Q177" s="30">
        <f t="shared" si="5"/>
        <v>0.625</v>
      </c>
    </row>
    <row r="178" ht="15.75" customHeight="1">
      <c r="A178" s="17" t="s">
        <v>1093</v>
      </c>
      <c r="B178" s="17" t="s">
        <v>731</v>
      </c>
      <c r="C178" s="17" t="s">
        <v>273</v>
      </c>
      <c r="D178" s="17" t="s">
        <v>1094</v>
      </c>
      <c r="E178" s="55">
        <f t="shared" si="1"/>
        <v>0.35</v>
      </c>
      <c r="F178" s="17" t="s">
        <v>19</v>
      </c>
      <c r="G178" s="17" t="s">
        <v>750</v>
      </c>
      <c r="K178" s="54">
        <v>0.4671874999985448</v>
      </c>
      <c r="L178" s="54">
        <v>0.5296874999985448</v>
      </c>
      <c r="M178" s="18">
        <v>6.0</v>
      </c>
      <c r="N178" s="53">
        <f t="shared" si="2"/>
        <v>0.0625</v>
      </c>
      <c r="O178" s="30">
        <f t="shared" si="3"/>
        <v>1.5</v>
      </c>
      <c r="P178" s="30">
        <f t="shared" si="4"/>
        <v>9</v>
      </c>
      <c r="Q178" s="30">
        <f t="shared" si="5"/>
        <v>0.225</v>
      </c>
    </row>
    <row r="179" ht="15.75" customHeight="1">
      <c r="A179" s="17" t="s">
        <v>1095</v>
      </c>
      <c r="B179" s="17" t="s">
        <v>731</v>
      </c>
      <c r="C179" s="17" t="s">
        <v>273</v>
      </c>
      <c r="D179" s="17" t="s">
        <v>1096</v>
      </c>
      <c r="E179" s="55">
        <f t="shared" si="1"/>
        <v>0.35</v>
      </c>
      <c r="F179" s="17" t="s">
        <v>19</v>
      </c>
      <c r="G179" s="17" t="s">
        <v>750</v>
      </c>
      <c r="K179" s="54">
        <v>0.4671874999985448</v>
      </c>
      <c r="L179" s="54">
        <v>0.5296874999985448</v>
      </c>
      <c r="M179" s="18">
        <v>6.0</v>
      </c>
      <c r="N179" s="53">
        <f t="shared" si="2"/>
        <v>0.0625</v>
      </c>
      <c r="O179" s="30">
        <f t="shared" si="3"/>
        <v>1.5</v>
      </c>
      <c r="P179" s="30">
        <f t="shared" si="4"/>
        <v>9</v>
      </c>
      <c r="Q179" s="30">
        <f t="shared" si="5"/>
        <v>0.225</v>
      </c>
    </row>
    <row r="180" ht="15.75" customHeight="1">
      <c r="A180" s="17" t="s">
        <v>1097</v>
      </c>
      <c r="B180" s="17" t="s">
        <v>731</v>
      </c>
      <c r="C180" s="17" t="s">
        <v>273</v>
      </c>
      <c r="D180" s="17" t="s">
        <v>1098</v>
      </c>
      <c r="E180" s="55">
        <f t="shared" si="1"/>
        <v>0.875</v>
      </c>
      <c r="F180" s="17" t="s">
        <v>19</v>
      </c>
      <c r="G180" s="17" t="s">
        <v>750</v>
      </c>
      <c r="K180" s="54">
        <v>0.48802083333430346</v>
      </c>
      <c r="L180" s="54">
        <v>0.6130208333343035</v>
      </c>
      <c r="M180" s="18">
        <v>10.0</v>
      </c>
      <c r="N180" s="53">
        <f t="shared" si="2"/>
        <v>0.125</v>
      </c>
      <c r="O180" s="30">
        <f t="shared" si="3"/>
        <v>3</v>
      </c>
      <c r="P180" s="30">
        <f t="shared" si="4"/>
        <v>30</v>
      </c>
      <c r="Q180" s="30">
        <f t="shared" si="5"/>
        <v>0.75</v>
      </c>
    </row>
    <row r="181" ht="15.75" customHeight="1">
      <c r="A181" s="17" t="s">
        <v>1099</v>
      </c>
      <c r="B181" s="17" t="s">
        <v>731</v>
      </c>
      <c r="C181" s="17" t="s">
        <v>273</v>
      </c>
      <c r="D181" s="17" t="s">
        <v>1100</v>
      </c>
      <c r="E181" s="55">
        <f t="shared" si="1"/>
        <v>0.425</v>
      </c>
      <c r="F181" s="17" t="s">
        <v>19</v>
      </c>
      <c r="G181" s="17" t="s">
        <v>750</v>
      </c>
      <c r="K181" s="54">
        <v>0.48802083333430346</v>
      </c>
      <c r="L181" s="54">
        <v>0.5713541666664241</v>
      </c>
      <c r="M181" s="18">
        <v>6.0</v>
      </c>
      <c r="N181" s="53">
        <f t="shared" si="2"/>
        <v>0.08333333333</v>
      </c>
      <c r="O181" s="30">
        <f t="shared" si="3"/>
        <v>2</v>
      </c>
      <c r="P181" s="30">
        <f t="shared" si="4"/>
        <v>12</v>
      </c>
      <c r="Q181" s="30">
        <f t="shared" si="5"/>
        <v>0.3</v>
      </c>
    </row>
    <row r="182" ht="15.75" customHeight="1">
      <c r="A182" s="17" t="s">
        <v>1101</v>
      </c>
      <c r="B182" s="17" t="s">
        <v>731</v>
      </c>
      <c r="C182" s="17" t="s">
        <v>273</v>
      </c>
      <c r="D182" s="17" t="s">
        <v>1102</v>
      </c>
      <c r="E182" s="55">
        <f t="shared" si="1"/>
        <v>0.5</v>
      </c>
      <c r="F182" s="17" t="s">
        <v>19</v>
      </c>
      <c r="G182" s="17" t="s">
        <v>750</v>
      </c>
      <c r="K182" s="54">
        <v>0.4671874999985448</v>
      </c>
      <c r="L182" s="54">
        <v>0.5713541666664241</v>
      </c>
      <c r="M182" s="18">
        <v>6.0</v>
      </c>
      <c r="N182" s="53">
        <f t="shared" si="2"/>
        <v>0.1041666667</v>
      </c>
      <c r="O182" s="30">
        <f t="shared" si="3"/>
        <v>2.5</v>
      </c>
      <c r="P182" s="30">
        <f t="shared" si="4"/>
        <v>15</v>
      </c>
      <c r="Q182" s="30">
        <f t="shared" si="5"/>
        <v>0.375</v>
      </c>
    </row>
    <row r="183" ht="15.75" customHeight="1">
      <c r="A183" s="17" t="s">
        <v>1103</v>
      </c>
      <c r="B183" s="17" t="s">
        <v>731</v>
      </c>
      <c r="C183" s="17" t="s">
        <v>273</v>
      </c>
      <c r="D183" s="17" t="s">
        <v>1104</v>
      </c>
      <c r="E183" s="55">
        <f t="shared" si="1"/>
        <v>0.325</v>
      </c>
      <c r="F183" s="17" t="s">
        <v>19</v>
      </c>
      <c r="G183" s="17" t="s">
        <v>750</v>
      </c>
      <c r="K183" s="54">
        <v>0.4671874999985448</v>
      </c>
      <c r="L183" s="54">
        <v>0.5505208333343035</v>
      </c>
      <c r="M183" s="18">
        <v>4.0</v>
      </c>
      <c r="N183" s="53">
        <f t="shared" si="2"/>
        <v>0.08333333334</v>
      </c>
      <c r="O183" s="30">
        <f t="shared" si="3"/>
        <v>2</v>
      </c>
      <c r="P183" s="30">
        <f t="shared" si="4"/>
        <v>8</v>
      </c>
      <c r="Q183" s="30">
        <f t="shared" si="5"/>
        <v>0.2</v>
      </c>
    </row>
    <row r="184" ht="15.75" customHeight="1">
      <c r="A184" s="17" t="s">
        <v>1105</v>
      </c>
      <c r="B184" s="17" t="s">
        <v>731</v>
      </c>
      <c r="C184" s="17" t="s">
        <v>273</v>
      </c>
      <c r="D184" s="17" t="s">
        <v>1106</v>
      </c>
      <c r="E184" s="55">
        <f t="shared" si="1"/>
        <v>0.575</v>
      </c>
      <c r="F184" s="17" t="s">
        <v>19</v>
      </c>
      <c r="G184" s="17" t="s">
        <v>750</v>
      </c>
      <c r="K184" s="54">
        <v>0.4671874999985448</v>
      </c>
      <c r="L184" s="54">
        <v>0.5921874999985448</v>
      </c>
      <c r="M184" s="18">
        <v>6.0</v>
      </c>
      <c r="N184" s="53">
        <f t="shared" si="2"/>
        <v>0.125</v>
      </c>
      <c r="O184" s="30">
        <f t="shared" si="3"/>
        <v>3</v>
      </c>
      <c r="P184" s="30">
        <f t="shared" si="4"/>
        <v>18</v>
      </c>
      <c r="Q184" s="30">
        <f t="shared" si="5"/>
        <v>0.45</v>
      </c>
    </row>
    <row r="185" ht="15.75" customHeight="1">
      <c r="A185" s="17" t="s">
        <v>1107</v>
      </c>
      <c r="B185" s="17" t="s">
        <v>731</v>
      </c>
      <c r="C185" s="17" t="s">
        <v>273</v>
      </c>
      <c r="D185" s="17" t="s">
        <v>1108</v>
      </c>
      <c r="E185" s="55">
        <f t="shared" si="1"/>
        <v>0.3</v>
      </c>
      <c r="F185" s="17" t="s">
        <v>19</v>
      </c>
      <c r="G185" s="17" t="s">
        <v>733</v>
      </c>
      <c r="K185" s="54">
        <v>0.32135416666642413</v>
      </c>
      <c r="L185" s="54">
        <v>0.4046874999985448</v>
      </c>
      <c r="M185" s="18">
        <v>6.0</v>
      </c>
      <c r="N185" s="53">
        <f t="shared" si="2"/>
        <v>0.08333333333</v>
      </c>
      <c r="O185" s="30">
        <f t="shared" si="3"/>
        <v>2</v>
      </c>
      <c r="P185" s="30">
        <f t="shared" si="4"/>
        <v>12</v>
      </c>
      <c r="Q185" s="30">
        <f t="shared" si="5"/>
        <v>0.3</v>
      </c>
    </row>
    <row r="186" ht="15.75" customHeight="1">
      <c r="A186" s="17" t="s">
        <v>1109</v>
      </c>
      <c r="B186" s="17" t="s">
        <v>731</v>
      </c>
      <c r="C186" s="17" t="s">
        <v>273</v>
      </c>
      <c r="D186" s="17" t="s">
        <v>1110</v>
      </c>
      <c r="E186" s="55">
        <f t="shared" si="1"/>
        <v>0.6</v>
      </c>
      <c r="F186" s="17" t="s">
        <v>19</v>
      </c>
      <c r="G186" s="17" t="s">
        <v>733</v>
      </c>
      <c r="K186" s="54">
        <v>0.32135416666642413</v>
      </c>
      <c r="L186" s="54">
        <v>0.4046874999985448</v>
      </c>
      <c r="M186" s="18">
        <v>12.0</v>
      </c>
      <c r="N186" s="53">
        <f t="shared" si="2"/>
        <v>0.08333333333</v>
      </c>
      <c r="O186" s="30">
        <f t="shared" si="3"/>
        <v>2</v>
      </c>
      <c r="P186" s="30">
        <f t="shared" si="4"/>
        <v>24</v>
      </c>
      <c r="Q186" s="30">
        <f t="shared" si="5"/>
        <v>0.6</v>
      </c>
    </row>
    <row r="187" ht="15.75" customHeight="1">
      <c r="A187" s="17" t="s">
        <v>1111</v>
      </c>
      <c r="B187" s="17" t="s">
        <v>731</v>
      </c>
      <c r="C187" s="17" t="s">
        <v>273</v>
      </c>
      <c r="D187" s="17" t="s">
        <v>1112</v>
      </c>
      <c r="E187" s="55">
        <f t="shared" si="1"/>
        <v>0.875</v>
      </c>
      <c r="F187" s="17" t="s">
        <v>19</v>
      </c>
      <c r="G187" s="17" t="s">
        <v>750</v>
      </c>
      <c r="K187" s="54">
        <v>0.23802083333430346</v>
      </c>
      <c r="L187" s="54">
        <v>0.36302083333430346</v>
      </c>
      <c r="M187" s="18">
        <v>10.0</v>
      </c>
      <c r="N187" s="53">
        <f t="shared" si="2"/>
        <v>0.125</v>
      </c>
      <c r="O187" s="30">
        <f t="shared" si="3"/>
        <v>3</v>
      </c>
      <c r="P187" s="30">
        <f t="shared" si="4"/>
        <v>30</v>
      </c>
      <c r="Q187" s="30">
        <f t="shared" si="5"/>
        <v>0.75</v>
      </c>
    </row>
    <row r="188" ht="15.75" customHeight="1">
      <c r="A188" s="17" t="s">
        <v>1113</v>
      </c>
      <c r="B188" s="17" t="s">
        <v>731</v>
      </c>
      <c r="C188" s="17" t="s">
        <v>273</v>
      </c>
      <c r="D188" s="17" t="s">
        <v>1114</v>
      </c>
      <c r="E188" s="55">
        <f t="shared" si="1"/>
        <v>0.425</v>
      </c>
      <c r="F188" s="17" t="s">
        <v>19</v>
      </c>
      <c r="G188" s="17" t="s">
        <v>750</v>
      </c>
      <c r="K188" s="54">
        <v>0.23802083333430346</v>
      </c>
      <c r="L188" s="54">
        <v>0.32135416666642413</v>
      </c>
      <c r="M188" s="18">
        <v>6.0</v>
      </c>
      <c r="N188" s="53">
        <f t="shared" si="2"/>
        <v>0.08333333333</v>
      </c>
      <c r="O188" s="30">
        <f t="shared" si="3"/>
        <v>2</v>
      </c>
      <c r="P188" s="30">
        <f t="shared" si="4"/>
        <v>12</v>
      </c>
      <c r="Q188" s="30">
        <f t="shared" si="5"/>
        <v>0.3</v>
      </c>
    </row>
    <row r="189" ht="15.75" customHeight="1">
      <c r="A189" s="17" t="s">
        <v>1115</v>
      </c>
      <c r="B189" s="17" t="s">
        <v>731</v>
      </c>
      <c r="C189" s="17" t="s">
        <v>273</v>
      </c>
      <c r="D189" s="17" t="s">
        <v>1116</v>
      </c>
      <c r="E189" s="55">
        <f t="shared" si="1"/>
        <v>0.5</v>
      </c>
      <c r="F189" s="17" t="s">
        <v>19</v>
      </c>
      <c r="G189" s="17" t="s">
        <v>733</v>
      </c>
      <c r="K189" s="54">
        <v>0.5296874999985448</v>
      </c>
      <c r="L189" s="54">
        <v>0.6130208333343035</v>
      </c>
      <c r="M189" s="18">
        <v>10.0</v>
      </c>
      <c r="N189" s="53">
        <f t="shared" si="2"/>
        <v>0.08333333334</v>
      </c>
      <c r="O189" s="30">
        <f t="shared" si="3"/>
        <v>2</v>
      </c>
      <c r="P189" s="30">
        <f t="shared" si="4"/>
        <v>20</v>
      </c>
      <c r="Q189" s="30">
        <f t="shared" si="5"/>
        <v>0.5</v>
      </c>
    </row>
    <row r="190" ht="15.75" customHeight="1">
      <c r="A190" s="17" t="s">
        <v>1117</v>
      </c>
      <c r="B190" s="17" t="s">
        <v>731</v>
      </c>
      <c r="C190" s="17" t="s">
        <v>273</v>
      </c>
      <c r="D190" s="17" t="s">
        <v>1118</v>
      </c>
      <c r="E190" s="55">
        <f t="shared" si="1"/>
        <v>0.875</v>
      </c>
      <c r="F190" s="17" t="s">
        <v>19</v>
      </c>
      <c r="G190" s="17" t="s">
        <v>750</v>
      </c>
      <c r="K190" s="54">
        <v>0.44635416666642413</v>
      </c>
      <c r="L190" s="54">
        <v>0.5713541666664241</v>
      </c>
      <c r="M190" s="18">
        <v>10.0</v>
      </c>
      <c r="N190" s="53">
        <f t="shared" si="2"/>
        <v>0.125</v>
      </c>
      <c r="O190" s="30">
        <f t="shared" si="3"/>
        <v>3</v>
      </c>
      <c r="P190" s="30">
        <f t="shared" si="4"/>
        <v>30</v>
      </c>
      <c r="Q190" s="30">
        <f t="shared" si="5"/>
        <v>0.75</v>
      </c>
    </row>
    <row r="191" ht="15.75" customHeight="1">
      <c r="A191" s="17" t="s">
        <v>1119</v>
      </c>
      <c r="B191" s="17" t="s">
        <v>731</v>
      </c>
      <c r="C191" s="17" t="s">
        <v>273</v>
      </c>
      <c r="D191" s="17" t="s">
        <v>1120</v>
      </c>
      <c r="E191" s="55">
        <f t="shared" si="1"/>
        <v>0.875</v>
      </c>
      <c r="F191" s="17" t="s">
        <v>19</v>
      </c>
      <c r="G191" s="17" t="s">
        <v>750</v>
      </c>
      <c r="K191" s="54">
        <v>0.48802083333430346</v>
      </c>
      <c r="L191" s="54">
        <v>0.6130208333343035</v>
      </c>
      <c r="M191" s="18">
        <v>10.0</v>
      </c>
      <c r="N191" s="53">
        <f t="shared" si="2"/>
        <v>0.125</v>
      </c>
      <c r="O191" s="30">
        <f t="shared" si="3"/>
        <v>3</v>
      </c>
      <c r="P191" s="30">
        <f t="shared" si="4"/>
        <v>30</v>
      </c>
      <c r="Q191" s="30">
        <f t="shared" si="5"/>
        <v>0.75</v>
      </c>
    </row>
    <row r="192" ht="15.75" customHeight="1">
      <c r="A192" s="17" t="s">
        <v>1121</v>
      </c>
      <c r="B192" s="17" t="s">
        <v>731</v>
      </c>
      <c r="C192" s="17" t="s">
        <v>273</v>
      </c>
      <c r="D192" s="17" t="s">
        <v>1122</v>
      </c>
      <c r="E192" s="55">
        <f t="shared" si="1"/>
        <v>0.75</v>
      </c>
      <c r="F192" s="17" t="s">
        <v>19</v>
      </c>
      <c r="G192" s="17" t="s">
        <v>733</v>
      </c>
      <c r="K192" s="54">
        <v>0.2796874999985448</v>
      </c>
      <c r="L192" s="54">
        <v>0.4046874999985448</v>
      </c>
      <c r="M192" s="18">
        <v>10.0</v>
      </c>
      <c r="N192" s="53">
        <f t="shared" si="2"/>
        <v>0.125</v>
      </c>
      <c r="O192" s="30">
        <f t="shared" si="3"/>
        <v>3</v>
      </c>
      <c r="P192" s="30">
        <f t="shared" si="4"/>
        <v>30</v>
      </c>
      <c r="Q192" s="30">
        <f t="shared" si="5"/>
        <v>0.75</v>
      </c>
    </row>
    <row r="193" ht="15.75" customHeight="1">
      <c r="A193" s="17" t="s">
        <v>1123</v>
      </c>
      <c r="B193" s="17" t="s">
        <v>731</v>
      </c>
      <c r="C193" s="17" t="s">
        <v>273</v>
      </c>
      <c r="D193" s="17" t="s">
        <v>1124</v>
      </c>
      <c r="E193" s="55">
        <f t="shared" si="1"/>
        <v>0.45</v>
      </c>
      <c r="F193" s="17" t="s">
        <v>19</v>
      </c>
      <c r="G193" s="17" t="s">
        <v>733</v>
      </c>
      <c r="K193" s="54">
        <v>0.36302083333430346</v>
      </c>
      <c r="L193" s="54">
        <v>0.42552083333430346</v>
      </c>
      <c r="M193" s="18">
        <v>12.0</v>
      </c>
      <c r="N193" s="53">
        <f t="shared" si="2"/>
        <v>0.0625</v>
      </c>
      <c r="O193" s="30">
        <f t="shared" si="3"/>
        <v>1.5</v>
      </c>
      <c r="P193" s="30">
        <f t="shared" si="4"/>
        <v>18</v>
      </c>
      <c r="Q193" s="30">
        <f t="shared" si="5"/>
        <v>0.45</v>
      </c>
    </row>
    <row r="194" ht="15.75" customHeight="1">
      <c r="A194" s="17" t="s">
        <v>1125</v>
      </c>
      <c r="B194" s="17" t="s">
        <v>731</v>
      </c>
      <c r="C194" s="17" t="s">
        <v>273</v>
      </c>
      <c r="D194" s="17" t="s">
        <v>1126</v>
      </c>
      <c r="E194" s="55">
        <f t="shared" si="1"/>
        <v>0.3</v>
      </c>
      <c r="F194" s="17" t="s">
        <v>19</v>
      </c>
      <c r="G194" s="17" t="s">
        <v>733</v>
      </c>
      <c r="K194" s="54">
        <v>0.2796874999985448</v>
      </c>
      <c r="L194" s="54">
        <v>0.36302083333430346</v>
      </c>
      <c r="M194" s="18">
        <v>6.0</v>
      </c>
      <c r="N194" s="53">
        <f t="shared" si="2"/>
        <v>0.08333333334</v>
      </c>
      <c r="O194" s="30">
        <f t="shared" si="3"/>
        <v>2</v>
      </c>
      <c r="P194" s="30">
        <f t="shared" si="4"/>
        <v>12</v>
      </c>
      <c r="Q194" s="30">
        <f t="shared" si="5"/>
        <v>0.3</v>
      </c>
    </row>
    <row r="195" ht="15.75" customHeight="1">
      <c r="A195" s="17" t="s">
        <v>1127</v>
      </c>
      <c r="B195" s="17" t="s">
        <v>731</v>
      </c>
      <c r="C195" s="17" t="s">
        <v>273</v>
      </c>
      <c r="D195" s="17" t="s">
        <v>1128</v>
      </c>
      <c r="E195" s="55">
        <f t="shared" si="1"/>
        <v>0.75</v>
      </c>
      <c r="F195" s="17" t="s">
        <v>19</v>
      </c>
      <c r="G195" s="17" t="s">
        <v>733</v>
      </c>
      <c r="K195" s="54">
        <v>0.2796874999985448</v>
      </c>
      <c r="L195" s="54">
        <v>0.4046874999985448</v>
      </c>
      <c r="M195" s="18">
        <v>10.0</v>
      </c>
      <c r="N195" s="53">
        <f t="shared" si="2"/>
        <v>0.125</v>
      </c>
      <c r="O195" s="30">
        <f t="shared" si="3"/>
        <v>3</v>
      </c>
      <c r="P195" s="30">
        <f t="shared" si="4"/>
        <v>30</v>
      </c>
      <c r="Q195" s="30">
        <f t="shared" si="5"/>
        <v>0.75</v>
      </c>
    </row>
    <row r="196" ht="15.75" customHeight="1">
      <c r="A196" s="17" t="s">
        <v>1129</v>
      </c>
      <c r="B196" s="17" t="s">
        <v>731</v>
      </c>
      <c r="C196" s="17" t="s">
        <v>273</v>
      </c>
      <c r="D196" s="17" t="s">
        <v>1130</v>
      </c>
      <c r="E196" s="55">
        <f t="shared" si="1"/>
        <v>0.875</v>
      </c>
      <c r="F196" s="17" t="s">
        <v>19</v>
      </c>
      <c r="G196" s="17" t="s">
        <v>750</v>
      </c>
      <c r="K196" s="54">
        <v>0.19635416666642413</v>
      </c>
      <c r="L196" s="54">
        <v>0.4046874999985448</v>
      </c>
      <c r="M196" s="18">
        <v>6.0</v>
      </c>
      <c r="N196" s="53">
        <f t="shared" si="2"/>
        <v>0.2083333333</v>
      </c>
      <c r="O196" s="30">
        <f t="shared" si="3"/>
        <v>5</v>
      </c>
      <c r="P196" s="30">
        <f t="shared" si="4"/>
        <v>30</v>
      </c>
      <c r="Q196" s="30">
        <f t="shared" si="5"/>
        <v>0.75</v>
      </c>
    </row>
    <row r="197" ht="15.75" customHeight="1">
      <c r="A197" s="17" t="s">
        <v>1131</v>
      </c>
      <c r="B197" s="17" t="s">
        <v>731</v>
      </c>
      <c r="C197" s="17" t="s">
        <v>273</v>
      </c>
      <c r="D197" s="17" t="s">
        <v>1132</v>
      </c>
      <c r="E197" s="55">
        <f t="shared" si="1"/>
        <v>0.9</v>
      </c>
      <c r="F197" s="17" t="s">
        <v>19</v>
      </c>
      <c r="G197" s="17" t="s">
        <v>733</v>
      </c>
      <c r="K197" s="54">
        <v>0.32135416666642413</v>
      </c>
      <c r="L197" s="54">
        <v>0.44635416666642413</v>
      </c>
      <c r="M197" s="18">
        <v>12.0</v>
      </c>
      <c r="N197" s="53">
        <f t="shared" si="2"/>
        <v>0.125</v>
      </c>
      <c r="O197" s="30">
        <f t="shared" si="3"/>
        <v>3</v>
      </c>
      <c r="P197" s="30">
        <f t="shared" si="4"/>
        <v>36</v>
      </c>
      <c r="Q197" s="30">
        <f t="shared" si="5"/>
        <v>0.9</v>
      </c>
    </row>
    <row r="198" ht="15.75" customHeight="1">
      <c r="A198" s="17" t="s">
        <v>1133</v>
      </c>
      <c r="B198" s="17" t="s">
        <v>731</v>
      </c>
      <c r="C198" s="17" t="s">
        <v>273</v>
      </c>
      <c r="D198" s="17" t="s">
        <v>1134</v>
      </c>
      <c r="E198" s="55">
        <f t="shared" si="1"/>
        <v>0.5</v>
      </c>
      <c r="F198" s="17" t="s">
        <v>19</v>
      </c>
      <c r="G198" s="17" t="s">
        <v>733</v>
      </c>
      <c r="K198" s="54">
        <v>0.32135416666642413</v>
      </c>
      <c r="L198" s="54">
        <v>0.4046874999985448</v>
      </c>
      <c r="M198" s="18">
        <v>10.0</v>
      </c>
      <c r="N198" s="53">
        <f t="shared" si="2"/>
        <v>0.08333333333</v>
      </c>
      <c r="O198" s="30">
        <f t="shared" si="3"/>
        <v>2</v>
      </c>
      <c r="P198" s="30">
        <f t="shared" si="4"/>
        <v>20</v>
      </c>
      <c r="Q198" s="30">
        <f t="shared" si="5"/>
        <v>0.5</v>
      </c>
    </row>
    <row r="199" ht="15.75" customHeight="1">
      <c r="A199" s="17" t="s">
        <v>1135</v>
      </c>
      <c r="B199" s="17" t="s">
        <v>731</v>
      </c>
      <c r="C199" s="17" t="s">
        <v>273</v>
      </c>
      <c r="D199" s="17" t="s">
        <v>1136</v>
      </c>
      <c r="E199" s="55">
        <f t="shared" si="1"/>
        <v>0.875</v>
      </c>
      <c r="F199" s="17" t="s">
        <v>19</v>
      </c>
      <c r="G199" s="17" t="s">
        <v>750</v>
      </c>
      <c r="K199" s="54">
        <v>0.44635416666642413</v>
      </c>
      <c r="L199" s="54">
        <v>0.5713541666664241</v>
      </c>
      <c r="M199" s="18">
        <v>10.0</v>
      </c>
      <c r="N199" s="53">
        <f t="shared" si="2"/>
        <v>0.125</v>
      </c>
      <c r="O199" s="30">
        <f t="shared" si="3"/>
        <v>3</v>
      </c>
      <c r="P199" s="30">
        <f t="shared" si="4"/>
        <v>30</v>
      </c>
      <c r="Q199" s="30">
        <f t="shared" si="5"/>
        <v>0.75</v>
      </c>
    </row>
    <row r="200" ht="15.75" customHeight="1">
      <c r="A200" s="17" t="s">
        <v>1137</v>
      </c>
      <c r="B200" s="17" t="s">
        <v>731</v>
      </c>
      <c r="C200" s="17" t="s">
        <v>273</v>
      </c>
      <c r="D200" s="17" t="s">
        <v>1138</v>
      </c>
      <c r="E200" s="55">
        <f t="shared" si="1"/>
        <v>1.025</v>
      </c>
      <c r="F200" s="17" t="s">
        <v>19</v>
      </c>
      <c r="G200" s="17" t="s">
        <v>750</v>
      </c>
      <c r="K200" s="54">
        <v>0.44635416666642413</v>
      </c>
      <c r="L200" s="54">
        <v>0.5713541666664241</v>
      </c>
      <c r="M200" s="18">
        <v>12.0</v>
      </c>
      <c r="N200" s="53">
        <f t="shared" si="2"/>
        <v>0.125</v>
      </c>
      <c r="O200" s="30">
        <f t="shared" si="3"/>
        <v>3</v>
      </c>
      <c r="P200" s="30">
        <f t="shared" si="4"/>
        <v>36</v>
      </c>
      <c r="Q200" s="30">
        <f t="shared" si="5"/>
        <v>0.9</v>
      </c>
    </row>
    <row r="201" ht="15.75" customHeight="1">
      <c r="A201" s="17" t="s">
        <v>1139</v>
      </c>
      <c r="B201" s="17" t="s">
        <v>731</v>
      </c>
      <c r="C201" s="17" t="s">
        <v>273</v>
      </c>
      <c r="D201" s="17" t="s">
        <v>1140</v>
      </c>
      <c r="E201" s="55">
        <f t="shared" si="1"/>
        <v>0.575</v>
      </c>
      <c r="F201" s="17" t="s">
        <v>19</v>
      </c>
      <c r="G201" s="17" t="s">
        <v>750</v>
      </c>
      <c r="K201" s="54">
        <v>0.32135416666642413</v>
      </c>
      <c r="L201" s="54">
        <v>0.44635416666642413</v>
      </c>
      <c r="M201" s="18">
        <v>6.0</v>
      </c>
      <c r="N201" s="53">
        <f t="shared" si="2"/>
        <v>0.125</v>
      </c>
      <c r="O201" s="30">
        <f t="shared" si="3"/>
        <v>3</v>
      </c>
      <c r="P201" s="30">
        <f t="shared" si="4"/>
        <v>18</v>
      </c>
      <c r="Q201" s="30">
        <f t="shared" si="5"/>
        <v>0.45</v>
      </c>
    </row>
    <row r="202" ht="15.75" customHeight="1">
      <c r="A202" s="17" t="s">
        <v>1141</v>
      </c>
      <c r="B202" s="17" t="s">
        <v>731</v>
      </c>
      <c r="C202" s="17" t="s">
        <v>273</v>
      </c>
      <c r="D202" s="17" t="s">
        <v>1142</v>
      </c>
      <c r="E202" s="55">
        <f t="shared" si="1"/>
        <v>1.475</v>
      </c>
      <c r="F202" s="17" t="s">
        <v>19</v>
      </c>
      <c r="G202" s="17" t="s">
        <v>750</v>
      </c>
      <c r="K202" s="54">
        <v>0.19635416666642413</v>
      </c>
      <c r="L202" s="54">
        <v>0.5713541666664241</v>
      </c>
      <c r="M202" s="18">
        <v>6.0</v>
      </c>
      <c r="N202" s="53">
        <f t="shared" si="2"/>
        <v>0.375</v>
      </c>
      <c r="O202" s="30">
        <f t="shared" si="3"/>
        <v>9</v>
      </c>
      <c r="P202" s="30">
        <f t="shared" si="4"/>
        <v>54</v>
      </c>
      <c r="Q202" s="30">
        <f t="shared" si="5"/>
        <v>1.35</v>
      </c>
    </row>
    <row r="203" ht="15.75" customHeight="1">
      <c r="A203" s="17" t="s">
        <v>1143</v>
      </c>
      <c r="B203" s="17" t="s">
        <v>731</v>
      </c>
      <c r="C203" s="17" t="s">
        <v>273</v>
      </c>
      <c r="D203" s="17" t="s">
        <v>1144</v>
      </c>
      <c r="E203" s="55">
        <f t="shared" si="1"/>
        <v>0.875</v>
      </c>
      <c r="F203" s="17" t="s">
        <v>19</v>
      </c>
      <c r="G203" s="17" t="s">
        <v>750</v>
      </c>
      <c r="K203" s="54">
        <v>0.44635416666642413</v>
      </c>
      <c r="L203" s="54">
        <v>0.5713541666664241</v>
      </c>
      <c r="M203" s="18">
        <v>10.0</v>
      </c>
      <c r="N203" s="53">
        <f t="shared" si="2"/>
        <v>0.125</v>
      </c>
      <c r="O203" s="30">
        <f t="shared" si="3"/>
        <v>3</v>
      </c>
      <c r="P203" s="30">
        <f t="shared" si="4"/>
        <v>30</v>
      </c>
      <c r="Q203" s="30">
        <f t="shared" si="5"/>
        <v>0.75</v>
      </c>
    </row>
    <row r="204" ht="15.75" customHeight="1">
      <c r="A204" s="17" t="s">
        <v>1145</v>
      </c>
      <c r="B204" s="17" t="s">
        <v>731</v>
      </c>
      <c r="C204" s="17" t="s">
        <v>273</v>
      </c>
      <c r="D204" s="17" t="s">
        <v>1146</v>
      </c>
      <c r="E204" s="55">
        <f t="shared" si="1"/>
        <v>0.6</v>
      </c>
      <c r="F204" s="17" t="s">
        <v>19</v>
      </c>
      <c r="G204" s="17" t="s">
        <v>733</v>
      </c>
      <c r="K204" s="54">
        <v>0.44635416666642413</v>
      </c>
      <c r="L204" s="54">
        <v>0.5296874999985448</v>
      </c>
      <c r="M204" s="18">
        <v>12.0</v>
      </c>
      <c r="N204" s="53">
        <f t="shared" si="2"/>
        <v>0.08333333333</v>
      </c>
      <c r="O204" s="30">
        <f t="shared" si="3"/>
        <v>2</v>
      </c>
      <c r="P204" s="30">
        <f t="shared" si="4"/>
        <v>24</v>
      </c>
      <c r="Q204" s="30">
        <f t="shared" si="5"/>
        <v>0.6</v>
      </c>
    </row>
    <row r="205" ht="15.75" customHeight="1">
      <c r="A205" s="17" t="s">
        <v>1147</v>
      </c>
      <c r="B205" s="17" t="s">
        <v>731</v>
      </c>
      <c r="C205" s="17" t="s">
        <v>273</v>
      </c>
      <c r="D205" s="17" t="s">
        <v>1148</v>
      </c>
      <c r="E205" s="55">
        <f t="shared" si="1"/>
        <v>0.3</v>
      </c>
      <c r="F205" s="17" t="s">
        <v>19</v>
      </c>
      <c r="G205" s="17" t="s">
        <v>733</v>
      </c>
      <c r="K205" s="54">
        <v>0.44635416666642413</v>
      </c>
      <c r="L205" s="54">
        <v>0.48802083333430346</v>
      </c>
      <c r="M205" s="18">
        <v>12.0</v>
      </c>
      <c r="N205" s="53">
        <f t="shared" si="2"/>
        <v>0.04166666667</v>
      </c>
      <c r="O205" s="30">
        <f t="shared" si="3"/>
        <v>1</v>
      </c>
      <c r="P205" s="30">
        <f t="shared" si="4"/>
        <v>12</v>
      </c>
      <c r="Q205" s="30">
        <f t="shared" si="5"/>
        <v>0.3</v>
      </c>
    </row>
    <row r="206" ht="15.75" customHeight="1">
      <c r="A206" s="17" t="s">
        <v>1149</v>
      </c>
      <c r="B206" s="17" t="s">
        <v>731</v>
      </c>
      <c r="C206" s="17" t="s">
        <v>273</v>
      </c>
      <c r="D206" s="17" t="s">
        <v>1150</v>
      </c>
      <c r="E206" s="55">
        <f t="shared" si="1"/>
        <v>0.325</v>
      </c>
      <c r="F206" s="17" t="s">
        <v>19</v>
      </c>
      <c r="G206" s="17" t="s">
        <v>750</v>
      </c>
      <c r="K206" s="54">
        <v>0.19635416666642413</v>
      </c>
      <c r="L206" s="54">
        <v>0.36302083333430346</v>
      </c>
      <c r="M206" s="18">
        <v>2.0</v>
      </c>
      <c r="N206" s="53">
        <f t="shared" si="2"/>
        <v>0.1666666667</v>
      </c>
      <c r="O206" s="30">
        <f t="shared" si="3"/>
        <v>4</v>
      </c>
      <c r="P206" s="30">
        <f t="shared" si="4"/>
        <v>8</v>
      </c>
      <c r="Q206" s="30">
        <f t="shared" si="5"/>
        <v>0.2</v>
      </c>
    </row>
    <row r="207" ht="15.75" customHeight="1">
      <c r="A207" s="17" t="s">
        <v>1151</v>
      </c>
      <c r="B207" s="17" t="s">
        <v>731</v>
      </c>
      <c r="C207" s="17" t="s">
        <v>273</v>
      </c>
      <c r="D207" s="17" t="s">
        <v>1152</v>
      </c>
      <c r="E207" s="55">
        <f t="shared" si="1"/>
        <v>0.725</v>
      </c>
      <c r="F207" s="17" t="s">
        <v>19</v>
      </c>
      <c r="G207" s="17" t="s">
        <v>750</v>
      </c>
      <c r="K207" s="54">
        <v>0.23802083333430346</v>
      </c>
      <c r="L207" s="54">
        <v>0.32135416666642413</v>
      </c>
      <c r="M207" s="18">
        <v>12.0</v>
      </c>
      <c r="N207" s="53">
        <f t="shared" si="2"/>
        <v>0.08333333333</v>
      </c>
      <c r="O207" s="30">
        <f t="shared" si="3"/>
        <v>2</v>
      </c>
      <c r="P207" s="30">
        <f t="shared" si="4"/>
        <v>24</v>
      </c>
      <c r="Q207" s="30">
        <f t="shared" si="5"/>
        <v>0.6</v>
      </c>
    </row>
    <row r="208" ht="15.75" customHeight="1">
      <c r="A208" s="17" t="s">
        <v>1153</v>
      </c>
      <c r="B208" s="17" t="s">
        <v>731</v>
      </c>
      <c r="C208" s="17" t="s">
        <v>273</v>
      </c>
      <c r="D208" s="17" t="s">
        <v>1154</v>
      </c>
      <c r="E208" s="55">
        <f t="shared" si="1"/>
        <v>0.3</v>
      </c>
      <c r="F208" s="17" t="s">
        <v>19</v>
      </c>
      <c r="G208" s="17" t="s">
        <v>733</v>
      </c>
      <c r="K208" s="54">
        <v>0.2796874999985448</v>
      </c>
      <c r="L208" s="54">
        <v>0.32135416666642413</v>
      </c>
      <c r="M208" s="18">
        <v>12.0</v>
      </c>
      <c r="N208" s="53">
        <f t="shared" si="2"/>
        <v>0.04166666667</v>
      </c>
      <c r="O208" s="30">
        <f t="shared" si="3"/>
        <v>1</v>
      </c>
      <c r="P208" s="30">
        <f t="shared" si="4"/>
        <v>12</v>
      </c>
      <c r="Q208" s="30">
        <f t="shared" si="5"/>
        <v>0.3</v>
      </c>
    </row>
    <row r="209" ht="15.75" customHeight="1">
      <c r="A209" s="17" t="s">
        <v>1155</v>
      </c>
      <c r="B209" s="17" t="s">
        <v>731</v>
      </c>
      <c r="C209" s="17" t="s">
        <v>273</v>
      </c>
      <c r="D209" s="17" t="s">
        <v>1156</v>
      </c>
      <c r="E209" s="55">
        <f t="shared" si="1"/>
        <v>0.9</v>
      </c>
      <c r="F209" s="17" t="s">
        <v>19</v>
      </c>
      <c r="G209" s="17" t="s">
        <v>733</v>
      </c>
      <c r="K209" s="54">
        <v>0.2796874999985448</v>
      </c>
      <c r="L209" s="54">
        <v>0.4046874999985448</v>
      </c>
      <c r="M209" s="18">
        <v>12.0</v>
      </c>
      <c r="N209" s="53">
        <f t="shared" si="2"/>
        <v>0.125</v>
      </c>
      <c r="O209" s="30">
        <f t="shared" si="3"/>
        <v>3</v>
      </c>
      <c r="P209" s="30">
        <f t="shared" si="4"/>
        <v>36</v>
      </c>
      <c r="Q209" s="30">
        <f t="shared" si="5"/>
        <v>0.9</v>
      </c>
    </row>
    <row r="210" ht="15.75" customHeight="1">
      <c r="A210" s="17" t="s">
        <v>1157</v>
      </c>
      <c r="B210" s="17" t="s">
        <v>731</v>
      </c>
      <c r="C210" s="17" t="s">
        <v>483</v>
      </c>
      <c r="D210" s="17" t="s">
        <v>1158</v>
      </c>
      <c r="E210" s="55">
        <f t="shared" si="1"/>
        <v>0.6</v>
      </c>
      <c r="F210" s="17" t="s">
        <v>19</v>
      </c>
      <c r="G210" s="17" t="s">
        <v>733</v>
      </c>
      <c r="K210" s="54">
        <v>0.36302083333430346</v>
      </c>
      <c r="L210" s="54">
        <v>0.44635416666642413</v>
      </c>
      <c r="M210" s="18">
        <v>12.0</v>
      </c>
      <c r="N210" s="53">
        <f t="shared" si="2"/>
        <v>0.08333333333</v>
      </c>
      <c r="O210" s="30">
        <f t="shared" si="3"/>
        <v>2</v>
      </c>
      <c r="P210" s="30">
        <f t="shared" si="4"/>
        <v>24</v>
      </c>
      <c r="Q210" s="30">
        <f t="shared" si="5"/>
        <v>0.6</v>
      </c>
    </row>
    <row r="211" ht="15.75" customHeight="1">
      <c r="A211" s="17" t="s">
        <v>1159</v>
      </c>
      <c r="B211" s="17" t="s">
        <v>731</v>
      </c>
      <c r="C211" s="17" t="s">
        <v>483</v>
      </c>
      <c r="D211" s="17" t="s">
        <v>1160</v>
      </c>
      <c r="E211" s="55">
        <f t="shared" si="1"/>
        <v>0.475</v>
      </c>
      <c r="F211" s="17" t="s">
        <v>19</v>
      </c>
      <c r="G211" s="17" t="s">
        <v>750</v>
      </c>
      <c r="K211" s="54">
        <v>0.19635416666642413</v>
      </c>
      <c r="L211" s="54">
        <v>0.48802083333430346</v>
      </c>
      <c r="M211" s="18">
        <v>2.0</v>
      </c>
      <c r="N211" s="53">
        <f t="shared" si="2"/>
        <v>0.2916666667</v>
      </c>
      <c r="O211" s="30">
        <f t="shared" si="3"/>
        <v>7</v>
      </c>
      <c r="P211" s="30">
        <f t="shared" si="4"/>
        <v>14</v>
      </c>
      <c r="Q211" s="30">
        <f t="shared" si="5"/>
        <v>0.35</v>
      </c>
    </row>
    <row r="212" ht="15.75" customHeight="1">
      <c r="A212" s="17" t="s">
        <v>1161</v>
      </c>
      <c r="B212" s="17" t="s">
        <v>731</v>
      </c>
      <c r="C212" s="17" t="s">
        <v>483</v>
      </c>
      <c r="D212" s="17" t="s">
        <v>1162</v>
      </c>
      <c r="E212" s="55">
        <f t="shared" si="1"/>
        <v>1.025</v>
      </c>
      <c r="F212" s="17" t="s">
        <v>19</v>
      </c>
      <c r="G212" s="17" t="s">
        <v>750</v>
      </c>
      <c r="K212" s="54">
        <v>0.19635416666642413</v>
      </c>
      <c r="L212" s="54">
        <v>0.32135416666642413</v>
      </c>
      <c r="M212" s="18">
        <v>12.0</v>
      </c>
      <c r="N212" s="53">
        <f t="shared" si="2"/>
        <v>0.125</v>
      </c>
      <c r="O212" s="30">
        <f t="shared" si="3"/>
        <v>3</v>
      </c>
      <c r="P212" s="30">
        <f t="shared" si="4"/>
        <v>36</v>
      </c>
      <c r="Q212" s="30">
        <f t="shared" si="5"/>
        <v>0.9</v>
      </c>
    </row>
    <row r="213" ht="15.75" customHeight="1">
      <c r="A213" s="17" t="s">
        <v>1163</v>
      </c>
      <c r="B213" s="17" t="s">
        <v>731</v>
      </c>
      <c r="C213" s="17" t="s">
        <v>483</v>
      </c>
      <c r="D213" s="17" t="s">
        <v>1164</v>
      </c>
      <c r="E213" s="55">
        <f t="shared" si="1"/>
        <v>0.425</v>
      </c>
      <c r="F213" s="17" t="s">
        <v>19</v>
      </c>
      <c r="G213" s="17" t="s">
        <v>750</v>
      </c>
      <c r="K213" s="54">
        <v>0.44635416666642413</v>
      </c>
      <c r="L213" s="54">
        <v>0.5713541666664241</v>
      </c>
      <c r="M213" s="18">
        <v>4.0</v>
      </c>
      <c r="N213" s="53">
        <f t="shared" si="2"/>
        <v>0.125</v>
      </c>
      <c r="O213" s="30">
        <f t="shared" si="3"/>
        <v>3</v>
      </c>
      <c r="P213" s="30">
        <f t="shared" si="4"/>
        <v>12</v>
      </c>
      <c r="Q213" s="30">
        <f t="shared" si="5"/>
        <v>0.3</v>
      </c>
    </row>
    <row r="214" ht="15.75" customHeight="1">
      <c r="A214" s="17" t="s">
        <v>1165</v>
      </c>
      <c r="B214" s="17" t="s">
        <v>731</v>
      </c>
      <c r="C214" s="17" t="s">
        <v>483</v>
      </c>
      <c r="D214" s="17" t="s">
        <v>1166</v>
      </c>
      <c r="E214" s="55">
        <f t="shared" si="1"/>
        <v>0.325</v>
      </c>
      <c r="F214" s="17" t="s">
        <v>19</v>
      </c>
      <c r="G214" s="17" t="s">
        <v>750</v>
      </c>
      <c r="K214" s="54">
        <v>0.44635416666642413</v>
      </c>
      <c r="L214" s="54">
        <v>0.5296874999985448</v>
      </c>
      <c r="M214" s="18">
        <v>4.0</v>
      </c>
      <c r="N214" s="53">
        <f t="shared" si="2"/>
        <v>0.08333333333</v>
      </c>
      <c r="O214" s="30">
        <f t="shared" si="3"/>
        <v>2</v>
      </c>
      <c r="P214" s="30">
        <f t="shared" si="4"/>
        <v>8</v>
      </c>
      <c r="Q214" s="30">
        <f t="shared" si="5"/>
        <v>0.2</v>
      </c>
    </row>
    <row r="215" ht="15.75" customHeight="1">
      <c r="A215" s="17" t="s">
        <v>1167</v>
      </c>
      <c r="B215" s="17" t="s">
        <v>731</v>
      </c>
      <c r="C215" s="17" t="s">
        <v>483</v>
      </c>
      <c r="D215" s="17" t="s">
        <v>1168</v>
      </c>
      <c r="E215" s="55">
        <f t="shared" si="1"/>
        <v>0.75</v>
      </c>
      <c r="F215" s="17" t="s">
        <v>19</v>
      </c>
      <c r="G215" s="17" t="s">
        <v>733</v>
      </c>
      <c r="K215" s="54">
        <v>0.2796874999985448</v>
      </c>
      <c r="L215" s="54">
        <v>0.4046874999985448</v>
      </c>
      <c r="M215" s="18">
        <v>10.0</v>
      </c>
      <c r="N215" s="53">
        <f t="shared" si="2"/>
        <v>0.125</v>
      </c>
      <c r="O215" s="30">
        <f t="shared" si="3"/>
        <v>3</v>
      </c>
      <c r="P215" s="30">
        <f t="shared" si="4"/>
        <v>30</v>
      </c>
      <c r="Q215" s="30">
        <f t="shared" si="5"/>
        <v>0.75</v>
      </c>
    </row>
    <row r="216" ht="15.75" customHeight="1">
      <c r="A216" s="17" t="s">
        <v>1169</v>
      </c>
      <c r="B216" s="17" t="s">
        <v>731</v>
      </c>
      <c r="C216" s="17" t="s">
        <v>483</v>
      </c>
      <c r="D216" s="17" t="s">
        <v>1170</v>
      </c>
      <c r="E216" s="55">
        <f t="shared" si="1"/>
        <v>0.875</v>
      </c>
      <c r="F216" s="17" t="s">
        <v>19</v>
      </c>
      <c r="G216" s="17" t="s">
        <v>750</v>
      </c>
      <c r="K216" s="54">
        <v>0.44635416666642413</v>
      </c>
      <c r="L216" s="54">
        <v>0.5713541666664241</v>
      </c>
      <c r="M216" s="18">
        <v>10.0</v>
      </c>
      <c r="N216" s="53">
        <f t="shared" si="2"/>
        <v>0.125</v>
      </c>
      <c r="O216" s="30">
        <f t="shared" si="3"/>
        <v>3</v>
      </c>
      <c r="P216" s="30">
        <f t="shared" si="4"/>
        <v>30</v>
      </c>
      <c r="Q216" s="30">
        <f t="shared" si="5"/>
        <v>0.75</v>
      </c>
    </row>
    <row r="217" ht="15.75" customHeight="1">
      <c r="A217" s="17" t="s">
        <v>1171</v>
      </c>
      <c r="B217" s="17" t="s">
        <v>731</v>
      </c>
      <c r="C217" s="17" t="s">
        <v>483</v>
      </c>
      <c r="D217" s="17" t="s">
        <v>1172</v>
      </c>
      <c r="E217" s="55">
        <f t="shared" si="1"/>
        <v>0.25</v>
      </c>
      <c r="F217" s="17" t="s">
        <v>19</v>
      </c>
      <c r="G217" s="17" t="s">
        <v>750</v>
      </c>
      <c r="K217" s="54">
        <v>0.2796874999985448</v>
      </c>
      <c r="L217" s="54">
        <v>0.38385416666642413</v>
      </c>
      <c r="M217" s="18">
        <v>2.0</v>
      </c>
      <c r="N217" s="53">
        <f t="shared" si="2"/>
        <v>0.1041666667</v>
      </c>
      <c r="O217" s="30">
        <f t="shared" si="3"/>
        <v>2.5</v>
      </c>
      <c r="P217" s="30">
        <f t="shared" si="4"/>
        <v>5</v>
      </c>
      <c r="Q217" s="30">
        <f t="shared" si="5"/>
        <v>0.125</v>
      </c>
    </row>
    <row r="218" ht="15.75" customHeight="1">
      <c r="A218" s="17" t="s">
        <v>1173</v>
      </c>
      <c r="B218" s="17" t="s">
        <v>731</v>
      </c>
      <c r="C218" s="17" t="s">
        <v>483</v>
      </c>
      <c r="D218" s="17" t="s">
        <v>1174</v>
      </c>
      <c r="E218" s="55">
        <f t="shared" si="1"/>
        <v>0.6</v>
      </c>
      <c r="F218" s="17" t="s">
        <v>19</v>
      </c>
      <c r="G218" s="17" t="s">
        <v>733</v>
      </c>
      <c r="K218" s="54">
        <v>0.23802083333430346</v>
      </c>
      <c r="L218" s="54">
        <v>0.32135416666642413</v>
      </c>
      <c r="M218" s="18">
        <v>12.0</v>
      </c>
      <c r="N218" s="53">
        <f t="shared" si="2"/>
        <v>0.08333333333</v>
      </c>
      <c r="O218" s="30">
        <f t="shared" si="3"/>
        <v>2</v>
      </c>
      <c r="P218" s="30">
        <f t="shared" si="4"/>
        <v>24</v>
      </c>
      <c r="Q218" s="30">
        <f t="shared" si="5"/>
        <v>0.6</v>
      </c>
    </row>
    <row r="219" ht="15.75" customHeight="1">
      <c r="A219" s="17" t="s">
        <v>1175</v>
      </c>
      <c r="B219" s="17" t="s">
        <v>731</v>
      </c>
      <c r="C219" s="17" t="s">
        <v>483</v>
      </c>
      <c r="D219" s="17" t="s">
        <v>1176</v>
      </c>
      <c r="E219" s="55">
        <f t="shared" si="1"/>
        <v>0.725</v>
      </c>
      <c r="F219" s="17" t="s">
        <v>19</v>
      </c>
      <c r="G219" s="17" t="s">
        <v>750</v>
      </c>
      <c r="K219" s="54">
        <v>0.23802083333430346</v>
      </c>
      <c r="L219" s="54">
        <v>0.32135416666642413</v>
      </c>
      <c r="M219" s="18">
        <v>12.0</v>
      </c>
      <c r="N219" s="53">
        <f t="shared" si="2"/>
        <v>0.08333333333</v>
      </c>
      <c r="O219" s="30">
        <f t="shared" si="3"/>
        <v>2</v>
      </c>
      <c r="P219" s="30">
        <f t="shared" si="4"/>
        <v>24</v>
      </c>
      <c r="Q219" s="30">
        <f t="shared" si="5"/>
        <v>0.6</v>
      </c>
    </row>
    <row r="220" ht="15.75" customHeight="1">
      <c r="A220" s="17" t="s">
        <v>1177</v>
      </c>
      <c r="B220" s="17" t="s">
        <v>731</v>
      </c>
      <c r="C220" s="17" t="s">
        <v>483</v>
      </c>
      <c r="D220" s="17" t="s">
        <v>1178</v>
      </c>
      <c r="E220" s="55">
        <f t="shared" si="1"/>
        <v>0.725</v>
      </c>
      <c r="F220" s="17" t="s">
        <v>19</v>
      </c>
      <c r="G220" s="17" t="s">
        <v>750</v>
      </c>
      <c r="K220" s="54">
        <v>0.19635416666642413</v>
      </c>
      <c r="L220" s="54">
        <v>0.2796874999985448</v>
      </c>
      <c r="M220" s="18">
        <v>12.0</v>
      </c>
      <c r="N220" s="53">
        <f t="shared" si="2"/>
        <v>0.08333333333</v>
      </c>
      <c r="O220" s="30">
        <f t="shared" si="3"/>
        <v>2</v>
      </c>
      <c r="P220" s="30">
        <f t="shared" si="4"/>
        <v>24</v>
      </c>
      <c r="Q220" s="30">
        <f t="shared" si="5"/>
        <v>0.6</v>
      </c>
    </row>
    <row r="221" ht="15.75" customHeight="1">
      <c r="A221" s="17" t="s">
        <v>1179</v>
      </c>
      <c r="B221" s="17" t="s">
        <v>731</v>
      </c>
      <c r="C221" s="17" t="s">
        <v>483</v>
      </c>
      <c r="D221" s="17" t="s">
        <v>1180</v>
      </c>
      <c r="E221" s="55">
        <f t="shared" si="1"/>
        <v>0.3</v>
      </c>
      <c r="F221" s="17" t="s">
        <v>19</v>
      </c>
      <c r="G221" s="17" t="s">
        <v>733</v>
      </c>
      <c r="K221" s="54">
        <v>0.2796874999985448</v>
      </c>
      <c r="L221" s="54">
        <v>0.32135416666642413</v>
      </c>
      <c r="M221" s="18">
        <v>12.0</v>
      </c>
      <c r="N221" s="53">
        <f t="shared" si="2"/>
        <v>0.04166666667</v>
      </c>
      <c r="O221" s="30">
        <f t="shared" si="3"/>
        <v>1</v>
      </c>
      <c r="P221" s="30">
        <f t="shared" si="4"/>
        <v>12</v>
      </c>
      <c r="Q221" s="30">
        <f t="shared" si="5"/>
        <v>0.3</v>
      </c>
    </row>
    <row r="222" ht="15.75" customHeight="1">
      <c r="A222" s="17" t="s">
        <v>1181</v>
      </c>
      <c r="B222" s="17" t="s">
        <v>731</v>
      </c>
      <c r="C222" s="17" t="s">
        <v>483</v>
      </c>
      <c r="D222" s="17" t="s">
        <v>1182</v>
      </c>
      <c r="E222" s="55">
        <f t="shared" si="1"/>
        <v>1.025</v>
      </c>
      <c r="F222" s="17" t="s">
        <v>19</v>
      </c>
      <c r="G222" s="17" t="s">
        <v>750</v>
      </c>
      <c r="K222" s="54">
        <v>0.44635416666642413</v>
      </c>
      <c r="L222" s="54">
        <v>0.5713541666664241</v>
      </c>
      <c r="M222" s="18">
        <v>12.0</v>
      </c>
      <c r="N222" s="53">
        <f t="shared" si="2"/>
        <v>0.125</v>
      </c>
      <c r="O222" s="30">
        <f t="shared" si="3"/>
        <v>3</v>
      </c>
      <c r="P222" s="30">
        <f t="shared" si="4"/>
        <v>36</v>
      </c>
      <c r="Q222" s="30">
        <f t="shared" si="5"/>
        <v>0.9</v>
      </c>
    </row>
    <row r="223" ht="15.75" customHeight="1">
      <c r="A223" s="17" t="s">
        <v>1183</v>
      </c>
      <c r="B223" s="17" t="s">
        <v>731</v>
      </c>
      <c r="C223" s="17" t="s">
        <v>483</v>
      </c>
      <c r="D223" s="17" t="s">
        <v>1184</v>
      </c>
      <c r="E223" s="55">
        <f t="shared" si="1"/>
        <v>0.575</v>
      </c>
      <c r="F223" s="17" t="s">
        <v>19</v>
      </c>
      <c r="G223" s="17" t="s">
        <v>750</v>
      </c>
      <c r="K223" s="54">
        <v>0.2796874999985448</v>
      </c>
      <c r="L223" s="54">
        <v>0.4046874999985448</v>
      </c>
      <c r="M223" s="18">
        <v>6.0</v>
      </c>
      <c r="N223" s="53">
        <f t="shared" si="2"/>
        <v>0.125</v>
      </c>
      <c r="O223" s="30">
        <f t="shared" si="3"/>
        <v>3</v>
      </c>
      <c r="P223" s="30">
        <f t="shared" si="4"/>
        <v>18</v>
      </c>
      <c r="Q223" s="30">
        <f t="shared" si="5"/>
        <v>0.45</v>
      </c>
    </row>
    <row r="224" ht="15.75" customHeight="1">
      <c r="A224" s="17" t="s">
        <v>1185</v>
      </c>
      <c r="B224" s="17" t="s">
        <v>731</v>
      </c>
      <c r="C224" s="17" t="s">
        <v>483</v>
      </c>
      <c r="D224" s="17" t="s">
        <v>1186</v>
      </c>
      <c r="E224" s="55">
        <f t="shared" si="1"/>
        <v>0.225</v>
      </c>
      <c r="F224" s="17" t="s">
        <v>19</v>
      </c>
      <c r="G224" s="17" t="s">
        <v>750</v>
      </c>
      <c r="K224" s="54">
        <v>0.36302083333430346</v>
      </c>
      <c r="L224" s="54">
        <v>0.44635416666642413</v>
      </c>
      <c r="M224" s="18">
        <v>2.0</v>
      </c>
      <c r="N224" s="53">
        <f t="shared" si="2"/>
        <v>0.08333333333</v>
      </c>
      <c r="O224" s="30">
        <f t="shared" si="3"/>
        <v>2</v>
      </c>
      <c r="P224" s="30">
        <f t="shared" si="4"/>
        <v>4</v>
      </c>
      <c r="Q224" s="30">
        <f t="shared" si="5"/>
        <v>0.1</v>
      </c>
    </row>
    <row r="225" ht="15.75" customHeight="1">
      <c r="A225" s="17" t="s">
        <v>1187</v>
      </c>
      <c r="B225" s="17" t="s">
        <v>731</v>
      </c>
      <c r="C225" s="17" t="s">
        <v>483</v>
      </c>
      <c r="D225" s="17" t="s">
        <v>1188</v>
      </c>
      <c r="E225" s="56">
        <f t="shared" si="1"/>
        <v>0.15</v>
      </c>
      <c r="F225" s="17" t="s">
        <v>19</v>
      </c>
      <c r="G225" s="17" t="s">
        <v>733</v>
      </c>
      <c r="K225" s="54">
        <v>0.36302083333430346</v>
      </c>
      <c r="L225" s="54">
        <v>0.4046874999985448</v>
      </c>
      <c r="M225" s="18">
        <v>6.0</v>
      </c>
      <c r="N225" s="56">
        <f t="shared" si="2"/>
        <v>0.04166666666</v>
      </c>
      <c r="O225" s="56">
        <f t="shared" si="3"/>
        <v>0.9999999999</v>
      </c>
      <c r="P225" s="56">
        <f t="shared" si="4"/>
        <v>6</v>
      </c>
      <c r="Q225" s="56">
        <f t="shared" si="5"/>
        <v>0.15</v>
      </c>
    </row>
    <row r="226" ht="15.75" customHeight="1">
      <c r="A226" s="17" t="s">
        <v>1189</v>
      </c>
      <c r="B226" s="17" t="s">
        <v>731</v>
      </c>
      <c r="C226" s="17" t="s">
        <v>483</v>
      </c>
      <c r="D226" s="17" t="s">
        <v>1190</v>
      </c>
      <c r="E226" s="56">
        <f t="shared" si="1"/>
        <v>0.45</v>
      </c>
      <c r="F226" s="17" t="s">
        <v>19</v>
      </c>
      <c r="G226" s="17" t="s">
        <v>733</v>
      </c>
      <c r="K226" s="54">
        <v>0.36302083333430346</v>
      </c>
      <c r="L226" s="54">
        <v>0.42552083333430346</v>
      </c>
      <c r="M226" s="18">
        <v>12.0</v>
      </c>
      <c r="N226" s="56">
        <f t="shared" si="2"/>
        <v>0.0625</v>
      </c>
      <c r="O226" s="56">
        <f t="shared" si="3"/>
        <v>1.5</v>
      </c>
      <c r="P226" s="56">
        <f t="shared" si="4"/>
        <v>18</v>
      </c>
      <c r="Q226" s="56">
        <f t="shared" si="5"/>
        <v>0.45</v>
      </c>
    </row>
    <row r="227" ht="15.75" customHeight="1">
      <c r="A227" s="17" t="s">
        <v>1191</v>
      </c>
      <c r="B227" s="17" t="s">
        <v>731</v>
      </c>
      <c r="C227" s="17" t="s">
        <v>483</v>
      </c>
      <c r="D227" s="17" t="s">
        <v>1192</v>
      </c>
      <c r="E227" s="56">
        <f t="shared" si="1"/>
        <v>0.35</v>
      </c>
      <c r="F227" s="17" t="s">
        <v>19</v>
      </c>
      <c r="G227" s="17" t="s">
        <v>750</v>
      </c>
      <c r="K227" s="54">
        <v>0.2796874999985448</v>
      </c>
      <c r="L227" s="54">
        <v>0.3421874999985448</v>
      </c>
      <c r="M227" s="18">
        <v>6.0</v>
      </c>
      <c r="N227" s="56">
        <f t="shared" si="2"/>
        <v>0.0625</v>
      </c>
      <c r="O227" s="56">
        <f t="shared" si="3"/>
        <v>1.5</v>
      </c>
      <c r="P227" s="56">
        <f t="shared" si="4"/>
        <v>9</v>
      </c>
      <c r="Q227" s="56">
        <f t="shared" si="5"/>
        <v>0.225</v>
      </c>
    </row>
    <row r="228" ht="15.75" customHeight="1">
      <c r="A228" s="17" t="s">
        <v>1193</v>
      </c>
      <c r="B228" s="17" t="s">
        <v>731</v>
      </c>
      <c r="C228" s="17" t="s">
        <v>549</v>
      </c>
      <c r="D228" s="17" t="s">
        <v>1194</v>
      </c>
      <c r="E228" s="56">
        <f t="shared" si="1"/>
        <v>4.05</v>
      </c>
      <c r="F228" s="17" t="s">
        <v>19</v>
      </c>
      <c r="G228" s="17" t="s">
        <v>733</v>
      </c>
      <c r="K228" s="54">
        <v>0.19635416666642413</v>
      </c>
      <c r="L228" s="54">
        <v>0.7588541666664241</v>
      </c>
      <c r="M228" s="18">
        <v>12.0</v>
      </c>
      <c r="N228" s="56">
        <f t="shared" si="2"/>
        <v>0.5625</v>
      </c>
      <c r="O228" s="56">
        <f t="shared" si="3"/>
        <v>13.5</v>
      </c>
      <c r="P228" s="56">
        <f t="shared" si="4"/>
        <v>162</v>
      </c>
      <c r="Q228" s="56">
        <f t="shared" si="5"/>
        <v>4.05</v>
      </c>
    </row>
    <row r="229" ht="15.75" customHeight="1">
      <c r="A229" s="17" t="s">
        <v>1195</v>
      </c>
      <c r="B229" s="17" t="s">
        <v>731</v>
      </c>
      <c r="C229" s="17" t="s">
        <v>549</v>
      </c>
      <c r="D229" s="17" t="s">
        <v>1196</v>
      </c>
      <c r="E229" s="56">
        <f t="shared" si="1"/>
        <v>0.625</v>
      </c>
      <c r="F229" s="17" t="s">
        <v>19</v>
      </c>
      <c r="G229" s="17" t="s">
        <v>750</v>
      </c>
      <c r="K229" s="54">
        <v>0.48802083333430346</v>
      </c>
      <c r="L229" s="54">
        <v>0.5713541666664241</v>
      </c>
      <c r="M229" s="18">
        <v>10.0</v>
      </c>
      <c r="N229" s="56">
        <f t="shared" si="2"/>
        <v>0.08333333333</v>
      </c>
      <c r="O229" s="56">
        <f t="shared" si="3"/>
        <v>2</v>
      </c>
      <c r="P229" s="56">
        <f t="shared" si="4"/>
        <v>20</v>
      </c>
      <c r="Q229" s="56">
        <f t="shared" si="5"/>
        <v>0.5</v>
      </c>
    </row>
    <row r="230" ht="15.75" customHeight="1">
      <c r="A230" s="17" t="s">
        <v>1197</v>
      </c>
      <c r="B230" s="17" t="s">
        <v>731</v>
      </c>
      <c r="C230" s="17" t="s">
        <v>549</v>
      </c>
      <c r="D230" s="17" t="s">
        <v>1198</v>
      </c>
      <c r="E230" s="56">
        <f t="shared" si="1"/>
        <v>0.6</v>
      </c>
      <c r="F230" s="17" t="s">
        <v>19</v>
      </c>
      <c r="G230" s="17" t="s">
        <v>733</v>
      </c>
      <c r="K230" s="54">
        <v>0.19635416666642413</v>
      </c>
      <c r="L230" s="54">
        <v>0.2796874999985448</v>
      </c>
      <c r="M230" s="18">
        <v>12.0</v>
      </c>
      <c r="N230" s="56">
        <f t="shared" si="2"/>
        <v>0.08333333333</v>
      </c>
      <c r="O230" s="56">
        <f t="shared" si="3"/>
        <v>2</v>
      </c>
      <c r="P230" s="56">
        <f t="shared" si="4"/>
        <v>24</v>
      </c>
      <c r="Q230" s="56">
        <f t="shared" si="5"/>
        <v>0.6</v>
      </c>
    </row>
    <row r="231" ht="15.75" customHeight="1">
      <c r="A231" s="17" t="s">
        <v>1199</v>
      </c>
      <c r="B231" s="17" t="s">
        <v>731</v>
      </c>
      <c r="C231" s="17" t="s">
        <v>549</v>
      </c>
      <c r="D231" s="17" t="s">
        <v>1200</v>
      </c>
      <c r="E231" s="56">
        <f t="shared" si="1"/>
        <v>0.3</v>
      </c>
      <c r="F231" s="17" t="s">
        <v>19</v>
      </c>
      <c r="G231" s="17" t="s">
        <v>733</v>
      </c>
      <c r="K231" s="54">
        <v>0.19635416666642413</v>
      </c>
      <c r="L231" s="54">
        <v>0.23802083333430346</v>
      </c>
      <c r="M231" s="18">
        <v>12.0</v>
      </c>
      <c r="N231" s="56">
        <f t="shared" si="2"/>
        <v>0.04166666667</v>
      </c>
      <c r="O231" s="56">
        <f t="shared" si="3"/>
        <v>1</v>
      </c>
      <c r="P231" s="56">
        <f t="shared" si="4"/>
        <v>12</v>
      </c>
      <c r="Q231" s="56">
        <f t="shared" si="5"/>
        <v>0.3</v>
      </c>
    </row>
    <row r="232" ht="15.75" customHeight="1">
      <c r="A232" s="17" t="s">
        <v>1201</v>
      </c>
      <c r="B232" s="17" t="s">
        <v>731</v>
      </c>
      <c r="C232" s="17" t="s">
        <v>549</v>
      </c>
      <c r="D232" s="17" t="s">
        <v>1202</v>
      </c>
      <c r="E232" s="56">
        <f t="shared" si="1"/>
        <v>0.875</v>
      </c>
      <c r="F232" s="17" t="s">
        <v>19</v>
      </c>
      <c r="G232" s="17" t="s">
        <v>750</v>
      </c>
      <c r="K232" s="54">
        <v>0.44635416666642413</v>
      </c>
      <c r="L232" s="54">
        <v>0.5713541666664241</v>
      </c>
      <c r="M232" s="18">
        <v>10.0</v>
      </c>
      <c r="N232" s="56">
        <f t="shared" si="2"/>
        <v>0.125</v>
      </c>
      <c r="O232" s="56">
        <f t="shared" si="3"/>
        <v>3</v>
      </c>
      <c r="P232" s="56">
        <f t="shared" si="4"/>
        <v>30</v>
      </c>
      <c r="Q232" s="56">
        <f t="shared" si="5"/>
        <v>0.75</v>
      </c>
    </row>
    <row r="233" ht="15.75" customHeight="1">
      <c r="A233" s="17" t="s">
        <v>1203</v>
      </c>
      <c r="B233" s="17" t="s">
        <v>731</v>
      </c>
      <c r="C233" s="17" t="s">
        <v>549</v>
      </c>
      <c r="D233" s="17" t="s">
        <v>1204</v>
      </c>
      <c r="E233" s="56">
        <f t="shared" si="1"/>
        <v>1.2</v>
      </c>
      <c r="F233" s="17" t="s">
        <v>19</v>
      </c>
      <c r="G233" s="17" t="s">
        <v>733</v>
      </c>
      <c r="K233" s="54">
        <v>0.19635416666642413</v>
      </c>
      <c r="L233" s="54">
        <v>0.36302083333430346</v>
      </c>
      <c r="M233" s="18">
        <v>12.0</v>
      </c>
      <c r="N233" s="56">
        <f t="shared" si="2"/>
        <v>0.1666666667</v>
      </c>
      <c r="O233" s="56">
        <f t="shared" si="3"/>
        <v>4</v>
      </c>
      <c r="P233" s="56">
        <f t="shared" si="4"/>
        <v>48</v>
      </c>
      <c r="Q233" s="56">
        <f t="shared" si="5"/>
        <v>1.2</v>
      </c>
    </row>
    <row r="234" ht="15.75" customHeight="1">
      <c r="A234" s="17" t="s">
        <v>1205</v>
      </c>
      <c r="B234" s="17" t="s">
        <v>731</v>
      </c>
      <c r="C234" s="17" t="s">
        <v>549</v>
      </c>
      <c r="D234" s="17" t="s">
        <v>1206</v>
      </c>
      <c r="E234" s="56">
        <f t="shared" si="1"/>
        <v>0.875</v>
      </c>
      <c r="F234" s="17" t="s">
        <v>19</v>
      </c>
      <c r="G234" s="17" t="s">
        <v>750</v>
      </c>
      <c r="K234" s="54">
        <v>0.19635416666642413</v>
      </c>
      <c r="L234" s="54">
        <v>0.4046874999985448</v>
      </c>
      <c r="M234" s="18">
        <v>6.0</v>
      </c>
      <c r="N234" s="56">
        <f t="shared" si="2"/>
        <v>0.2083333333</v>
      </c>
      <c r="O234" s="56">
        <f t="shared" si="3"/>
        <v>5</v>
      </c>
      <c r="P234" s="56">
        <f t="shared" si="4"/>
        <v>30</v>
      </c>
      <c r="Q234" s="56">
        <f t="shared" si="5"/>
        <v>0.75</v>
      </c>
    </row>
    <row r="235" ht="15.75" customHeight="1">
      <c r="A235" s="17" t="s">
        <v>1207</v>
      </c>
      <c r="B235" s="17" t="s">
        <v>731</v>
      </c>
      <c r="C235" s="17" t="s">
        <v>766</v>
      </c>
      <c r="D235" s="17" t="s">
        <v>1208</v>
      </c>
      <c r="E235" s="56">
        <f t="shared" si="1"/>
        <v>0.45</v>
      </c>
      <c r="F235" s="17" t="s">
        <v>19</v>
      </c>
      <c r="G235" s="17" t="s">
        <v>733</v>
      </c>
      <c r="K235" s="54">
        <v>0.44635416666642413</v>
      </c>
      <c r="L235" s="54">
        <v>0.5088541666664241</v>
      </c>
      <c r="M235" s="18">
        <v>12.0</v>
      </c>
      <c r="N235" s="56">
        <f t="shared" si="2"/>
        <v>0.0625</v>
      </c>
      <c r="O235" s="56">
        <f t="shared" si="3"/>
        <v>1.5</v>
      </c>
      <c r="P235" s="56">
        <f t="shared" si="4"/>
        <v>18</v>
      </c>
      <c r="Q235" s="56">
        <f t="shared" si="5"/>
        <v>0.45</v>
      </c>
    </row>
    <row r="236" ht="15.75" customHeight="1">
      <c r="A236" s="17" t="s">
        <v>1209</v>
      </c>
      <c r="B236" s="17" t="s">
        <v>731</v>
      </c>
      <c r="C236" s="17" t="s">
        <v>108</v>
      </c>
      <c r="D236" s="17" t="s">
        <v>1210</v>
      </c>
      <c r="E236" s="56">
        <f t="shared" si="1"/>
        <v>0.275</v>
      </c>
      <c r="F236" s="17" t="s">
        <v>19</v>
      </c>
      <c r="G236" s="17" t="s">
        <v>750</v>
      </c>
      <c r="K236" s="54">
        <v>0.44635416666642413</v>
      </c>
      <c r="L236" s="54">
        <v>0.5713541666664241</v>
      </c>
      <c r="M236" s="18">
        <v>2.0</v>
      </c>
      <c r="N236" s="56">
        <f t="shared" si="2"/>
        <v>0.125</v>
      </c>
      <c r="O236" s="56">
        <f t="shared" si="3"/>
        <v>3</v>
      </c>
      <c r="P236" s="56">
        <f t="shared" si="4"/>
        <v>6</v>
      </c>
      <c r="Q236" s="56">
        <f t="shared" si="5"/>
        <v>0.15</v>
      </c>
    </row>
    <row r="237" ht="15.75" customHeight="1">
      <c r="A237" s="17" t="s">
        <v>1211</v>
      </c>
      <c r="B237" s="17" t="s">
        <v>731</v>
      </c>
      <c r="C237" s="17" t="s">
        <v>483</v>
      </c>
      <c r="D237" s="17" t="s">
        <v>1212</v>
      </c>
      <c r="E237" s="56">
        <f t="shared" si="1"/>
        <v>0.225</v>
      </c>
      <c r="F237" s="17" t="s">
        <v>19</v>
      </c>
      <c r="G237" s="17" t="s">
        <v>750</v>
      </c>
      <c r="K237" s="54">
        <v>0.30052083333430346</v>
      </c>
      <c r="L237" s="54">
        <v>0.38385416666642413</v>
      </c>
      <c r="M237" s="18">
        <v>2.0</v>
      </c>
      <c r="N237" s="56">
        <f t="shared" si="2"/>
        <v>0.08333333333</v>
      </c>
      <c r="O237" s="56">
        <f t="shared" si="3"/>
        <v>2</v>
      </c>
      <c r="P237" s="56">
        <f t="shared" si="4"/>
        <v>4</v>
      </c>
      <c r="Q237" s="56">
        <f t="shared" si="5"/>
        <v>0.1</v>
      </c>
    </row>
    <row r="238" ht="15.75" customHeight="1">
      <c r="A238" s="17" t="s">
        <v>1213</v>
      </c>
      <c r="B238" s="17" t="s">
        <v>731</v>
      </c>
      <c r="C238" s="17" t="s">
        <v>766</v>
      </c>
      <c r="D238" s="17" t="s">
        <v>838</v>
      </c>
      <c r="E238" s="56">
        <f t="shared" si="1"/>
        <v>0.225</v>
      </c>
      <c r="F238" s="17" t="s">
        <v>19</v>
      </c>
      <c r="G238" s="17" t="s">
        <v>733</v>
      </c>
      <c r="K238" s="54">
        <v>0.44635416666642413</v>
      </c>
      <c r="L238" s="54">
        <v>0.5088541666664241</v>
      </c>
      <c r="M238" s="18">
        <v>6.0</v>
      </c>
      <c r="N238" s="56">
        <f t="shared" si="2"/>
        <v>0.0625</v>
      </c>
      <c r="O238" s="56">
        <f t="shared" si="3"/>
        <v>1.5</v>
      </c>
      <c r="P238" s="56">
        <f t="shared" si="4"/>
        <v>9</v>
      </c>
      <c r="Q238" s="56">
        <f t="shared" si="5"/>
        <v>0.225</v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">
    <cfRule type="expression" dxfId="2" priority="1">
      <formula>COUNTIF($D$1:$D90,$D1)&gt;1</formula>
    </cfRule>
  </conditionalFormatting>
  <conditionalFormatting sqref="A1:F90">
    <cfRule type="expression" dxfId="1" priority="2">
      <formula>($F1:$F90)="NO"</formula>
    </cfRule>
  </conditionalFormatting>
  <conditionalFormatting sqref="D1:G90">
    <cfRule type="containsText" dxfId="0" priority="3" operator="containsText" text="CENTRAL">
      <formula>NOT(ISERROR(SEARCH(("CENTRAL"),(D1))))</formula>
    </cfRule>
  </conditionalFormatting>
  <dataValidations>
    <dataValidation type="list" allowBlank="1" showErrorMessage="1" sqref="F2:F83">
      <formula1>"NO,SI"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4043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6.75"/>
    <col customWidth="1" min="3" max="3" width="29.13"/>
    <col customWidth="1" min="4" max="4" width="41.88"/>
    <col customWidth="1" min="5" max="5" width="17.25"/>
    <col customWidth="1" min="6" max="6" width="12.63"/>
  </cols>
  <sheetData>
    <row r="1" ht="28.5" customHeight="1">
      <c r="A1" s="57" t="s">
        <v>10</v>
      </c>
      <c r="B1" s="57" t="s">
        <v>4</v>
      </c>
      <c r="C1" s="57" t="s">
        <v>5</v>
      </c>
      <c r="D1" s="57" t="s">
        <v>11</v>
      </c>
      <c r="E1" s="58" t="s">
        <v>12</v>
      </c>
      <c r="F1" s="14" t="s">
        <v>1214</v>
      </c>
    </row>
    <row r="2" ht="15.75" customHeight="1">
      <c r="A2" s="10" t="s">
        <v>1215</v>
      </c>
      <c r="B2" s="10" t="s">
        <v>1216</v>
      </c>
      <c r="C2" s="10" t="s">
        <v>1217</v>
      </c>
      <c r="D2" s="10" t="s">
        <v>1218</v>
      </c>
      <c r="E2" s="59">
        <v>1.0</v>
      </c>
      <c r="F2" s="13" t="s">
        <v>19</v>
      </c>
    </row>
    <row r="3" ht="15.75" customHeight="1">
      <c r="A3" s="10" t="s">
        <v>1219</v>
      </c>
      <c r="B3" s="10" t="s">
        <v>1216</v>
      </c>
      <c r="C3" s="10" t="s">
        <v>1217</v>
      </c>
      <c r="D3" s="10" t="s">
        <v>1220</v>
      </c>
      <c r="E3" s="59">
        <v>2.0</v>
      </c>
      <c r="F3" s="13" t="s">
        <v>19</v>
      </c>
    </row>
    <row r="4" ht="15.75" customHeight="1">
      <c r="A4" s="10" t="s">
        <v>1221</v>
      </c>
      <c r="B4" s="10" t="s">
        <v>1216</v>
      </c>
      <c r="C4" s="10" t="s">
        <v>1217</v>
      </c>
      <c r="D4" s="10" t="s">
        <v>1222</v>
      </c>
      <c r="E4" s="59">
        <v>3.0</v>
      </c>
      <c r="F4" s="13" t="s">
        <v>19</v>
      </c>
    </row>
    <row r="5" ht="15.75" customHeight="1">
      <c r="A5" s="10" t="s">
        <v>1223</v>
      </c>
      <c r="B5" s="10" t="s">
        <v>1216</v>
      </c>
      <c r="C5" s="10" t="s">
        <v>1217</v>
      </c>
      <c r="D5" s="10" t="s">
        <v>1224</v>
      </c>
      <c r="E5" s="59">
        <v>4.0</v>
      </c>
      <c r="F5" s="13" t="s">
        <v>19</v>
      </c>
    </row>
    <row r="6" ht="15.75" customHeight="1">
      <c r="A6" s="10" t="s">
        <v>1225</v>
      </c>
      <c r="B6" s="10" t="s">
        <v>1216</v>
      </c>
      <c r="C6" s="10" t="s">
        <v>1217</v>
      </c>
      <c r="D6" s="10" t="s">
        <v>1226</v>
      </c>
      <c r="E6" s="59">
        <v>5.0</v>
      </c>
      <c r="F6" s="13" t="s">
        <v>19</v>
      </c>
    </row>
    <row r="7" ht="15.75" customHeight="1">
      <c r="A7" s="10" t="s">
        <v>1227</v>
      </c>
      <c r="B7" s="10" t="s">
        <v>1216</v>
      </c>
      <c r="C7" s="10" t="s">
        <v>1228</v>
      </c>
      <c r="D7" s="10" t="s">
        <v>1229</v>
      </c>
      <c r="E7" s="59">
        <v>2.0</v>
      </c>
      <c r="F7" s="13" t="s">
        <v>19</v>
      </c>
    </row>
    <row r="8" ht="15.75" customHeight="1">
      <c r="A8" s="10" t="s">
        <v>1230</v>
      </c>
      <c r="B8" s="10" t="s">
        <v>1216</v>
      </c>
      <c r="C8" s="10" t="s">
        <v>1228</v>
      </c>
      <c r="D8" s="10" t="s">
        <v>1231</v>
      </c>
      <c r="E8" s="59">
        <v>5.0</v>
      </c>
      <c r="F8" s="13" t="s">
        <v>19</v>
      </c>
    </row>
    <row r="9" ht="15.75" customHeight="1">
      <c r="A9" s="10" t="s">
        <v>1232</v>
      </c>
      <c r="B9" s="10" t="s">
        <v>1216</v>
      </c>
      <c r="C9" s="10" t="s">
        <v>1228</v>
      </c>
      <c r="D9" s="10" t="s">
        <v>1233</v>
      </c>
      <c r="E9" s="59">
        <v>10.0</v>
      </c>
      <c r="F9" s="13" t="s">
        <v>19</v>
      </c>
    </row>
    <row r="10" ht="15.75" customHeight="1">
      <c r="A10" s="10" t="s">
        <v>1234</v>
      </c>
      <c r="B10" s="10" t="s">
        <v>1216</v>
      </c>
      <c r="C10" s="10" t="s">
        <v>1228</v>
      </c>
      <c r="D10" s="10" t="s">
        <v>1235</v>
      </c>
      <c r="E10" s="59">
        <v>7.5</v>
      </c>
      <c r="F10" s="13" t="s">
        <v>19</v>
      </c>
    </row>
    <row r="11" ht="15.75" customHeight="1">
      <c r="A11" s="10" t="s">
        <v>1236</v>
      </c>
      <c r="B11" s="10" t="s">
        <v>1216</v>
      </c>
      <c r="C11" s="10" t="s">
        <v>1228</v>
      </c>
      <c r="D11" s="10" t="s">
        <v>1237</v>
      </c>
      <c r="E11" s="59">
        <v>10.0</v>
      </c>
      <c r="F11" s="13" t="s">
        <v>19</v>
      </c>
    </row>
    <row r="12" ht="15.75" customHeight="1">
      <c r="A12" s="10" t="s">
        <v>1238</v>
      </c>
      <c r="B12" s="10" t="s">
        <v>1216</v>
      </c>
      <c r="C12" s="10" t="s">
        <v>1228</v>
      </c>
      <c r="D12" s="10" t="s">
        <v>1239</v>
      </c>
      <c r="E12" s="59">
        <v>20.0</v>
      </c>
      <c r="F12" s="13" t="s">
        <v>19</v>
      </c>
    </row>
    <row r="13" ht="15.75" customHeight="1">
      <c r="A13" s="10" t="s">
        <v>1240</v>
      </c>
      <c r="B13" s="10" t="s">
        <v>1216</v>
      </c>
      <c r="C13" s="10" t="s">
        <v>1228</v>
      </c>
      <c r="D13" s="10" t="s">
        <v>1241</v>
      </c>
      <c r="E13" s="59">
        <v>15.0</v>
      </c>
      <c r="F13" s="13" t="s">
        <v>19</v>
      </c>
    </row>
    <row r="14" ht="15.75" customHeight="1">
      <c r="A14" s="10" t="s">
        <v>1242</v>
      </c>
      <c r="B14" s="10" t="s">
        <v>1216</v>
      </c>
      <c r="C14" s="10" t="s">
        <v>1243</v>
      </c>
      <c r="D14" s="10" t="s">
        <v>1244</v>
      </c>
      <c r="E14" s="59">
        <v>11.0</v>
      </c>
      <c r="F14" s="13" t="s">
        <v>19</v>
      </c>
    </row>
    <row r="15" ht="15.75" customHeight="1">
      <c r="A15" s="10" t="s">
        <v>1245</v>
      </c>
      <c r="B15" s="10" t="s">
        <v>1216</v>
      </c>
      <c r="C15" s="10" t="s">
        <v>1243</v>
      </c>
      <c r="D15" s="10" t="s">
        <v>1246</v>
      </c>
      <c r="E15" s="59">
        <v>18.0</v>
      </c>
      <c r="F15" s="13" t="s">
        <v>19</v>
      </c>
    </row>
    <row r="16" ht="15.75" customHeight="1">
      <c r="A16" s="10" t="s">
        <v>1247</v>
      </c>
      <c r="B16" s="10" t="s">
        <v>1216</v>
      </c>
      <c r="C16" s="10" t="s">
        <v>1243</v>
      </c>
      <c r="D16" s="10" t="s">
        <v>1248</v>
      </c>
      <c r="E16" s="59">
        <v>22.0</v>
      </c>
      <c r="F16" s="13" t="s">
        <v>19</v>
      </c>
    </row>
    <row r="17" ht="15.75" customHeight="1">
      <c r="A17" s="10" t="s">
        <v>1249</v>
      </c>
      <c r="B17" s="10" t="s">
        <v>1216</v>
      </c>
      <c r="C17" s="10" t="s">
        <v>1243</v>
      </c>
      <c r="D17" s="10" t="s">
        <v>1250</v>
      </c>
      <c r="E17" s="59">
        <v>44.0</v>
      </c>
      <c r="F17" s="13" t="s">
        <v>19</v>
      </c>
    </row>
    <row r="18" ht="15.75" customHeight="1">
      <c r="A18" s="10" t="s">
        <v>1251</v>
      </c>
      <c r="B18" s="10" t="s">
        <v>1216</v>
      </c>
      <c r="C18" s="10" t="s">
        <v>1252</v>
      </c>
      <c r="D18" s="10" t="s">
        <v>1253</v>
      </c>
      <c r="E18" s="59">
        <v>0.25</v>
      </c>
      <c r="F18" s="13" t="s">
        <v>19</v>
      </c>
    </row>
    <row r="19" ht="15.75" customHeight="1">
      <c r="A19" s="10" t="s">
        <v>1254</v>
      </c>
      <c r="B19" s="10" t="s">
        <v>1216</v>
      </c>
      <c r="C19" s="10" t="s">
        <v>1252</v>
      </c>
      <c r="D19" s="10" t="s">
        <v>1255</v>
      </c>
      <c r="E19" s="59">
        <v>0.5</v>
      </c>
      <c r="F19" s="13" t="s">
        <v>19</v>
      </c>
    </row>
    <row r="20" ht="15.75" customHeight="1">
      <c r="A20" s="10" t="s">
        <v>1256</v>
      </c>
      <c r="B20" s="10" t="s">
        <v>1216</v>
      </c>
      <c r="C20" s="10" t="s">
        <v>1252</v>
      </c>
      <c r="D20" s="10" t="s">
        <v>1257</v>
      </c>
      <c r="E20" s="59">
        <v>0.75</v>
      </c>
      <c r="F20" s="13" t="s">
        <v>19</v>
      </c>
    </row>
    <row r="21" ht="15.75" customHeight="1">
      <c r="A21" s="10" t="s">
        <v>1258</v>
      </c>
      <c r="B21" s="10" t="s">
        <v>1216</v>
      </c>
      <c r="C21" s="10" t="s">
        <v>1252</v>
      </c>
      <c r="D21" s="10" t="s">
        <v>1259</v>
      </c>
      <c r="E21" s="59">
        <v>1.0</v>
      </c>
      <c r="F21" s="13" t="s">
        <v>19</v>
      </c>
    </row>
    <row r="22" ht="15.75" customHeight="1">
      <c r="A22" s="10" t="s">
        <v>1260</v>
      </c>
      <c r="B22" s="10" t="s">
        <v>1216</v>
      </c>
      <c r="C22" s="10" t="s">
        <v>1252</v>
      </c>
      <c r="D22" s="10" t="s">
        <v>1261</v>
      </c>
      <c r="E22" s="59">
        <v>1.25</v>
      </c>
      <c r="F22" s="13" t="s">
        <v>19</v>
      </c>
    </row>
    <row r="23" ht="15.75" customHeight="1">
      <c r="A23" s="10" t="s">
        <v>1262</v>
      </c>
      <c r="B23" s="10" t="s">
        <v>1216</v>
      </c>
      <c r="C23" s="10" t="s">
        <v>1252</v>
      </c>
      <c r="D23" s="10" t="s">
        <v>1263</v>
      </c>
      <c r="E23" s="59">
        <v>1.66</v>
      </c>
      <c r="F23" s="13" t="s">
        <v>19</v>
      </c>
    </row>
    <row r="24" ht="15.75" customHeight="1">
      <c r="A24" s="10" t="s">
        <v>1264</v>
      </c>
      <c r="B24" s="10" t="s">
        <v>1216</v>
      </c>
      <c r="C24" s="10" t="s">
        <v>1252</v>
      </c>
      <c r="D24" s="10" t="s">
        <v>1265</v>
      </c>
      <c r="E24" s="59">
        <v>2.5</v>
      </c>
      <c r="F24" s="13" t="s">
        <v>19</v>
      </c>
    </row>
    <row r="25" ht="15.75" customHeight="1">
      <c r="A25" s="10" t="s">
        <v>1266</v>
      </c>
      <c r="B25" s="10" t="s">
        <v>1216</v>
      </c>
      <c r="C25" s="10" t="s">
        <v>1252</v>
      </c>
      <c r="D25" s="10" t="s">
        <v>1267</v>
      </c>
      <c r="E25" s="59">
        <v>1.5</v>
      </c>
      <c r="F25" s="13" t="s">
        <v>19</v>
      </c>
    </row>
    <row r="26" ht="15.75" customHeight="1">
      <c r="A26" s="10" t="s">
        <v>1268</v>
      </c>
      <c r="B26" s="10" t="s">
        <v>1216</v>
      </c>
      <c r="C26" s="10" t="s">
        <v>1269</v>
      </c>
      <c r="D26" s="10" t="s">
        <v>1270</v>
      </c>
      <c r="E26" s="59">
        <v>0.5</v>
      </c>
      <c r="F26" s="13" t="s">
        <v>19</v>
      </c>
    </row>
    <row r="27" ht="15.75" customHeight="1">
      <c r="A27" s="10" t="s">
        <v>1271</v>
      </c>
      <c r="B27" s="10" t="s">
        <v>1216</v>
      </c>
      <c r="C27" s="10" t="s">
        <v>1269</v>
      </c>
      <c r="D27" s="10" t="s">
        <v>1272</v>
      </c>
      <c r="E27" s="59">
        <v>2.0</v>
      </c>
      <c r="F27" s="13" t="s">
        <v>19</v>
      </c>
    </row>
    <row r="28" ht="15.75" customHeight="1">
      <c r="A28" s="10" t="s">
        <v>1273</v>
      </c>
      <c r="B28" s="17" t="s">
        <v>1216</v>
      </c>
      <c r="C28" s="10" t="s">
        <v>1269</v>
      </c>
      <c r="D28" s="10" t="s">
        <v>1274</v>
      </c>
      <c r="E28" s="59">
        <v>1.0</v>
      </c>
      <c r="F28" s="13" t="s">
        <v>19</v>
      </c>
    </row>
    <row r="29" ht="15.75" customHeight="1">
      <c r="A29" s="10" t="s">
        <v>1275</v>
      </c>
      <c r="B29" s="17" t="s">
        <v>1216</v>
      </c>
      <c r="C29" s="10" t="s">
        <v>1269</v>
      </c>
      <c r="D29" s="10" t="s">
        <v>1276</v>
      </c>
      <c r="E29" s="59"/>
      <c r="F29" s="13" t="s">
        <v>360</v>
      </c>
    </row>
    <row r="30" ht="15.75" customHeight="1">
      <c r="A30" s="10" t="s">
        <v>1277</v>
      </c>
      <c r="B30" s="17" t="s">
        <v>1216</v>
      </c>
      <c r="C30" s="10" t="s">
        <v>1269</v>
      </c>
      <c r="D30" s="10" t="s">
        <v>1276</v>
      </c>
      <c r="E30" s="59"/>
      <c r="F30" s="13" t="s">
        <v>360</v>
      </c>
    </row>
    <row r="31" ht="15.75" customHeight="1">
      <c r="A31" s="10" t="s">
        <v>1278</v>
      </c>
      <c r="B31" s="17" t="s">
        <v>1216</v>
      </c>
      <c r="C31" s="10" t="s">
        <v>1269</v>
      </c>
      <c r="D31" s="10" t="s">
        <v>1279</v>
      </c>
      <c r="E31" s="59">
        <v>0.13</v>
      </c>
      <c r="F31" s="13" t="s">
        <v>360</v>
      </c>
    </row>
    <row r="32" ht="15.75" customHeight="1">
      <c r="A32" s="10" t="s">
        <v>1280</v>
      </c>
      <c r="B32" s="17" t="s">
        <v>1216</v>
      </c>
      <c r="C32" s="10" t="s">
        <v>1269</v>
      </c>
      <c r="D32" s="10" t="s">
        <v>1281</v>
      </c>
      <c r="E32" s="59">
        <v>2.0</v>
      </c>
      <c r="F32" s="13" t="s">
        <v>19</v>
      </c>
    </row>
    <row r="33" ht="15.75" customHeight="1">
      <c r="A33" s="10" t="s">
        <v>1282</v>
      </c>
      <c r="B33" s="17" t="s">
        <v>1216</v>
      </c>
      <c r="C33" s="10" t="s">
        <v>1269</v>
      </c>
      <c r="D33" s="10" t="s">
        <v>1283</v>
      </c>
      <c r="E33" s="59">
        <v>1.0</v>
      </c>
      <c r="F33" s="13" t="s">
        <v>19</v>
      </c>
    </row>
    <row r="34" ht="15.75" customHeight="1">
      <c r="A34" s="10" t="s">
        <v>1284</v>
      </c>
      <c r="B34" s="17" t="s">
        <v>1216</v>
      </c>
      <c r="C34" s="10" t="s">
        <v>1269</v>
      </c>
      <c r="D34" s="10" t="s">
        <v>1285</v>
      </c>
      <c r="E34" s="59">
        <v>12.0</v>
      </c>
      <c r="F34" s="13" t="s">
        <v>19</v>
      </c>
    </row>
    <row r="35" ht="15.75" customHeight="1">
      <c r="A35" s="10" t="s">
        <v>1286</v>
      </c>
      <c r="B35" s="17" t="s">
        <v>1216</v>
      </c>
      <c r="C35" s="10" t="s">
        <v>1269</v>
      </c>
      <c r="D35" s="10" t="s">
        <v>1287</v>
      </c>
      <c r="E35" s="59">
        <v>2.0</v>
      </c>
      <c r="F35" s="13" t="s">
        <v>19</v>
      </c>
    </row>
    <row r="36" ht="15.75" customHeight="1">
      <c r="A36" s="17" t="s">
        <v>1288</v>
      </c>
      <c r="B36" s="17" t="s">
        <v>1216</v>
      </c>
      <c r="C36" s="17" t="s">
        <v>1269</v>
      </c>
      <c r="D36" s="17" t="s">
        <v>1289</v>
      </c>
      <c r="E36" s="18">
        <v>3.0</v>
      </c>
      <c r="F36" s="17" t="s">
        <v>19</v>
      </c>
    </row>
    <row r="37" ht="15.75" customHeight="1">
      <c r="A37" s="17" t="s">
        <v>1290</v>
      </c>
      <c r="B37" s="17" t="s">
        <v>1216</v>
      </c>
      <c r="C37" s="17" t="s">
        <v>1269</v>
      </c>
      <c r="D37" s="17" t="s">
        <v>1291</v>
      </c>
      <c r="E37" s="18">
        <v>3.3</v>
      </c>
      <c r="F37" s="17" t="s">
        <v>19</v>
      </c>
    </row>
    <row r="38" ht="15.75" customHeight="1">
      <c r="A38" s="17" t="s">
        <v>1292</v>
      </c>
      <c r="B38" s="17" t="s">
        <v>1216</v>
      </c>
      <c r="C38" s="17" t="s">
        <v>1269</v>
      </c>
      <c r="D38" s="17" t="s">
        <v>1291</v>
      </c>
      <c r="E38" s="18">
        <v>3.3</v>
      </c>
      <c r="F38" s="17" t="s">
        <v>19</v>
      </c>
    </row>
    <row r="39" ht="15.75" customHeight="1">
      <c r="A39" s="17" t="s">
        <v>1293</v>
      </c>
      <c r="B39" s="17" t="s">
        <v>1216</v>
      </c>
      <c r="C39" s="17" t="s">
        <v>1269</v>
      </c>
      <c r="D39" s="17" t="s">
        <v>1291</v>
      </c>
      <c r="E39" s="18">
        <v>3.3</v>
      </c>
      <c r="F39" s="17" t="s">
        <v>19</v>
      </c>
    </row>
    <row r="40" ht="15.75" customHeight="1">
      <c r="A40" s="17" t="s">
        <v>1294</v>
      </c>
      <c r="B40" s="17" t="s">
        <v>1216</v>
      </c>
      <c r="C40" s="17" t="s">
        <v>1269</v>
      </c>
      <c r="D40" s="17" t="s">
        <v>1295</v>
      </c>
      <c r="E40" s="18">
        <v>4.0</v>
      </c>
      <c r="F40" s="17" t="s">
        <v>19</v>
      </c>
    </row>
    <row r="41" ht="15.75" customHeight="1">
      <c r="A41" s="17" t="s">
        <v>1296</v>
      </c>
      <c r="B41" s="17" t="s">
        <v>1216</v>
      </c>
      <c r="C41" s="17" t="s">
        <v>1269</v>
      </c>
      <c r="D41" s="17" t="s">
        <v>1297</v>
      </c>
      <c r="E41" s="18">
        <v>5.0</v>
      </c>
      <c r="F41" s="17" t="s">
        <v>19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E$41">
    <sortState ref="B1:E41">
      <sortCondition ref="C1:C41"/>
      <sortCondition ref="B1:B41"/>
    </sortState>
  </autoFilter>
  <conditionalFormatting sqref="A1:F35">
    <cfRule type="expression" dxfId="1" priority="1">
      <formula>($F$1:$F35)="NO"</formula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6" width="12.63"/>
  </cols>
  <sheetData>
    <row r="1" ht="15.75" customHeight="1">
      <c r="A1" s="60" t="s">
        <v>4</v>
      </c>
    </row>
    <row r="2" ht="15.75" customHeight="1">
      <c r="A2" s="25" t="s">
        <v>16</v>
      </c>
    </row>
    <row r="3" ht="15.75" customHeight="1">
      <c r="A3" s="25" t="s">
        <v>731</v>
      </c>
    </row>
    <row r="4" ht="15.75" customHeight="1">
      <c r="A4" s="61" t="s">
        <v>1216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5.63"/>
    <col customWidth="1" min="3" max="3" width="12.63"/>
    <col customWidth="1" min="4" max="4" width="108.38"/>
    <col customWidth="1" min="5" max="6" width="12.63"/>
  </cols>
  <sheetData>
    <row r="1" ht="15.75" customHeight="1">
      <c r="A1" s="25" t="s">
        <v>10</v>
      </c>
      <c r="B1" s="62" t="str">
        <f t="array" ref="B1:B8">SORT(UNIQUE(BD!C1:C181))</f>
        <v>AMBITO</v>
      </c>
      <c r="D1" s="62" t="str">
        <f t="array" ref="D1:D176">SORT(UNIQUE(BD!D1:D181))</f>
        <v> MIEMBRO SALUDABLEMENTE - CUIDADOS MUTUOS (45 MIN)</v>
      </c>
    </row>
    <row r="2" ht="15.75" customHeight="1">
      <c r="A2" s="25">
        <v>1.0</v>
      </c>
      <c r="B2" s="25" t="s">
        <v>17</v>
      </c>
      <c r="D2" s="25" t="s">
        <v>11</v>
      </c>
    </row>
    <row r="3" ht="15.75" customHeight="1">
      <c r="A3" s="25">
        <v>2.0</v>
      </c>
      <c r="B3" s="25" t="s">
        <v>58</v>
      </c>
      <c r="D3" s="25" t="s">
        <v>274</v>
      </c>
    </row>
    <row r="4" ht="15.75" customHeight="1">
      <c r="A4" s="25">
        <v>3.0</v>
      </c>
      <c r="B4" s="25" t="s">
        <v>87</v>
      </c>
      <c r="D4" s="25" t="s">
        <v>276</v>
      </c>
    </row>
    <row r="5" ht="15.75" customHeight="1">
      <c r="A5" s="25">
        <v>4.0</v>
      </c>
      <c r="B5" s="25" t="s">
        <v>108</v>
      </c>
      <c r="D5" s="25" t="s">
        <v>278</v>
      </c>
    </row>
    <row r="6" ht="15.75" customHeight="1">
      <c r="A6" s="25">
        <v>5.0</v>
      </c>
      <c r="B6" s="25" t="s">
        <v>208</v>
      </c>
      <c r="D6" s="25" t="s">
        <v>281</v>
      </c>
    </row>
    <row r="7" ht="15.75" customHeight="1">
      <c r="A7" s="25">
        <v>6.0</v>
      </c>
      <c r="B7" s="25" t="s">
        <v>246</v>
      </c>
      <c r="D7" s="25" t="s">
        <v>283</v>
      </c>
    </row>
    <row r="8" ht="15.75" customHeight="1">
      <c r="A8" s="25">
        <v>7.0</v>
      </c>
      <c r="B8" s="25" t="s">
        <v>273</v>
      </c>
      <c r="D8" s="25" t="s">
        <v>109</v>
      </c>
    </row>
    <row r="9" ht="15.75" customHeight="1">
      <c r="A9" s="25">
        <v>8.0</v>
      </c>
      <c r="B9" s="25"/>
      <c r="D9" s="25" t="s">
        <v>285</v>
      </c>
    </row>
    <row r="10" ht="15.75" customHeight="1">
      <c r="A10" s="25">
        <v>9.0</v>
      </c>
      <c r="B10" s="25"/>
      <c r="D10" s="25" t="s">
        <v>710</v>
      </c>
    </row>
    <row r="11" ht="15.75" customHeight="1">
      <c r="A11" s="25">
        <v>10.0</v>
      </c>
      <c r="B11" s="25"/>
      <c r="D11" s="25" t="s">
        <v>712</v>
      </c>
    </row>
    <row r="12" ht="15.75" customHeight="1">
      <c r="A12" s="25">
        <v>11.0</v>
      </c>
      <c r="B12" s="25"/>
      <c r="D12" s="25" t="s">
        <v>708</v>
      </c>
    </row>
    <row r="13" ht="15.75" customHeight="1">
      <c r="A13" s="25">
        <v>12.0</v>
      </c>
      <c r="B13" s="25"/>
      <c r="D13" s="25" t="s">
        <v>111</v>
      </c>
    </row>
    <row r="14" ht="15.75" customHeight="1">
      <c r="A14" s="25">
        <v>13.0</v>
      </c>
      <c r="B14" s="25"/>
      <c r="D14" s="25" t="s">
        <v>113</v>
      </c>
    </row>
    <row r="15" ht="15.75" customHeight="1">
      <c r="A15" s="25">
        <v>14.0</v>
      </c>
      <c r="B15" s="25"/>
      <c r="D15" s="25" t="s">
        <v>115</v>
      </c>
    </row>
    <row r="16" ht="15.75" customHeight="1">
      <c r="A16" s="25">
        <v>15.0</v>
      </c>
      <c r="B16" s="25"/>
      <c r="D16" s="25" t="s">
        <v>118</v>
      </c>
    </row>
    <row r="17" ht="15.75" customHeight="1">
      <c r="B17" s="25"/>
      <c r="D17" s="25" t="s">
        <v>120</v>
      </c>
    </row>
    <row r="18" ht="15.75" customHeight="1">
      <c r="D18" s="25" t="s">
        <v>287</v>
      </c>
    </row>
    <row r="19" ht="15.75" customHeight="1">
      <c r="D19" s="25" t="s">
        <v>289</v>
      </c>
    </row>
    <row r="20" ht="15.75" customHeight="1">
      <c r="D20" s="25" t="s">
        <v>291</v>
      </c>
    </row>
    <row r="21" ht="15.75" customHeight="1">
      <c r="D21" s="25" t="s">
        <v>293</v>
      </c>
    </row>
    <row r="22" ht="15.75" customHeight="1">
      <c r="D22" s="25" t="s">
        <v>295</v>
      </c>
    </row>
    <row r="23" ht="15.75" customHeight="1">
      <c r="D23" s="63" t="s">
        <v>298</v>
      </c>
    </row>
    <row r="24" ht="15.75" customHeight="1">
      <c r="D24" s="63" t="s">
        <v>300</v>
      </c>
    </row>
    <row r="25" ht="15.75" customHeight="1">
      <c r="D25" s="63" t="s">
        <v>302</v>
      </c>
    </row>
    <row r="26" ht="15.75" customHeight="1">
      <c r="D26" s="25" t="s">
        <v>209</v>
      </c>
    </row>
    <row r="27" ht="15.75" customHeight="1">
      <c r="D27" s="63" t="s">
        <v>304</v>
      </c>
    </row>
    <row r="28" ht="15.75" customHeight="1">
      <c r="D28" s="63" t="s">
        <v>306</v>
      </c>
    </row>
    <row r="29" ht="15.75" customHeight="1">
      <c r="D29" s="63" t="s">
        <v>308</v>
      </c>
    </row>
    <row r="30" ht="15.75" customHeight="1">
      <c r="D30" s="63" t="s">
        <v>310</v>
      </c>
    </row>
    <row r="31" ht="15.75" customHeight="1">
      <c r="D31" s="25" t="s">
        <v>90</v>
      </c>
    </row>
    <row r="32" ht="15.75" customHeight="1">
      <c r="D32" s="25" t="s">
        <v>92</v>
      </c>
    </row>
    <row r="33" ht="15.75" customHeight="1">
      <c r="D33" s="25" t="s">
        <v>94</v>
      </c>
    </row>
    <row r="34" ht="15.75" customHeight="1">
      <c r="D34" s="25" t="s">
        <v>96</v>
      </c>
    </row>
    <row r="35" ht="15.75" customHeight="1">
      <c r="D35" s="25" t="s">
        <v>98</v>
      </c>
    </row>
    <row r="36" ht="15.75" customHeight="1">
      <c r="D36" s="25" t="s">
        <v>123</v>
      </c>
    </row>
    <row r="37" ht="15.75" customHeight="1">
      <c r="D37" s="25" t="s">
        <v>18</v>
      </c>
    </row>
    <row r="38" ht="15.75" customHeight="1">
      <c r="D38" s="25" t="s">
        <v>21</v>
      </c>
    </row>
    <row r="39" ht="15.75" customHeight="1">
      <c r="D39" s="63" t="s">
        <v>312</v>
      </c>
    </row>
    <row r="40" ht="15.75" customHeight="1">
      <c r="D40" s="25" t="s">
        <v>125</v>
      </c>
    </row>
    <row r="41" ht="15.75" customHeight="1">
      <c r="D41" s="25" t="s">
        <v>212</v>
      </c>
    </row>
    <row r="42" ht="15.75" customHeight="1">
      <c r="D42" s="25" t="s">
        <v>214</v>
      </c>
    </row>
    <row r="43" ht="15.75" customHeight="1">
      <c r="D43" s="25" t="s">
        <v>216</v>
      </c>
    </row>
    <row r="44" ht="15.75" customHeight="1">
      <c r="D44" s="25" t="s">
        <v>655</v>
      </c>
    </row>
    <row r="45" ht="15.75" customHeight="1">
      <c r="D45" s="25" t="s">
        <v>218</v>
      </c>
    </row>
    <row r="46" ht="15.75" customHeight="1">
      <c r="D46" s="25" t="s">
        <v>220</v>
      </c>
    </row>
    <row r="47" ht="15.75" customHeight="1">
      <c r="D47" s="25" t="s">
        <v>127</v>
      </c>
    </row>
    <row r="48" ht="15.75" customHeight="1">
      <c r="D48" s="25" t="s">
        <v>23</v>
      </c>
    </row>
    <row r="49" ht="15.75" customHeight="1">
      <c r="D49" s="25" t="s">
        <v>25</v>
      </c>
    </row>
    <row r="50" ht="15.75" customHeight="1">
      <c r="D50" s="25" t="s">
        <v>27</v>
      </c>
    </row>
    <row r="51" ht="15.75" customHeight="1">
      <c r="D51" s="25" t="s">
        <v>129</v>
      </c>
    </row>
    <row r="52" ht="15.75" customHeight="1">
      <c r="D52" s="25" t="s">
        <v>131</v>
      </c>
    </row>
    <row r="53" ht="15.75" customHeight="1">
      <c r="D53" s="25" t="s">
        <v>133</v>
      </c>
    </row>
    <row r="54" ht="15.75" customHeight="1">
      <c r="D54" s="63" t="s">
        <v>314</v>
      </c>
    </row>
    <row r="55" ht="15.75" customHeight="1">
      <c r="D55" s="63" t="s">
        <v>316</v>
      </c>
    </row>
    <row r="56" ht="15.75" customHeight="1">
      <c r="D56" s="25" t="s">
        <v>247</v>
      </c>
    </row>
    <row r="57" ht="15.75" customHeight="1">
      <c r="D57" s="25" t="s">
        <v>249</v>
      </c>
    </row>
    <row r="58" ht="15.75" customHeight="1">
      <c r="D58" s="25" t="s">
        <v>251</v>
      </c>
    </row>
    <row r="59" ht="15.75" customHeight="1">
      <c r="D59" s="25" t="s">
        <v>253</v>
      </c>
    </row>
    <row r="60" ht="15.75" customHeight="1">
      <c r="D60" s="25" t="s">
        <v>59</v>
      </c>
    </row>
    <row r="61" ht="15.75" customHeight="1">
      <c r="D61" s="25" t="s">
        <v>61</v>
      </c>
    </row>
    <row r="62" ht="15.75" customHeight="1">
      <c r="D62" s="25" t="s">
        <v>63</v>
      </c>
    </row>
    <row r="63" ht="15.75" customHeight="1">
      <c r="D63" s="25" t="s">
        <v>65</v>
      </c>
    </row>
    <row r="64" ht="15.75" customHeight="1">
      <c r="D64" s="25" t="s">
        <v>135</v>
      </c>
    </row>
    <row r="65" ht="15.75" customHeight="1">
      <c r="D65" s="25" t="s">
        <v>137</v>
      </c>
    </row>
    <row r="66" ht="15.75" customHeight="1">
      <c r="D66" s="25" t="s">
        <v>139</v>
      </c>
    </row>
    <row r="67" ht="15.75" customHeight="1">
      <c r="D67" s="25" t="s">
        <v>702</v>
      </c>
    </row>
    <row r="68" ht="15.75" customHeight="1">
      <c r="D68" s="25" t="s">
        <v>700</v>
      </c>
    </row>
    <row r="69" ht="15.75" customHeight="1">
      <c r="D69" s="25" t="s">
        <v>67</v>
      </c>
    </row>
    <row r="70" ht="15.75" customHeight="1">
      <c r="D70" s="25" t="s">
        <v>69</v>
      </c>
    </row>
    <row r="71" ht="15.75" customHeight="1">
      <c r="D71" s="25" t="s">
        <v>71</v>
      </c>
    </row>
    <row r="72" ht="15.75" customHeight="1">
      <c r="D72" s="25" t="s">
        <v>73</v>
      </c>
    </row>
    <row r="73" ht="15.75" customHeight="1">
      <c r="D73" s="25" t="s">
        <v>29</v>
      </c>
    </row>
    <row r="74" ht="15.75" customHeight="1">
      <c r="D74" s="25" t="s">
        <v>31</v>
      </c>
    </row>
    <row r="75" ht="15.75" customHeight="1">
      <c r="D75" s="25" t="s">
        <v>34</v>
      </c>
    </row>
    <row r="76" ht="15.75" customHeight="1">
      <c r="D76" s="63" t="s">
        <v>75</v>
      </c>
    </row>
    <row r="77" ht="15.75" customHeight="1">
      <c r="D77" s="63" t="s">
        <v>77</v>
      </c>
    </row>
    <row r="78" ht="15.75" customHeight="1">
      <c r="D78" s="63" t="s">
        <v>79</v>
      </c>
    </row>
    <row r="79" ht="15.75" customHeight="1">
      <c r="D79" s="63" t="s">
        <v>255</v>
      </c>
    </row>
    <row r="80" ht="15.75" customHeight="1">
      <c r="D80" s="63" t="s">
        <v>319</v>
      </c>
    </row>
    <row r="81" ht="15.75" customHeight="1">
      <c r="D81" s="25" t="s">
        <v>257</v>
      </c>
    </row>
    <row r="82" ht="15.75" customHeight="1">
      <c r="D82" s="63" t="s">
        <v>322</v>
      </c>
    </row>
    <row r="83" ht="15.75" customHeight="1">
      <c r="D83" s="63" t="s">
        <v>324</v>
      </c>
    </row>
    <row r="84" ht="15.75" customHeight="1">
      <c r="D84" s="63" t="s">
        <v>326</v>
      </c>
    </row>
    <row r="85" ht="15.75" customHeight="1">
      <c r="D85" s="63" t="s">
        <v>328</v>
      </c>
    </row>
    <row r="86" ht="15.75" customHeight="1">
      <c r="D86" s="25" t="s">
        <v>706</v>
      </c>
    </row>
    <row r="87" ht="15.75" customHeight="1">
      <c r="D87" s="25" t="s">
        <v>142</v>
      </c>
    </row>
    <row r="88" ht="15.75" customHeight="1">
      <c r="D88" s="25" t="s">
        <v>144</v>
      </c>
    </row>
    <row r="89" ht="15.75" customHeight="1">
      <c r="D89" s="25" t="s">
        <v>146</v>
      </c>
    </row>
    <row r="90" ht="15.75" customHeight="1">
      <c r="D90" s="25" t="s">
        <v>148</v>
      </c>
    </row>
    <row r="91" ht="15.75" customHeight="1">
      <c r="D91" s="25" t="s">
        <v>150</v>
      </c>
    </row>
    <row r="92" ht="15.75" customHeight="1">
      <c r="D92" s="25" t="s">
        <v>152</v>
      </c>
    </row>
    <row r="93" ht="15.75" customHeight="1">
      <c r="D93" s="25" t="s">
        <v>259</v>
      </c>
    </row>
    <row r="94" ht="15.75" customHeight="1">
      <c r="D94" s="63" t="s">
        <v>330</v>
      </c>
    </row>
    <row r="95" ht="15.75" customHeight="1">
      <c r="D95" s="25" t="s">
        <v>332</v>
      </c>
    </row>
    <row r="96" ht="15.75" customHeight="1">
      <c r="D96" s="25" t="s">
        <v>334</v>
      </c>
    </row>
    <row r="97" ht="15.75" customHeight="1">
      <c r="D97" s="25" t="s">
        <v>336</v>
      </c>
    </row>
    <row r="98" ht="15.75" customHeight="1">
      <c r="D98" s="25" t="s">
        <v>338</v>
      </c>
    </row>
    <row r="99" ht="15.75" customHeight="1">
      <c r="D99" s="25" t="s">
        <v>340</v>
      </c>
    </row>
    <row r="100" ht="15.75" customHeight="1">
      <c r="D100" s="63" t="s">
        <v>261</v>
      </c>
    </row>
    <row r="101" ht="15.75" customHeight="1">
      <c r="D101" s="63" t="s">
        <v>263</v>
      </c>
    </row>
    <row r="102" ht="15.75" customHeight="1">
      <c r="D102" s="63" t="s">
        <v>342</v>
      </c>
    </row>
    <row r="103" ht="15.75" customHeight="1">
      <c r="D103" s="63" t="s">
        <v>345</v>
      </c>
    </row>
    <row r="104" ht="15.75" customHeight="1">
      <c r="D104" s="63" t="s">
        <v>347</v>
      </c>
    </row>
    <row r="105" ht="15.75" customHeight="1">
      <c r="D105" s="63" t="s">
        <v>349</v>
      </c>
    </row>
    <row r="106" ht="15.75" customHeight="1">
      <c r="D106" s="25" t="s">
        <v>351</v>
      </c>
    </row>
    <row r="107" ht="15.75" customHeight="1">
      <c r="D107" s="25" t="s">
        <v>353</v>
      </c>
    </row>
    <row r="108" ht="15.75" customHeight="1">
      <c r="D108" s="25" t="s">
        <v>355</v>
      </c>
    </row>
    <row r="109" ht="15.75" customHeight="1">
      <c r="D109" s="25" t="s">
        <v>357</v>
      </c>
    </row>
    <row r="110" ht="15.75" customHeight="1">
      <c r="D110" s="25" t="s">
        <v>362</v>
      </c>
    </row>
    <row r="111" ht="15.75" customHeight="1">
      <c r="D111" s="25" t="s">
        <v>364</v>
      </c>
    </row>
    <row r="112" ht="15.75" customHeight="1">
      <c r="D112" s="25" t="s">
        <v>366</v>
      </c>
    </row>
    <row r="113" ht="15.75" customHeight="1">
      <c r="D113" s="25" t="s">
        <v>36</v>
      </c>
    </row>
    <row r="114" ht="15.75" customHeight="1">
      <c r="D114" s="25" t="s">
        <v>81</v>
      </c>
    </row>
    <row r="115" ht="15.75" customHeight="1">
      <c r="D115" s="25" t="s">
        <v>83</v>
      </c>
    </row>
    <row r="116" ht="15.75" customHeight="1">
      <c r="D116" s="25" t="s">
        <v>85</v>
      </c>
    </row>
    <row r="117" ht="15.75" customHeight="1">
      <c r="D117" s="25" t="s">
        <v>265</v>
      </c>
    </row>
    <row r="118" ht="15.75" customHeight="1">
      <c r="D118" s="25" t="s">
        <v>222</v>
      </c>
    </row>
    <row r="119" ht="15.75" customHeight="1">
      <c r="D119" s="25" t="s">
        <v>100</v>
      </c>
    </row>
    <row r="120" ht="15.75" customHeight="1">
      <c r="D120" s="63" t="s">
        <v>267</v>
      </c>
    </row>
    <row r="121" ht="15.75" customHeight="1">
      <c r="D121" s="63" t="s">
        <v>269</v>
      </c>
    </row>
    <row r="122" ht="15.75" customHeight="1">
      <c r="D122" s="25" t="s">
        <v>271</v>
      </c>
    </row>
    <row r="123" ht="15.75" customHeight="1">
      <c r="D123" s="25" t="s">
        <v>154</v>
      </c>
    </row>
    <row r="124" ht="15.75" customHeight="1">
      <c r="D124" s="63" t="s">
        <v>224</v>
      </c>
    </row>
    <row r="125" ht="15.75" customHeight="1">
      <c r="D125" s="25" t="s">
        <v>226</v>
      </c>
    </row>
    <row r="126" ht="15.75" customHeight="1">
      <c r="D126" s="25" t="s">
        <v>228</v>
      </c>
    </row>
    <row r="127" ht="15.75" customHeight="1">
      <c r="D127" s="25" t="s">
        <v>230</v>
      </c>
    </row>
    <row r="128" ht="15.75" customHeight="1">
      <c r="D128" s="25" t="s">
        <v>232</v>
      </c>
    </row>
    <row r="129" ht="15.75" customHeight="1">
      <c r="D129" s="25" t="s">
        <v>156</v>
      </c>
    </row>
    <row r="130" ht="15.75" customHeight="1">
      <c r="D130" s="25" t="s">
        <v>158</v>
      </c>
    </row>
    <row r="131" ht="15.75" customHeight="1">
      <c r="D131" s="25" t="s">
        <v>160</v>
      </c>
    </row>
    <row r="132" ht="15.75" customHeight="1">
      <c r="D132" s="63" t="s">
        <v>162</v>
      </c>
    </row>
    <row r="133" ht="15.75" customHeight="1">
      <c r="D133" s="25" t="s">
        <v>164</v>
      </c>
    </row>
    <row r="134" ht="15.75" customHeight="1">
      <c r="D134" s="25" t="s">
        <v>166</v>
      </c>
    </row>
    <row r="135" ht="15.75" customHeight="1">
      <c r="D135" s="25" t="s">
        <v>168</v>
      </c>
    </row>
    <row r="136" ht="15.75" customHeight="1">
      <c r="D136" s="25" t="s">
        <v>170</v>
      </c>
    </row>
    <row r="137" ht="15.75" customHeight="1">
      <c r="D137" s="63" t="s">
        <v>172</v>
      </c>
    </row>
    <row r="138" ht="15.75" customHeight="1">
      <c r="D138" s="25" t="s">
        <v>174</v>
      </c>
    </row>
    <row r="139" ht="15.75" customHeight="1">
      <c r="D139" s="25" t="s">
        <v>176</v>
      </c>
    </row>
    <row r="140" ht="15.75" customHeight="1">
      <c r="D140" s="25" t="s">
        <v>104</v>
      </c>
    </row>
    <row r="141" ht="15.75" customHeight="1">
      <c r="D141" s="25" t="s">
        <v>106</v>
      </c>
    </row>
    <row r="142" ht="15.75" customHeight="1">
      <c r="D142" s="25" t="s">
        <v>234</v>
      </c>
    </row>
    <row r="143" ht="15.75" customHeight="1">
      <c r="D143" s="25" t="s">
        <v>236</v>
      </c>
    </row>
    <row r="144" ht="15.75" customHeight="1">
      <c r="D144" s="25" t="s">
        <v>238</v>
      </c>
    </row>
    <row r="145" ht="15.75" customHeight="1">
      <c r="D145" s="25" t="s">
        <v>240</v>
      </c>
    </row>
    <row r="146" ht="15.75" customHeight="1">
      <c r="D146" s="25" t="s">
        <v>242</v>
      </c>
    </row>
    <row r="147" ht="15.75" customHeight="1">
      <c r="D147" s="25" t="s">
        <v>244</v>
      </c>
    </row>
    <row r="148" ht="15.75" customHeight="1">
      <c r="D148" s="25" t="s">
        <v>651</v>
      </c>
    </row>
    <row r="149" ht="15.75" customHeight="1">
      <c r="D149" s="25" t="s">
        <v>178</v>
      </c>
    </row>
    <row r="150" ht="15.75" customHeight="1">
      <c r="D150" s="25" t="s">
        <v>180</v>
      </c>
    </row>
    <row r="151" ht="15.75" customHeight="1">
      <c r="D151" s="25" t="s">
        <v>182</v>
      </c>
    </row>
    <row r="152" ht="15.75" customHeight="1">
      <c r="D152" s="25" t="s">
        <v>184</v>
      </c>
    </row>
    <row r="153" ht="15.75" customHeight="1">
      <c r="D153" s="25" t="s">
        <v>186</v>
      </c>
    </row>
    <row r="154" ht="15.75" customHeight="1">
      <c r="D154" s="25" t="s">
        <v>188</v>
      </c>
    </row>
    <row r="155" ht="15.75" customHeight="1">
      <c r="D155" s="25" t="s">
        <v>38</v>
      </c>
    </row>
    <row r="156" ht="15.75" customHeight="1">
      <c r="D156" s="63" t="s">
        <v>40</v>
      </c>
    </row>
    <row r="157" ht="15.75" customHeight="1">
      <c r="D157" s="63" t="s">
        <v>42</v>
      </c>
    </row>
    <row r="158" ht="15.75" customHeight="1">
      <c r="D158" s="25" t="s">
        <v>44</v>
      </c>
    </row>
    <row r="159" ht="15.75" customHeight="1">
      <c r="D159" s="25" t="s">
        <v>46</v>
      </c>
    </row>
    <row r="160" ht="15.75" customHeight="1">
      <c r="D160" s="25" t="s">
        <v>716</v>
      </c>
    </row>
    <row r="161" ht="15.75" customHeight="1">
      <c r="D161" s="25" t="s">
        <v>48</v>
      </c>
    </row>
    <row r="162" ht="15.75" customHeight="1">
      <c r="D162" s="63" t="s">
        <v>50</v>
      </c>
    </row>
    <row r="163" ht="15.75" customHeight="1">
      <c r="D163" s="25" t="s">
        <v>52</v>
      </c>
    </row>
    <row r="164" ht="15.75" customHeight="1">
      <c r="D164" s="25" t="s">
        <v>54</v>
      </c>
    </row>
    <row r="165" ht="15.75" customHeight="1">
      <c r="D165" s="25" t="s">
        <v>56</v>
      </c>
    </row>
    <row r="166" ht="15.75" customHeight="1">
      <c r="D166" s="25" t="s">
        <v>190</v>
      </c>
    </row>
    <row r="167" ht="15.75" customHeight="1">
      <c r="D167" s="25" t="s">
        <v>192</v>
      </c>
    </row>
    <row r="168" ht="15.75" customHeight="1">
      <c r="D168" s="25" t="s">
        <v>704</v>
      </c>
    </row>
    <row r="169" ht="15.75" customHeight="1">
      <c r="D169" s="25" t="s">
        <v>194</v>
      </c>
    </row>
    <row r="170" ht="15.75" customHeight="1">
      <c r="D170" s="25" t="s">
        <v>196</v>
      </c>
    </row>
    <row r="171" ht="15.75" customHeight="1">
      <c r="D171" s="25" t="s">
        <v>198</v>
      </c>
    </row>
    <row r="172" ht="15.75" customHeight="1">
      <c r="D172" s="25" t="s">
        <v>653</v>
      </c>
    </row>
    <row r="173" ht="15.75" customHeight="1">
      <c r="D173" s="25" t="s">
        <v>200</v>
      </c>
    </row>
    <row r="174" ht="15.75" customHeight="1">
      <c r="D174" s="25" t="s">
        <v>202</v>
      </c>
    </row>
    <row r="175" ht="15.75" customHeight="1">
      <c r="D175" s="25" t="s">
        <v>204</v>
      </c>
    </row>
    <row r="176" ht="15.75" customHeight="1">
      <c r="D176" s="25" t="s">
        <v>206</v>
      </c>
    </row>
    <row r="177" ht="15.75" customHeight="1">
      <c r="D177" s="25"/>
    </row>
    <row r="178" ht="15.75" customHeight="1">
      <c r="D178" s="25"/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63"/>
    <col customWidth="1" min="3" max="3" width="29.63"/>
    <col customWidth="1" min="4" max="4" width="28.63"/>
    <col customWidth="1" min="5" max="6" width="12.63"/>
  </cols>
  <sheetData>
    <row r="1" ht="15.75" customHeight="1">
      <c r="A1" s="25" t="s">
        <v>10</v>
      </c>
      <c r="B1" s="64" t="s">
        <v>1298</v>
      </c>
      <c r="C1" s="64" t="s">
        <v>1299</v>
      </c>
      <c r="D1" s="64" t="s">
        <v>1300</v>
      </c>
    </row>
    <row r="2" ht="15.75" customHeight="1">
      <c r="A2" s="25">
        <v>1.0</v>
      </c>
      <c r="B2" s="65" t="s">
        <v>1301</v>
      </c>
      <c r="C2" s="65" t="s">
        <v>1302</v>
      </c>
      <c r="D2" s="65" t="s">
        <v>1303</v>
      </c>
    </row>
    <row r="3" ht="15.75" customHeight="1">
      <c r="A3" s="25">
        <v>2.0</v>
      </c>
      <c r="B3" s="65" t="s">
        <v>1301</v>
      </c>
      <c r="C3" s="65" t="s">
        <v>1304</v>
      </c>
      <c r="D3" s="65" t="s">
        <v>1305</v>
      </c>
    </row>
    <row r="4" ht="15.75" customHeight="1">
      <c r="A4" s="25">
        <v>3.0</v>
      </c>
      <c r="B4" s="65" t="s">
        <v>1301</v>
      </c>
      <c r="C4" s="65" t="s">
        <v>1306</v>
      </c>
      <c r="D4" s="65" t="s">
        <v>1306</v>
      </c>
    </row>
    <row r="5" ht="15.75" customHeight="1">
      <c r="A5" s="25">
        <v>4.0</v>
      </c>
      <c r="B5" s="65" t="s">
        <v>1307</v>
      </c>
      <c r="C5" s="65" t="s">
        <v>1308</v>
      </c>
      <c r="D5" s="65" t="s">
        <v>1309</v>
      </c>
    </row>
    <row r="6" ht="15.75" customHeight="1">
      <c r="A6" s="25">
        <v>5.0</v>
      </c>
      <c r="B6" s="65" t="s">
        <v>1307</v>
      </c>
      <c r="C6" s="65" t="s">
        <v>1310</v>
      </c>
      <c r="D6" s="65" t="s">
        <v>1310</v>
      </c>
    </row>
    <row r="7" ht="15.75" customHeight="1">
      <c r="A7" s="25">
        <v>6.0</v>
      </c>
      <c r="B7" s="65" t="s">
        <v>1307</v>
      </c>
      <c r="C7" s="65" t="s">
        <v>1311</v>
      </c>
      <c r="D7" s="65" t="s">
        <v>1312</v>
      </c>
    </row>
    <row r="8" ht="15.75" customHeight="1">
      <c r="A8" s="25">
        <v>7.0</v>
      </c>
      <c r="B8" s="65" t="s">
        <v>1307</v>
      </c>
      <c r="C8" s="65" t="s">
        <v>1313</v>
      </c>
      <c r="D8" s="65" t="s">
        <v>1314</v>
      </c>
    </row>
    <row r="9" ht="15.75" customHeight="1">
      <c r="A9" s="25">
        <v>8.0</v>
      </c>
      <c r="B9" s="65" t="s">
        <v>1307</v>
      </c>
      <c r="C9" s="65" t="s">
        <v>1315</v>
      </c>
      <c r="D9" s="65" t="s">
        <v>1315</v>
      </c>
    </row>
    <row r="10" ht="15.75" customHeight="1">
      <c r="A10" s="25">
        <v>9.0</v>
      </c>
      <c r="B10" s="65" t="s">
        <v>1307</v>
      </c>
      <c r="C10" s="65" t="s">
        <v>1316</v>
      </c>
      <c r="D10" s="65" t="s">
        <v>1316</v>
      </c>
    </row>
    <row r="11" ht="15.75" customHeight="1">
      <c r="A11" s="25">
        <v>10.0</v>
      </c>
      <c r="B11" s="65" t="s">
        <v>1307</v>
      </c>
      <c r="C11" s="65" t="s">
        <v>1317</v>
      </c>
      <c r="D11" s="65" t="s">
        <v>1317</v>
      </c>
    </row>
    <row r="12" ht="15.75" customHeight="1">
      <c r="A12" s="25">
        <v>11.0</v>
      </c>
      <c r="B12" s="65" t="s">
        <v>1307</v>
      </c>
      <c r="C12" s="65" t="s">
        <v>1318</v>
      </c>
      <c r="D12" s="65" t="s">
        <v>1319</v>
      </c>
    </row>
    <row r="13" ht="15.75" customHeight="1">
      <c r="A13" s="25">
        <v>12.0</v>
      </c>
      <c r="B13" s="65" t="s">
        <v>1307</v>
      </c>
      <c r="C13" s="65" t="s">
        <v>1308</v>
      </c>
      <c r="D13" s="65" t="s">
        <v>1308</v>
      </c>
    </row>
    <row r="14" ht="15.75" customHeight="1">
      <c r="A14" s="25">
        <v>13.0</v>
      </c>
      <c r="B14" s="65" t="s">
        <v>1320</v>
      </c>
      <c r="C14" s="65" t="s">
        <v>1321</v>
      </c>
      <c r="D14" s="65" t="s">
        <v>1322</v>
      </c>
    </row>
    <row r="15" ht="15.75" customHeight="1">
      <c r="A15" s="25">
        <v>14.0</v>
      </c>
      <c r="B15" s="65" t="s">
        <v>1320</v>
      </c>
      <c r="C15" s="65" t="s">
        <v>1323</v>
      </c>
      <c r="D15" s="65" t="s">
        <v>1324</v>
      </c>
    </row>
    <row r="16" ht="15.75" customHeight="1">
      <c r="A16" s="18">
        <v>15.0</v>
      </c>
      <c r="B16" s="17" t="s">
        <v>1320</v>
      </c>
      <c r="C16" s="17" t="s">
        <v>1325</v>
      </c>
      <c r="D16" s="17" t="s">
        <v>1326</v>
      </c>
    </row>
    <row r="17" ht="15.75" customHeight="1">
      <c r="A17" s="18">
        <v>16.0</v>
      </c>
      <c r="B17" s="17" t="s">
        <v>1320</v>
      </c>
      <c r="C17" s="17" t="s">
        <v>1327</v>
      </c>
      <c r="D17" s="17" t="s">
        <v>1328</v>
      </c>
    </row>
    <row r="18" ht="15.75" customHeight="1">
      <c r="A18" s="18">
        <v>17.0</v>
      </c>
      <c r="B18" s="17" t="s">
        <v>1307</v>
      </c>
      <c r="C18" s="17" t="s">
        <v>1329</v>
      </c>
      <c r="D18" s="17" t="s">
        <v>1329</v>
      </c>
    </row>
    <row r="19" ht="15.75" customHeight="1">
      <c r="A19" s="18">
        <v>18.0</v>
      </c>
      <c r="B19" s="17" t="s">
        <v>1307</v>
      </c>
      <c r="C19" s="17" t="s">
        <v>1330</v>
      </c>
      <c r="D19" s="17" t="s">
        <v>1330</v>
      </c>
    </row>
    <row r="20" ht="15.75" customHeight="1">
      <c r="A20" s="18">
        <v>19.0</v>
      </c>
      <c r="B20" s="17" t="s">
        <v>1307</v>
      </c>
      <c r="C20" s="17" t="s">
        <v>1331</v>
      </c>
      <c r="D20" s="17" t="s">
        <v>1331</v>
      </c>
    </row>
    <row r="21" ht="15.75" customHeight="1">
      <c r="A21" s="18">
        <v>20.0</v>
      </c>
      <c r="B21" s="17" t="s">
        <v>1307</v>
      </c>
      <c r="C21" s="17" t="s">
        <v>1332</v>
      </c>
      <c r="D21" s="17" t="s">
        <v>1332</v>
      </c>
    </row>
    <row r="22" ht="15.75" customHeight="1">
      <c r="A22" s="18">
        <v>21.0</v>
      </c>
      <c r="B22" s="17" t="s">
        <v>1301</v>
      </c>
      <c r="C22" s="17" t="s">
        <v>1333</v>
      </c>
      <c r="D22" s="17" t="s">
        <v>1333</v>
      </c>
    </row>
    <row r="23" ht="15.75" customHeight="1">
      <c r="A23" s="18">
        <v>22.0</v>
      </c>
      <c r="B23" s="17" t="s">
        <v>1301</v>
      </c>
      <c r="C23" s="17" t="s">
        <v>1334</v>
      </c>
      <c r="D23" s="17" t="s">
        <v>1334</v>
      </c>
    </row>
    <row r="24" ht="15.75" customHeight="1">
      <c r="A24" s="18">
        <v>23.0</v>
      </c>
      <c r="B24" s="17" t="s">
        <v>1307</v>
      </c>
      <c r="C24" s="17" t="s">
        <v>1335</v>
      </c>
      <c r="D24" s="17" t="s">
        <v>1335</v>
      </c>
    </row>
    <row r="25" ht="15.75" customHeight="1">
      <c r="A25" s="18">
        <v>24.0</v>
      </c>
      <c r="B25" s="17" t="s">
        <v>1307</v>
      </c>
      <c r="C25" s="17" t="s">
        <v>1336</v>
      </c>
      <c r="D25" s="17" t="s">
        <v>1336</v>
      </c>
    </row>
    <row r="26" ht="15.75" customHeight="1">
      <c r="A26" s="18">
        <v>25.0</v>
      </c>
      <c r="B26" s="17" t="s">
        <v>1320</v>
      </c>
      <c r="C26" s="17" t="s">
        <v>1337</v>
      </c>
      <c r="D26" s="17" t="s">
        <v>1337</v>
      </c>
    </row>
    <row r="27" ht="15.75" customHeight="1">
      <c r="A27" s="18">
        <v>26.0</v>
      </c>
      <c r="B27" s="17" t="s">
        <v>1320</v>
      </c>
      <c r="C27" s="17" t="s">
        <v>1338</v>
      </c>
      <c r="D27" s="17" t="s">
        <v>1338</v>
      </c>
    </row>
    <row r="28" ht="15.75" customHeight="1">
      <c r="A28" s="18">
        <v>27.0</v>
      </c>
      <c r="B28" s="17" t="s">
        <v>1320</v>
      </c>
      <c r="C28" s="17" t="s">
        <v>1339</v>
      </c>
      <c r="D28" s="17" t="s">
        <v>1339</v>
      </c>
    </row>
    <row r="29" ht="15.75" customHeight="1">
      <c r="E29" s="66" t="s">
        <v>1340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62634374" ref="E29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75"/>
    <col customWidth="1" min="2" max="6" width="12.63"/>
  </cols>
  <sheetData>
    <row r="1" ht="15.75" customHeight="1">
      <c r="A1" s="25" t="s">
        <v>1341</v>
      </c>
    </row>
    <row r="2" ht="15.75" customHeight="1">
      <c r="A2" s="25" t="s">
        <v>1342</v>
      </c>
    </row>
    <row r="3" ht="15.75" customHeight="1">
      <c r="A3" s="25" t="s">
        <v>1343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.88"/>
    <col customWidth="1" min="3" max="3" width="5.88"/>
    <col customWidth="1" min="4" max="4" width="12.63"/>
    <col customWidth="1" min="5" max="5" width="2.25"/>
    <col customWidth="1" min="6" max="6" width="30.38"/>
    <col customWidth="1" min="7" max="7" width="43.0"/>
    <col customWidth="1" min="11" max="11" width="26.25"/>
    <col customWidth="1" min="12" max="12" width="31.75"/>
    <col customWidth="1" min="13" max="13" width="29.13"/>
    <col customWidth="1" min="14" max="14" width="37.38"/>
    <col customWidth="1" min="15" max="15" width="4.38"/>
    <col customWidth="1" min="16" max="16" width="9.25"/>
    <col customWidth="1" min="17" max="17" width="18.75"/>
    <col customWidth="1" min="18" max="18" width="1.75"/>
    <col customWidth="1" min="19" max="19" width="48.88"/>
  </cols>
  <sheetData>
    <row r="1" ht="15.75" customHeight="1">
      <c r="A1" s="67" t="s">
        <v>731</v>
      </c>
      <c r="B1" s="68"/>
      <c r="C1" s="68"/>
      <c r="D1" s="69" t="s">
        <v>1344</v>
      </c>
      <c r="E1" s="68"/>
      <c r="F1" s="70" t="s">
        <v>1345</v>
      </c>
      <c r="G1" s="67" t="s">
        <v>1346</v>
      </c>
      <c r="H1" s="71"/>
      <c r="I1" s="72"/>
      <c r="J1" s="73" t="s">
        <v>16</v>
      </c>
      <c r="K1" s="74" t="s">
        <v>5</v>
      </c>
      <c r="L1" s="75" t="s">
        <v>1347</v>
      </c>
      <c r="M1" s="76" t="s">
        <v>1345</v>
      </c>
      <c r="N1" s="76" t="s">
        <v>16</v>
      </c>
      <c r="O1" s="71"/>
      <c r="P1" s="71" t="s">
        <v>1348</v>
      </c>
      <c r="Q1" s="77"/>
      <c r="R1" s="77"/>
      <c r="S1" s="77" t="s">
        <v>1349</v>
      </c>
      <c r="T1" s="71"/>
      <c r="U1" s="71"/>
      <c r="V1" s="71"/>
    </row>
    <row r="2" ht="15.75" customHeight="1">
      <c r="A2" s="78">
        <v>0.3333333333333333</v>
      </c>
      <c r="B2" s="78">
        <v>0.3333333333333333</v>
      </c>
      <c r="C2" s="77"/>
      <c r="D2" s="77" t="s">
        <v>1350</v>
      </c>
      <c r="E2" s="77"/>
      <c r="F2" s="77" t="s">
        <v>1351</v>
      </c>
      <c r="G2" s="79" t="s">
        <v>1031</v>
      </c>
      <c r="H2" s="77"/>
      <c r="I2" s="80"/>
      <c r="J2" s="77"/>
      <c r="K2" s="77" t="s">
        <v>1352</v>
      </c>
      <c r="L2" s="81" t="s">
        <v>1353</v>
      </c>
      <c r="M2" s="81" t="s">
        <v>1354</v>
      </c>
      <c r="N2" s="81" t="s">
        <v>1354</v>
      </c>
      <c r="O2" s="77"/>
      <c r="P2" s="77" t="str">
        <f t="array" ref="P2">SORT(UNIQUE(FUNC!B2:C626))</f>
        <v>#REF!</v>
      </c>
      <c r="Q2" s="77"/>
      <c r="R2" s="77"/>
      <c r="S2" s="77" t="str">
        <f t="array" ref="S2">SORT(UNIQUE(FUNC!E2:E626))</f>
        <v>#REF!</v>
      </c>
      <c r="T2" s="77"/>
      <c r="U2" s="77"/>
      <c r="V2" s="77"/>
    </row>
    <row r="3" ht="15.75" customHeight="1">
      <c r="A3" s="78">
        <v>0.3402777777777778</v>
      </c>
      <c r="B3" s="78">
        <v>0.3541666666666667</v>
      </c>
      <c r="C3" s="77"/>
      <c r="D3" s="77" t="s">
        <v>1355</v>
      </c>
      <c r="E3" s="77"/>
      <c r="F3" s="77" t="s">
        <v>1351</v>
      </c>
      <c r="G3" s="77" t="s">
        <v>1356</v>
      </c>
      <c r="H3" s="77"/>
      <c r="I3" s="80"/>
      <c r="J3" s="77"/>
      <c r="K3" s="77" t="s">
        <v>1357</v>
      </c>
      <c r="L3" s="81" t="s">
        <v>1351</v>
      </c>
      <c r="M3" s="81" t="s">
        <v>1351</v>
      </c>
      <c r="N3" s="81" t="s">
        <v>255</v>
      </c>
      <c r="O3" s="77"/>
      <c r="P3" s="77"/>
      <c r="Q3" s="77"/>
      <c r="R3" s="77"/>
      <c r="S3" s="77"/>
      <c r="T3" s="77"/>
      <c r="U3" s="77"/>
      <c r="V3" s="77"/>
    </row>
    <row r="4" ht="15.75" customHeight="1">
      <c r="A4" s="78">
        <v>0.34375</v>
      </c>
      <c r="B4" s="78">
        <v>0.375</v>
      </c>
      <c r="C4" s="77"/>
      <c r="D4" s="77" t="s">
        <v>1358</v>
      </c>
      <c r="E4" s="77"/>
      <c r="F4" s="77" t="s">
        <v>1359</v>
      </c>
      <c r="G4" s="77" t="s">
        <v>907</v>
      </c>
      <c r="H4" s="77"/>
      <c r="I4" s="80"/>
      <c r="J4" s="77"/>
      <c r="K4" s="77" t="s">
        <v>1360</v>
      </c>
      <c r="L4" s="81" t="s">
        <v>1359</v>
      </c>
      <c r="M4" s="81" t="s">
        <v>1359</v>
      </c>
      <c r="N4" s="81" t="s">
        <v>1361</v>
      </c>
      <c r="O4" s="77"/>
      <c r="P4" s="77"/>
      <c r="Q4" s="77"/>
      <c r="R4" s="77"/>
      <c r="S4" s="77"/>
      <c r="T4" s="77"/>
      <c r="U4" s="77"/>
      <c r="V4" s="77"/>
    </row>
    <row r="5" ht="15.75" customHeight="1">
      <c r="A5" s="78">
        <v>0.3472222222222222</v>
      </c>
      <c r="B5" s="78">
        <v>0.3958333333333333</v>
      </c>
      <c r="C5" s="77"/>
      <c r="D5" s="77" t="s">
        <v>1362</v>
      </c>
      <c r="E5" s="77"/>
      <c r="F5" s="77" t="s">
        <v>1359</v>
      </c>
      <c r="G5" s="77" t="s">
        <v>1363</v>
      </c>
      <c r="H5" s="77"/>
      <c r="I5" s="80"/>
      <c r="J5" s="77"/>
      <c r="K5" s="77" t="s">
        <v>1364</v>
      </c>
      <c r="L5" s="81" t="s">
        <v>1365</v>
      </c>
      <c r="M5" s="81" t="s">
        <v>1365</v>
      </c>
      <c r="N5" s="81" t="s">
        <v>1366</v>
      </c>
      <c r="O5" s="77"/>
      <c r="P5" s="77"/>
      <c r="Q5" s="77"/>
      <c r="R5" s="77"/>
      <c r="S5" s="77"/>
      <c r="T5" s="77"/>
      <c r="U5" s="77"/>
      <c r="V5" s="77"/>
    </row>
    <row r="6" ht="15.75" customHeight="1">
      <c r="A6" s="78">
        <v>0.3506944444444444</v>
      </c>
      <c r="B6" s="78">
        <v>0.4166666666666667</v>
      </c>
      <c r="C6" s="77"/>
      <c r="D6" s="77" t="s">
        <v>1367</v>
      </c>
      <c r="E6" s="77"/>
      <c r="F6" s="77" t="s">
        <v>1365</v>
      </c>
      <c r="G6" s="77" t="s">
        <v>1368</v>
      </c>
      <c r="H6" s="77"/>
      <c r="I6" s="80"/>
      <c r="J6" s="77"/>
      <c r="K6" s="77" t="s">
        <v>1369</v>
      </c>
      <c r="L6" s="81" t="s">
        <v>1370</v>
      </c>
      <c r="M6" s="81" t="s">
        <v>1370</v>
      </c>
      <c r="N6" s="81" t="s">
        <v>1371</v>
      </c>
      <c r="O6" s="77"/>
      <c r="P6" s="77"/>
      <c r="Q6" s="77"/>
      <c r="R6" s="77"/>
      <c r="S6" s="77"/>
      <c r="T6" s="77"/>
      <c r="U6" s="77"/>
      <c r="V6" s="77"/>
    </row>
    <row r="7" ht="15.75" customHeight="1">
      <c r="A7" s="78">
        <v>0.3541666666666667</v>
      </c>
      <c r="B7" s="78">
        <v>0.4375</v>
      </c>
      <c r="C7" s="77"/>
      <c r="D7" s="77" t="s">
        <v>1372</v>
      </c>
      <c r="E7" s="77"/>
      <c r="F7" s="77" t="s">
        <v>1365</v>
      </c>
      <c r="G7" s="77" t="s">
        <v>1373</v>
      </c>
      <c r="H7" s="77"/>
      <c r="I7" s="80"/>
      <c r="J7" s="77"/>
      <c r="K7" s="77" t="s">
        <v>1374</v>
      </c>
      <c r="L7" s="81" t="s">
        <v>1375</v>
      </c>
      <c r="M7" s="81" t="s">
        <v>1370</v>
      </c>
      <c r="N7" s="81" t="s">
        <v>578</v>
      </c>
      <c r="O7" s="77"/>
      <c r="P7" s="77"/>
      <c r="Q7" s="77"/>
      <c r="R7" s="77"/>
      <c r="S7" s="77"/>
      <c r="T7" s="77"/>
      <c r="U7" s="77"/>
      <c r="V7" s="77"/>
    </row>
    <row r="8" ht="15.75" customHeight="1">
      <c r="A8" s="78">
        <v>0.3576388888888889</v>
      </c>
      <c r="B8" s="82">
        <v>0.4583333333333333</v>
      </c>
      <c r="C8" s="77"/>
      <c r="D8" s="77" t="s">
        <v>1376</v>
      </c>
      <c r="E8" s="77"/>
      <c r="F8" s="77" t="s">
        <v>1370</v>
      </c>
      <c r="G8" s="77" t="s">
        <v>1377</v>
      </c>
      <c r="H8" s="77"/>
      <c r="I8" s="80"/>
      <c r="J8" s="77"/>
      <c r="K8" s="77" t="s">
        <v>1378</v>
      </c>
      <c r="L8" s="81" t="s">
        <v>1379</v>
      </c>
      <c r="M8" s="81" t="s">
        <v>1375</v>
      </c>
      <c r="N8" s="81" t="s">
        <v>1380</v>
      </c>
      <c r="O8" s="77"/>
      <c r="P8" s="77"/>
      <c r="Q8" s="77"/>
      <c r="R8" s="77"/>
      <c r="S8" s="77"/>
      <c r="T8" s="77"/>
      <c r="U8" s="77"/>
      <c r="V8" s="77"/>
    </row>
    <row r="9" ht="15.75" customHeight="1">
      <c r="A9" s="78">
        <v>0.3611111111111111</v>
      </c>
      <c r="B9" s="82">
        <v>0.4791666666666667</v>
      </c>
      <c r="C9" s="77"/>
      <c r="D9" s="77" t="s">
        <v>1381</v>
      </c>
      <c r="E9" s="77"/>
      <c r="F9" s="77" t="s">
        <v>1370</v>
      </c>
      <c r="G9" s="77" t="s">
        <v>1382</v>
      </c>
      <c r="H9" s="77"/>
      <c r="I9" s="80"/>
      <c r="J9" s="77"/>
      <c r="K9" s="77"/>
      <c r="L9" s="81" t="s">
        <v>1383</v>
      </c>
      <c r="M9" s="81" t="s">
        <v>1379</v>
      </c>
      <c r="N9" s="81" t="s">
        <v>1384</v>
      </c>
      <c r="O9" s="77"/>
      <c r="P9" s="77"/>
      <c r="Q9" s="77"/>
      <c r="R9" s="77"/>
      <c r="S9" s="77"/>
      <c r="T9" s="77"/>
      <c r="U9" s="77"/>
      <c r="V9" s="77"/>
    </row>
    <row r="10" ht="15.75" customHeight="1">
      <c r="A10" s="78">
        <v>0.3645833333333333</v>
      </c>
      <c r="B10" s="82">
        <v>0.5</v>
      </c>
      <c r="C10" s="77"/>
      <c r="D10" s="77" t="s">
        <v>1385</v>
      </c>
      <c r="E10" s="77"/>
      <c r="F10" s="77" t="s">
        <v>1370</v>
      </c>
      <c r="G10" s="77" t="s">
        <v>1386</v>
      </c>
      <c r="H10" s="77"/>
      <c r="I10" s="80"/>
      <c r="J10" s="77"/>
      <c r="K10" s="77" t="s">
        <v>1387</v>
      </c>
      <c r="L10" s="81" t="s">
        <v>58</v>
      </c>
      <c r="M10" s="81" t="s">
        <v>1383</v>
      </c>
      <c r="N10" s="81" t="s">
        <v>1388</v>
      </c>
      <c r="O10" s="77"/>
      <c r="P10" s="77"/>
      <c r="Q10" s="77"/>
      <c r="R10" s="77"/>
      <c r="S10" s="77"/>
      <c r="T10" s="77"/>
      <c r="U10" s="77"/>
      <c r="V10" s="77"/>
    </row>
    <row r="11" ht="15.75" customHeight="1">
      <c r="A11" s="78">
        <v>0.3680555555555556</v>
      </c>
      <c r="B11" s="82">
        <v>0.5208333333333334</v>
      </c>
      <c r="C11" s="77"/>
      <c r="D11" s="77" t="s">
        <v>1389</v>
      </c>
      <c r="E11" s="77"/>
      <c r="F11" s="77" t="s">
        <v>1370</v>
      </c>
      <c r="G11" s="77" t="s">
        <v>827</v>
      </c>
      <c r="H11" s="77"/>
      <c r="I11" s="80"/>
      <c r="J11" s="77"/>
      <c r="K11" s="77" t="s">
        <v>1299</v>
      </c>
      <c r="L11" s="81" t="s">
        <v>1390</v>
      </c>
      <c r="M11" s="81" t="s">
        <v>1383</v>
      </c>
      <c r="N11" s="81" t="s">
        <v>1391</v>
      </c>
      <c r="O11" s="77"/>
      <c r="P11" s="77"/>
      <c r="Q11" s="77"/>
      <c r="R11" s="77"/>
      <c r="S11" s="77"/>
      <c r="T11" s="77"/>
      <c r="U11" s="77"/>
      <c r="V11" s="77"/>
    </row>
    <row r="12" ht="15.75" customHeight="1">
      <c r="A12" s="78">
        <v>0.3715277777777778</v>
      </c>
      <c r="B12" s="78">
        <v>0.5416666666666666</v>
      </c>
      <c r="C12" s="77"/>
      <c r="D12" s="77" t="s">
        <v>1392</v>
      </c>
      <c r="E12" s="77"/>
      <c r="F12" s="77" t="s">
        <v>1370</v>
      </c>
      <c r="G12" s="77" t="s">
        <v>1393</v>
      </c>
      <c r="H12" s="77"/>
      <c r="I12" s="80"/>
      <c r="J12" s="77"/>
      <c r="K12" s="77" t="s">
        <v>1394</v>
      </c>
      <c r="L12" s="81" t="s">
        <v>1395</v>
      </c>
      <c r="M12" s="81" t="s">
        <v>58</v>
      </c>
      <c r="N12" s="81" t="s">
        <v>1396</v>
      </c>
      <c r="O12" s="77"/>
      <c r="P12" s="77"/>
      <c r="Q12" s="77"/>
      <c r="R12" s="77"/>
      <c r="S12" s="77"/>
      <c r="T12" s="77"/>
      <c r="U12" s="77"/>
      <c r="V12" s="77"/>
    </row>
    <row r="13" ht="15.75" customHeight="1">
      <c r="A13" s="78">
        <v>0.375</v>
      </c>
      <c r="B13" s="78">
        <v>0.5625</v>
      </c>
      <c r="C13" s="77"/>
      <c r="D13" s="77" t="s">
        <v>1397</v>
      </c>
      <c r="E13" s="77"/>
      <c r="F13" s="77" t="s">
        <v>1379</v>
      </c>
      <c r="G13" s="77" t="s">
        <v>889</v>
      </c>
      <c r="H13" s="77"/>
      <c r="I13" s="80"/>
      <c r="J13" s="77"/>
      <c r="K13" s="77" t="s">
        <v>1398</v>
      </c>
      <c r="L13" s="81" t="s">
        <v>1399</v>
      </c>
      <c r="M13" s="81" t="s">
        <v>58</v>
      </c>
      <c r="N13" s="81" t="s">
        <v>1400</v>
      </c>
      <c r="O13" s="77"/>
      <c r="P13" s="77"/>
      <c r="Q13" s="77"/>
      <c r="R13" s="77"/>
      <c r="S13" s="77"/>
      <c r="T13" s="77"/>
      <c r="U13" s="77"/>
      <c r="V13" s="77"/>
    </row>
    <row r="14" ht="15.75" customHeight="1">
      <c r="A14" s="78">
        <v>0.3784722222222222</v>
      </c>
      <c r="B14" s="78">
        <v>0.5833333333333334</v>
      </c>
      <c r="C14" s="77"/>
      <c r="D14" s="77" t="s">
        <v>1401</v>
      </c>
      <c r="E14" s="77"/>
      <c r="F14" s="77" t="s">
        <v>1383</v>
      </c>
      <c r="G14" s="77" t="s">
        <v>868</v>
      </c>
      <c r="H14" s="77"/>
      <c r="I14" s="80"/>
      <c r="J14" s="77"/>
      <c r="K14" s="77" t="s">
        <v>17</v>
      </c>
      <c r="L14" s="81" t="s">
        <v>1402</v>
      </c>
      <c r="M14" s="81" t="s">
        <v>58</v>
      </c>
      <c r="N14" s="81" t="s">
        <v>1403</v>
      </c>
      <c r="O14" s="77"/>
      <c r="P14" s="77"/>
      <c r="Q14" s="77"/>
      <c r="R14" s="77"/>
      <c r="S14" s="77"/>
      <c r="T14" s="77"/>
      <c r="U14" s="77"/>
      <c r="V14" s="77"/>
    </row>
    <row r="15" ht="15.75" customHeight="1">
      <c r="A15" s="78">
        <v>0.3819444444444444</v>
      </c>
      <c r="B15" s="78">
        <v>0.6041666666666666</v>
      </c>
      <c r="C15" s="77"/>
      <c r="D15" s="77" t="s">
        <v>1404</v>
      </c>
      <c r="E15" s="77"/>
      <c r="F15" s="77" t="s">
        <v>1383</v>
      </c>
      <c r="G15" s="77" t="s">
        <v>798</v>
      </c>
      <c r="H15" s="77"/>
      <c r="I15" s="80"/>
      <c r="J15" s="77"/>
      <c r="K15" s="77"/>
      <c r="L15" s="81" t="s">
        <v>1405</v>
      </c>
      <c r="M15" s="81" t="s">
        <v>58</v>
      </c>
      <c r="N15" s="81" t="s">
        <v>1406</v>
      </c>
      <c r="O15" s="77"/>
      <c r="P15" s="77"/>
      <c r="Q15" s="77"/>
      <c r="R15" s="77"/>
      <c r="S15" s="77"/>
      <c r="T15" s="77"/>
      <c r="U15" s="77"/>
      <c r="V15" s="77"/>
    </row>
    <row r="16" ht="15.75" customHeight="1">
      <c r="A16" s="78">
        <v>0.3854166666666667</v>
      </c>
      <c r="B16" s="78">
        <v>0.625</v>
      </c>
      <c r="C16" s="77"/>
      <c r="D16" s="77" t="s">
        <v>1407</v>
      </c>
      <c r="E16" s="77"/>
      <c r="F16" s="77" t="s">
        <v>58</v>
      </c>
      <c r="G16" s="77" t="s">
        <v>1408</v>
      </c>
      <c r="H16" s="77"/>
      <c r="I16" s="80"/>
      <c r="J16" s="77"/>
      <c r="K16" s="77"/>
      <c r="L16" s="81" t="s">
        <v>1409</v>
      </c>
      <c r="M16" s="81" t="s">
        <v>1390</v>
      </c>
      <c r="N16" s="81" t="s">
        <v>1410</v>
      </c>
      <c r="O16" s="77"/>
      <c r="P16" s="77"/>
      <c r="Q16" s="77"/>
      <c r="R16" s="77"/>
      <c r="S16" s="77"/>
      <c r="T16" s="77"/>
      <c r="U16" s="77"/>
      <c r="V16" s="77"/>
    </row>
    <row r="17" ht="15.75" customHeight="1">
      <c r="A17" s="78">
        <v>0.3888888888888889</v>
      </c>
      <c r="B17" s="78">
        <v>0.6458333333333334</v>
      </c>
      <c r="C17" s="77"/>
      <c r="D17" s="77" t="s">
        <v>1411</v>
      </c>
      <c r="E17" s="77"/>
      <c r="F17" s="77" t="s">
        <v>58</v>
      </c>
      <c r="G17" s="77" t="s">
        <v>1412</v>
      </c>
      <c r="H17" s="77"/>
      <c r="I17" s="80"/>
      <c r="J17" s="77"/>
      <c r="K17" s="77"/>
      <c r="L17" s="81" t="s">
        <v>1413</v>
      </c>
      <c r="M17" s="81" t="s">
        <v>1395</v>
      </c>
      <c r="N17" s="81" t="s">
        <v>1414</v>
      </c>
      <c r="O17" s="77"/>
      <c r="P17" s="77"/>
      <c r="Q17" s="77"/>
      <c r="R17" s="77"/>
      <c r="S17" s="77"/>
      <c r="T17" s="77"/>
      <c r="U17" s="77"/>
      <c r="V17" s="77"/>
    </row>
    <row r="18" ht="15.75" customHeight="1">
      <c r="A18" s="78">
        <v>0.3923611111111111</v>
      </c>
      <c r="B18" s="78">
        <v>0.6666666666666666</v>
      </c>
      <c r="C18" s="77"/>
      <c r="D18" s="77" t="s">
        <v>1415</v>
      </c>
      <c r="E18" s="77"/>
      <c r="F18" s="77" t="s">
        <v>1399</v>
      </c>
      <c r="G18" s="77" t="s">
        <v>804</v>
      </c>
      <c r="H18" s="77"/>
      <c r="I18" s="80"/>
      <c r="J18" s="77"/>
      <c r="K18" s="77"/>
      <c r="L18" s="81" t="s">
        <v>1357</v>
      </c>
      <c r="M18" s="81" t="s">
        <v>1395</v>
      </c>
      <c r="N18" s="81" t="s">
        <v>1416</v>
      </c>
      <c r="O18" s="77"/>
      <c r="P18" s="77"/>
      <c r="Q18" s="77"/>
      <c r="R18" s="77"/>
      <c r="S18" s="77"/>
      <c r="T18" s="77"/>
      <c r="U18" s="77"/>
      <c r="V18" s="77"/>
    </row>
    <row r="19" ht="15.75" customHeight="1">
      <c r="A19" s="78">
        <v>0.3958333333333333</v>
      </c>
      <c r="B19" s="78">
        <v>0.6875</v>
      </c>
      <c r="C19" s="77"/>
      <c r="D19" s="77" t="s">
        <v>1417</v>
      </c>
      <c r="E19" s="77"/>
      <c r="F19" s="77" t="s">
        <v>1399</v>
      </c>
      <c r="G19" s="77" t="s">
        <v>855</v>
      </c>
      <c r="H19" s="77"/>
      <c r="I19" s="80"/>
      <c r="J19" s="77"/>
      <c r="K19" s="77"/>
      <c r="L19" s="81" t="s">
        <v>1243</v>
      </c>
      <c r="M19" s="81" t="s">
        <v>1399</v>
      </c>
      <c r="N19" s="81" t="s">
        <v>1418</v>
      </c>
      <c r="O19" s="77"/>
      <c r="P19" s="77"/>
      <c r="Q19" s="77"/>
      <c r="R19" s="77"/>
      <c r="S19" s="77"/>
      <c r="T19" s="77"/>
      <c r="U19" s="77"/>
      <c r="V19" s="77"/>
    </row>
    <row r="20" ht="15.75" customHeight="1">
      <c r="A20" s="78">
        <v>0.3993055555555556</v>
      </c>
      <c r="B20" s="78">
        <v>0.7083333333333334</v>
      </c>
      <c r="C20" s="77"/>
      <c r="D20" s="77" t="s">
        <v>1419</v>
      </c>
      <c r="E20" s="77"/>
      <c r="F20" s="77" t="s">
        <v>1402</v>
      </c>
      <c r="G20" s="77" t="s">
        <v>1420</v>
      </c>
      <c r="H20" s="77"/>
      <c r="I20" s="80"/>
      <c r="J20" s="77"/>
      <c r="K20" s="77"/>
      <c r="L20" s="81" t="s">
        <v>1421</v>
      </c>
      <c r="M20" s="81" t="s">
        <v>1402</v>
      </c>
      <c r="N20" s="81" t="s">
        <v>1422</v>
      </c>
      <c r="O20" s="77"/>
      <c r="P20" s="77"/>
      <c r="Q20" s="77"/>
      <c r="R20" s="77"/>
      <c r="S20" s="77"/>
      <c r="T20" s="77"/>
      <c r="U20" s="77"/>
      <c r="V20" s="77"/>
    </row>
    <row r="21" ht="15.75" customHeight="1">
      <c r="A21" s="78">
        <v>0.4027777777777778</v>
      </c>
      <c r="B21" s="78">
        <v>0.7291666666666666</v>
      </c>
      <c r="C21" s="77"/>
      <c r="D21" s="77" t="s">
        <v>1423</v>
      </c>
      <c r="E21" s="77"/>
      <c r="F21" s="77" t="s">
        <v>1243</v>
      </c>
      <c r="G21" s="77" t="s">
        <v>874</v>
      </c>
      <c r="H21" s="77"/>
      <c r="I21" s="80"/>
      <c r="J21" s="77"/>
      <c r="K21" s="77"/>
      <c r="L21" s="81" t="s">
        <v>1424</v>
      </c>
      <c r="M21" s="81" t="s">
        <v>1402</v>
      </c>
      <c r="N21" s="81" t="s">
        <v>1425</v>
      </c>
      <c r="O21" s="77"/>
      <c r="P21" s="77"/>
      <c r="Q21" s="77"/>
      <c r="R21" s="77"/>
      <c r="S21" s="77"/>
      <c r="T21" s="77"/>
      <c r="U21" s="77"/>
      <c r="V21" s="77"/>
    </row>
    <row r="22" ht="15.75" customHeight="1">
      <c r="A22" s="78">
        <v>0.40625</v>
      </c>
      <c r="B22" s="78">
        <v>0.7256944444444444</v>
      </c>
      <c r="C22" s="77"/>
      <c r="D22" s="77"/>
      <c r="E22" s="77"/>
      <c r="F22" s="77" t="s">
        <v>1243</v>
      </c>
      <c r="G22" s="77" t="s">
        <v>1426</v>
      </c>
      <c r="H22" s="77"/>
      <c r="I22" s="80"/>
      <c r="J22" s="77"/>
      <c r="K22" s="77"/>
      <c r="L22" s="81" t="s">
        <v>1427</v>
      </c>
      <c r="M22" s="81" t="s">
        <v>1405</v>
      </c>
      <c r="N22" s="81" t="s">
        <v>1428</v>
      </c>
      <c r="O22" s="77"/>
      <c r="P22" s="77"/>
      <c r="Q22" s="77"/>
      <c r="R22" s="77"/>
      <c r="S22" s="77"/>
      <c r="T22" s="77"/>
      <c r="U22" s="77"/>
      <c r="V22" s="77"/>
    </row>
    <row r="23" ht="15.75" customHeight="1">
      <c r="A23" s="78">
        <v>0.4097222222222222</v>
      </c>
      <c r="B23" s="78">
        <v>0.7222222222222222</v>
      </c>
      <c r="C23" s="77"/>
      <c r="D23" s="77"/>
      <c r="E23" s="77"/>
      <c r="F23" s="77" t="s">
        <v>1243</v>
      </c>
      <c r="G23" s="77" t="s">
        <v>1429</v>
      </c>
      <c r="H23" s="77"/>
      <c r="I23" s="80"/>
      <c r="J23" s="77"/>
      <c r="K23" s="77"/>
      <c r="L23" s="81" t="s">
        <v>1430</v>
      </c>
      <c r="M23" s="81" t="s">
        <v>1409</v>
      </c>
      <c r="N23" s="81" t="s">
        <v>1409</v>
      </c>
      <c r="O23" s="77"/>
      <c r="P23" s="77"/>
      <c r="Q23" s="77"/>
      <c r="R23" s="77"/>
      <c r="S23" s="77"/>
      <c r="T23" s="77"/>
      <c r="U23" s="77"/>
      <c r="V23" s="77"/>
    </row>
    <row r="24" ht="15.75" customHeight="1">
      <c r="A24" s="78">
        <v>0.4131944444444444</v>
      </c>
      <c r="B24" s="78">
        <v>0.71875</v>
      </c>
      <c r="C24" s="77"/>
      <c r="D24" s="77"/>
      <c r="E24" s="77"/>
      <c r="F24" s="77" t="s">
        <v>1421</v>
      </c>
      <c r="G24" s="77" t="s">
        <v>1431</v>
      </c>
      <c r="H24" s="77"/>
      <c r="I24" s="80"/>
      <c r="J24" s="77"/>
      <c r="K24" s="77"/>
      <c r="L24" s="81" t="s">
        <v>1432</v>
      </c>
      <c r="M24" s="81" t="s">
        <v>1409</v>
      </c>
      <c r="N24" s="81" t="s">
        <v>1409</v>
      </c>
      <c r="O24" s="77"/>
      <c r="P24" s="77"/>
      <c r="Q24" s="77"/>
      <c r="R24" s="77"/>
      <c r="S24" s="77"/>
      <c r="T24" s="77"/>
      <c r="U24" s="77"/>
      <c r="V24" s="77"/>
    </row>
    <row r="25" ht="15.75" customHeight="1">
      <c r="A25" s="78">
        <v>0.4166666666666667</v>
      </c>
      <c r="B25" s="77"/>
      <c r="C25" s="77"/>
      <c r="D25" s="77"/>
      <c r="E25" s="77"/>
      <c r="F25" s="77" t="s">
        <v>1421</v>
      </c>
      <c r="G25" s="77" t="s">
        <v>1433</v>
      </c>
      <c r="H25" s="77"/>
      <c r="I25" s="80"/>
      <c r="J25" s="77"/>
      <c r="K25" s="77"/>
      <c r="L25" s="81" t="s">
        <v>1434</v>
      </c>
      <c r="M25" s="81" t="s">
        <v>1243</v>
      </c>
      <c r="N25" s="81" t="s">
        <v>1360</v>
      </c>
      <c r="O25" s="77"/>
      <c r="P25" s="77"/>
      <c r="Q25" s="77"/>
      <c r="R25" s="77"/>
      <c r="S25" s="77"/>
      <c r="T25" s="77"/>
      <c r="U25" s="77"/>
      <c r="V25" s="77"/>
    </row>
    <row r="26" ht="15.75" customHeight="1">
      <c r="A26" s="78">
        <v>0.4201388888888889</v>
      </c>
      <c r="B26" s="77"/>
      <c r="C26" s="77"/>
      <c r="D26" s="77"/>
      <c r="E26" s="77"/>
      <c r="F26" s="77" t="s">
        <v>1421</v>
      </c>
      <c r="G26" s="77" t="s">
        <v>1435</v>
      </c>
      <c r="H26" s="77"/>
      <c r="I26" s="80"/>
      <c r="J26" s="77"/>
      <c r="K26" s="77"/>
      <c r="L26" s="81" t="s">
        <v>1374</v>
      </c>
      <c r="M26" s="81" t="s">
        <v>1421</v>
      </c>
      <c r="N26" s="81" t="s">
        <v>247</v>
      </c>
      <c r="O26" s="77"/>
      <c r="P26" s="77"/>
      <c r="Q26" s="77"/>
      <c r="R26" s="77"/>
      <c r="S26" s="77"/>
      <c r="T26" s="77"/>
      <c r="U26" s="77"/>
      <c r="V26" s="77"/>
    </row>
    <row r="27" ht="15.75" customHeight="1">
      <c r="A27" s="78">
        <v>0.4236111111111111</v>
      </c>
      <c r="B27" s="78"/>
      <c r="C27" s="77"/>
      <c r="D27" s="77"/>
      <c r="E27" s="77"/>
      <c r="F27" s="77" t="s">
        <v>1421</v>
      </c>
      <c r="G27" s="77" t="s">
        <v>1436</v>
      </c>
      <c r="H27" s="77"/>
      <c r="I27" s="80"/>
      <c r="J27" s="77"/>
      <c r="K27" s="77"/>
      <c r="L27" s="81" t="s">
        <v>1437</v>
      </c>
      <c r="M27" s="81" t="s">
        <v>1421</v>
      </c>
      <c r="N27" s="81" t="s">
        <v>261</v>
      </c>
      <c r="O27" s="77"/>
      <c r="P27" s="77"/>
      <c r="Q27" s="77"/>
      <c r="R27" s="77"/>
      <c r="S27" s="77"/>
      <c r="T27" s="77"/>
      <c r="U27" s="77"/>
      <c r="V27" s="77"/>
    </row>
    <row r="28" ht="15.75" customHeight="1">
      <c r="A28" s="78">
        <v>0.4270833333333333</v>
      </c>
      <c r="B28" s="78"/>
      <c r="C28" s="77"/>
      <c r="D28" s="77"/>
      <c r="E28" s="77"/>
      <c r="F28" s="77" t="s">
        <v>1421</v>
      </c>
      <c r="G28" s="77" t="s">
        <v>1438</v>
      </c>
      <c r="H28" s="77"/>
      <c r="I28" s="80"/>
      <c r="J28" s="77"/>
      <c r="K28" s="77"/>
      <c r="L28" s="81" t="s">
        <v>1439</v>
      </c>
      <c r="M28" s="81" t="s">
        <v>1421</v>
      </c>
      <c r="N28" s="81" t="s">
        <v>1440</v>
      </c>
      <c r="O28" s="77"/>
      <c r="P28" s="77"/>
      <c r="Q28" s="77"/>
      <c r="R28" s="77"/>
      <c r="S28" s="77"/>
      <c r="T28" s="77"/>
      <c r="U28" s="77"/>
      <c r="V28" s="77"/>
    </row>
    <row r="29" ht="15.75" customHeight="1">
      <c r="A29" s="78">
        <v>0.4305555555555556</v>
      </c>
      <c r="B29" s="78"/>
      <c r="C29" s="77"/>
      <c r="D29" s="77"/>
      <c r="E29" s="77"/>
      <c r="F29" s="77" t="s">
        <v>1424</v>
      </c>
      <c r="G29" s="77" t="s">
        <v>1073</v>
      </c>
      <c r="H29" s="77"/>
      <c r="I29" s="80"/>
      <c r="J29" s="77"/>
      <c r="K29" s="77"/>
      <c r="L29" s="81" t="s">
        <v>1441</v>
      </c>
      <c r="M29" s="81" t="s">
        <v>1421</v>
      </c>
      <c r="N29" s="81" t="s">
        <v>1442</v>
      </c>
      <c r="O29" s="77"/>
      <c r="P29" s="77"/>
      <c r="Q29" s="77"/>
      <c r="R29" s="77"/>
      <c r="S29" s="77"/>
      <c r="T29" s="77"/>
      <c r="U29" s="77"/>
      <c r="V29" s="77"/>
    </row>
    <row r="30" ht="15.75" customHeight="1">
      <c r="A30" s="78">
        <v>0.4340277777777778</v>
      </c>
      <c r="B30" s="78"/>
      <c r="C30" s="77"/>
      <c r="D30" s="77"/>
      <c r="E30" s="77"/>
      <c r="F30" s="77" t="s">
        <v>1424</v>
      </c>
      <c r="G30" s="77" t="s">
        <v>1443</v>
      </c>
      <c r="H30" s="77"/>
      <c r="I30" s="80"/>
      <c r="J30" s="77"/>
      <c r="K30" s="77"/>
      <c r="L30" s="81" t="s">
        <v>1364</v>
      </c>
      <c r="M30" s="81" t="s">
        <v>1424</v>
      </c>
      <c r="N30" s="81" t="s">
        <v>314</v>
      </c>
      <c r="O30" s="77"/>
      <c r="P30" s="77"/>
      <c r="Q30" s="77"/>
      <c r="R30" s="77"/>
      <c r="S30" s="77"/>
      <c r="T30" s="77"/>
      <c r="U30" s="77"/>
      <c r="V30" s="77"/>
    </row>
    <row r="31" ht="15.75" customHeight="1">
      <c r="A31" s="78">
        <v>0.4375</v>
      </c>
      <c r="B31" s="78"/>
      <c r="C31" s="77"/>
      <c r="D31" s="77"/>
      <c r="E31" s="77"/>
      <c r="F31" s="77" t="s">
        <v>1432</v>
      </c>
      <c r="G31" s="77" t="s">
        <v>1444</v>
      </c>
      <c r="H31" s="77"/>
      <c r="I31" s="80"/>
      <c r="J31" s="77"/>
      <c r="K31" s="77"/>
      <c r="L31" s="81" t="s">
        <v>1445</v>
      </c>
      <c r="M31" s="81" t="s">
        <v>1430</v>
      </c>
      <c r="N31" s="81" t="s">
        <v>1446</v>
      </c>
      <c r="O31" s="77"/>
      <c r="P31" s="77"/>
      <c r="Q31" s="77"/>
      <c r="R31" s="77"/>
      <c r="S31" s="77"/>
      <c r="T31" s="77"/>
      <c r="U31" s="77"/>
      <c r="V31" s="77"/>
    </row>
    <row r="32" ht="15.75" customHeight="1">
      <c r="A32" s="78">
        <v>0.4409722222222222</v>
      </c>
      <c r="B32" s="78"/>
      <c r="C32" s="77"/>
      <c r="D32" s="77"/>
      <c r="E32" s="77"/>
      <c r="F32" s="77" t="s">
        <v>1434</v>
      </c>
      <c r="G32" s="77" t="s">
        <v>1447</v>
      </c>
      <c r="H32" s="77"/>
      <c r="I32" s="80"/>
      <c r="J32" s="77"/>
      <c r="K32" s="77"/>
      <c r="L32" s="81" t="s">
        <v>1448</v>
      </c>
      <c r="M32" s="81" t="s">
        <v>1432</v>
      </c>
      <c r="N32" s="81" t="s">
        <v>1449</v>
      </c>
      <c r="O32" s="77"/>
      <c r="P32" s="77"/>
      <c r="Q32" s="77"/>
      <c r="R32" s="77"/>
      <c r="S32" s="77"/>
      <c r="T32" s="77"/>
      <c r="U32" s="77"/>
      <c r="V32" s="77"/>
    </row>
    <row r="33" ht="15.75" customHeight="1">
      <c r="A33" s="78">
        <v>0.4444444444444444</v>
      </c>
      <c r="B33" s="78"/>
      <c r="C33" s="77"/>
      <c r="D33" s="77"/>
      <c r="E33" s="77"/>
      <c r="F33" s="77" t="s">
        <v>1434</v>
      </c>
      <c r="G33" s="77" t="s">
        <v>802</v>
      </c>
      <c r="H33" s="77"/>
      <c r="I33" s="80"/>
      <c r="J33" s="77"/>
      <c r="K33" s="77"/>
      <c r="L33" s="81" t="s">
        <v>1450</v>
      </c>
      <c r="M33" s="81" t="s">
        <v>1434</v>
      </c>
      <c r="N33" s="81" t="s">
        <v>1451</v>
      </c>
      <c r="O33" s="77"/>
      <c r="P33" s="77"/>
      <c r="Q33" s="77"/>
      <c r="R33" s="77"/>
      <c r="S33" s="77"/>
      <c r="T33" s="77"/>
      <c r="U33" s="77"/>
      <c r="V33" s="77"/>
    </row>
    <row r="34" ht="15.75" customHeight="1">
      <c r="A34" s="78">
        <v>0.4479166666666667</v>
      </c>
      <c r="B34" s="78"/>
      <c r="C34" s="77"/>
      <c r="D34" s="77"/>
      <c r="E34" s="77"/>
      <c r="F34" s="77" t="s">
        <v>1434</v>
      </c>
      <c r="G34" s="77" t="s">
        <v>1452</v>
      </c>
      <c r="H34" s="77"/>
      <c r="I34" s="80"/>
      <c r="J34" s="77"/>
      <c r="K34" s="77"/>
      <c r="L34" s="81" t="s">
        <v>1453</v>
      </c>
      <c r="M34" s="81" t="s">
        <v>1434</v>
      </c>
      <c r="N34" s="81" t="s">
        <v>1454</v>
      </c>
      <c r="O34" s="77"/>
      <c r="P34" s="77"/>
      <c r="Q34" s="77"/>
      <c r="R34" s="77"/>
      <c r="S34" s="77"/>
      <c r="T34" s="77"/>
      <c r="U34" s="77"/>
      <c r="V34" s="77"/>
    </row>
    <row r="35" ht="15.75" customHeight="1">
      <c r="A35" s="78">
        <v>0.4513888888888889</v>
      </c>
      <c r="B35" s="78"/>
      <c r="C35" s="77"/>
      <c r="D35" s="77"/>
      <c r="E35" s="77"/>
      <c r="F35" s="77" t="s">
        <v>1374</v>
      </c>
      <c r="G35" s="77" t="s">
        <v>732</v>
      </c>
      <c r="H35" s="77"/>
      <c r="I35" s="80"/>
      <c r="J35" s="77"/>
      <c r="K35" s="77"/>
      <c r="L35" s="81" t="s">
        <v>1455</v>
      </c>
      <c r="M35" s="81" t="s">
        <v>1374</v>
      </c>
      <c r="N35" s="81" t="s">
        <v>1456</v>
      </c>
      <c r="O35" s="77"/>
      <c r="P35" s="77"/>
      <c r="Q35" s="77"/>
      <c r="R35" s="77"/>
      <c r="S35" s="77"/>
      <c r="T35" s="77"/>
      <c r="U35" s="77"/>
      <c r="V35" s="77"/>
    </row>
    <row r="36" ht="15.75" customHeight="1">
      <c r="A36" s="78">
        <v>0.4548611111111111</v>
      </c>
      <c r="B36" s="77"/>
      <c r="C36" s="77"/>
      <c r="D36" s="77"/>
      <c r="E36" s="77"/>
      <c r="F36" s="77" t="s">
        <v>1374</v>
      </c>
      <c r="G36" s="77" t="s">
        <v>1457</v>
      </c>
      <c r="H36" s="77"/>
      <c r="I36" s="80"/>
      <c r="J36" s="77"/>
      <c r="K36" s="77"/>
      <c r="L36" s="81" t="s">
        <v>483</v>
      </c>
      <c r="M36" s="81" t="s">
        <v>1374</v>
      </c>
      <c r="N36" s="81" t="s">
        <v>1458</v>
      </c>
      <c r="O36" s="77"/>
      <c r="P36" s="77"/>
      <c r="Q36" s="77"/>
      <c r="R36" s="77"/>
      <c r="S36" s="77"/>
      <c r="T36" s="77"/>
      <c r="U36" s="77"/>
      <c r="V36" s="77"/>
    </row>
    <row r="37" ht="15.75" customHeight="1">
      <c r="A37" s="78">
        <v>0.4583333333333333</v>
      </c>
      <c r="B37" s="77"/>
      <c r="C37" s="77"/>
      <c r="D37" s="77"/>
      <c r="E37" s="77"/>
      <c r="F37" s="77" t="s">
        <v>1374</v>
      </c>
      <c r="G37" s="77" t="s">
        <v>1459</v>
      </c>
      <c r="H37" s="77"/>
      <c r="I37" s="80"/>
      <c r="J37" s="77"/>
      <c r="K37" s="77"/>
      <c r="L37" s="81" t="s">
        <v>1460</v>
      </c>
      <c r="M37" s="81" t="s">
        <v>1437</v>
      </c>
      <c r="N37" s="81" t="s">
        <v>1461</v>
      </c>
      <c r="O37" s="77"/>
      <c r="P37" s="77"/>
      <c r="Q37" s="77"/>
      <c r="R37" s="77"/>
      <c r="S37" s="77"/>
      <c r="T37" s="77"/>
      <c r="U37" s="77"/>
      <c r="V37" s="77"/>
    </row>
    <row r="38" ht="15.75" customHeight="1">
      <c r="A38" s="78">
        <v>0.4618055555555556</v>
      </c>
      <c r="B38" s="77"/>
      <c r="C38" s="77"/>
      <c r="D38" s="77"/>
      <c r="E38" s="77"/>
      <c r="F38" s="77" t="s">
        <v>1374</v>
      </c>
      <c r="G38" s="77" t="s">
        <v>1462</v>
      </c>
      <c r="H38" s="77"/>
      <c r="I38" s="80"/>
      <c r="J38" s="77"/>
      <c r="K38" s="77"/>
      <c r="L38" s="81" t="s">
        <v>1463</v>
      </c>
      <c r="M38" s="81" t="s">
        <v>1439</v>
      </c>
      <c r="N38" s="81" t="s">
        <v>1464</v>
      </c>
      <c r="O38" s="77"/>
      <c r="P38" s="77"/>
      <c r="Q38" s="77"/>
      <c r="R38" s="77"/>
      <c r="S38" s="77"/>
      <c r="T38" s="77"/>
      <c r="U38" s="77"/>
      <c r="V38" s="77"/>
    </row>
    <row r="39" ht="15.75" customHeight="1">
      <c r="A39" s="78">
        <v>0.4652777777777778</v>
      </c>
      <c r="B39" s="77"/>
      <c r="C39" s="77"/>
      <c r="D39" s="77"/>
      <c r="E39" s="77"/>
      <c r="F39" s="77" t="s">
        <v>1437</v>
      </c>
      <c r="G39" s="77" t="s">
        <v>1465</v>
      </c>
      <c r="H39" s="77"/>
      <c r="I39" s="80"/>
      <c r="J39" s="77"/>
      <c r="K39" s="77"/>
      <c r="L39" s="81" t="s">
        <v>1466</v>
      </c>
      <c r="M39" s="81" t="s">
        <v>1445</v>
      </c>
      <c r="N39" s="81" t="s">
        <v>1467</v>
      </c>
      <c r="O39" s="77"/>
      <c r="P39" s="77"/>
      <c r="Q39" s="77"/>
      <c r="R39" s="77"/>
      <c r="S39" s="77"/>
      <c r="T39" s="77"/>
      <c r="U39" s="77"/>
      <c r="V39" s="77"/>
    </row>
    <row r="40" ht="15.75" customHeight="1">
      <c r="A40" s="78">
        <v>0.46875</v>
      </c>
      <c r="B40" s="77"/>
      <c r="C40" s="77"/>
      <c r="D40" s="77"/>
      <c r="E40" s="77"/>
      <c r="F40" s="77" t="s">
        <v>1445</v>
      </c>
      <c r="G40" s="77" t="s">
        <v>1468</v>
      </c>
      <c r="H40" s="77"/>
      <c r="I40" s="80"/>
      <c r="J40" s="77"/>
      <c r="K40" s="77"/>
      <c r="L40" s="81" t="s">
        <v>1416</v>
      </c>
      <c r="M40" s="81" t="s">
        <v>1445</v>
      </c>
      <c r="N40" s="81" t="s">
        <v>1469</v>
      </c>
      <c r="O40" s="77"/>
      <c r="P40" s="77"/>
      <c r="Q40" s="77"/>
      <c r="R40" s="77"/>
      <c r="S40" s="77"/>
      <c r="T40" s="77"/>
      <c r="U40" s="77"/>
      <c r="V40" s="77"/>
    </row>
    <row r="41" ht="15.75" customHeight="1">
      <c r="A41" s="78">
        <v>0.4722222222222222</v>
      </c>
      <c r="B41" s="77"/>
      <c r="C41" s="77"/>
      <c r="D41" s="77"/>
      <c r="E41" s="77"/>
      <c r="F41" s="77" t="s">
        <v>1450</v>
      </c>
      <c r="G41" s="77" t="s">
        <v>1470</v>
      </c>
      <c r="H41" s="77"/>
      <c r="I41" s="80"/>
      <c r="J41" s="77"/>
      <c r="K41" s="77"/>
      <c r="L41" s="81" t="s">
        <v>1471</v>
      </c>
      <c r="M41" s="81" t="s">
        <v>1448</v>
      </c>
      <c r="N41" s="81" t="s">
        <v>1472</v>
      </c>
      <c r="O41" s="77"/>
      <c r="P41" s="77"/>
      <c r="Q41" s="77"/>
      <c r="R41" s="77"/>
      <c r="S41" s="77"/>
      <c r="T41" s="77"/>
      <c r="U41" s="77"/>
      <c r="V41" s="77"/>
    </row>
    <row r="42" ht="15.75" customHeight="1">
      <c r="A42" s="78">
        <v>0.4756944444444444</v>
      </c>
      <c r="B42" s="77"/>
      <c r="C42" s="77"/>
      <c r="D42" s="77"/>
      <c r="E42" s="77"/>
      <c r="F42" s="77" t="s">
        <v>1450</v>
      </c>
      <c r="G42" s="77" t="s">
        <v>1108</v>
      </c>
      <c r="H42" s="77"/>
      <c r="I42" s="80"/>
      <c r="J42" s="77"/>
      <c r="K42" s="77"/>
      <c r="L42" s="81" t="s">
        <v>1432</v>
      </c>
      <c r="M42" s="81" t="s">
        <v>1448</v>
      </c>
      <c r="N42" s="81" t="s">
        <v>1473</v>
      </c>
      <c r="O42" s="77"/>
      <c r="P42" s="77"/>
      <c r="Q42" s="77"/>
      <c r="R42" s="77"/>
      <c r="S42" s="77"/>
      <c r="T42" s="77"/>
      <c r="U42" s="77"/>
      <c r="V42" s="77"/>
    </row>
    <row r="43" ht="15.75" customHeight="1">
      <c r="A43" s="78">
        <v>0.4791666666666667</v>
      </c>
      <c r="B43" s="77"/>
      <c r="C43" s="77"/>
      <c r="D43" s="77"/>
      <c r="E43" s="77"/>
      <c r="F43" s="77" t="s">
        <v>1453</v>
      </c>
      <c r="G43" s="77" t="s">
        <v>939</v>
      </c>
      <c r="H43" s="77"/>
      <c r="I43" s="80"/>
      <c r="J43" s="77"/>
      <c r="K43" s="77"/>
      <c r="L43" s="81"/>
      <c r="M43" s="81" t="s">
        <v>1450</v>
      </c>
      <c r="N43" s="81" t="s">
        <v>1474</v>
      </c>
      <c r="O43" s="77"/>
      <c r="P43" s="77"/>
      <c r="Q43" s="77"/>
      <c r="R43" s="77"/>
      <c r="S43" s="77"/>
      <c r="T43" s="77"/>
      <c r="U43" s="77"/>
      <c r="V43" s="77"/>
    </row>
    <row r="44" ht="15.75" customHeight="1">
      <c r="A44" s="78">
        <v>0.4826388888888889</v>
      </c>
      <c r="B44" s="77"/>
      <c r="C44" s="77"/>
      <c r="D44" s="77"/>
      <c r="E44" s="77"/>
      <c r="F44" s="77" t="s">
        <v>1453</v>
      </c>
      <c r="G44" s="77" t="s">
        <v>949</v>
      </c>
      <c r="H44" s="77"/>
      <c r="I44" s="80"/>
      <c r="J44" s="77"/>
      <c r="K44" s="77"/>
      <c r="L44" s="81"/>
      <c r="M44" s="81" t="s">
        <v>1450</v>
      </c>
      <c r="N44" s="81" t="s">
        <v>1475</v>
      </c>
      <c r="O44" s="77"/>
      <c r="P44" s="77"/>
      <c r="Q44" s="77"/>
      <c r="R44" s="77"/>
      <c r="S44" s="77"/>
      <c r="T44" s="77"/>
      <c r="U44" s="77"/>
      <c r="V44" s="77"/>
    </row>
    <row r="45" ht="15.75" customHeight="1">
      <c r="A45" s="78">
        <v>0.4861111111111111</v>
      </c>
      <c r="B45" s="77"/>
      <c r="C45" s="77"/>
      <c r="D45" s="77"/>
      <c r="E45" s="77"/>
      <c r="F45" s="77" t="s">
        <v>1453</v>
      </c>
      <c r="G45" s="77" t="s">
        <v>1476</v>
      </c>
      <c r="H45" s="77"/>
      <c r="I45" s="80"/>
      <c r="J45" s="77"/>
      <c r="K45" s="77"/>
      <c r="L45" s="81"/>
      <c r="M45" s="81" t="s">
        <v>1453</v>
      </c>
      <c r="N45" s="81" t="s">
        <v>1477</v>
      </c>
      <c r="O45" s="77"/>
      <c r="P45" s="77"/>
      <c r="Q45" s="77"/>
      <c r="R45" s="77"/>
      <c r="S45" s="77"/>
      <c r="T45" s="77"/>
      <c r="U45" s="77"/>
      <c r="V45" s="77"/>
    </row>
    <row r="46" ht="15.75" customHeight="1">
      <c r="A46" s="78">
        <v>0.4895833333333333</v>
      </c>
      <c r="B46" s="77"/>
      <c r="C46" s="77"/>
      <c r="D46" s="77"/>
      <c r="E46" s="77"/>
      <c r="F46" s="77" t="s">
        <v>1453</v>
      </c>
      <c r="G46" s="77" t="s">
        <v>1478</v>
      </c>
      <c r="H46" s="77"/>
      <c r="I46" s="80"/>
      <c r="J46" s="77"/>
      <c r="K46" s="77"/>
      <c r="L46" s="81"/>
      <c r="M46" s="81" t="s">
        <v>1453</v>
      </c>
      <c r="N46" s="81" t="s">
        <v>222</v>
      </c>
      <c r="O46" s="77"/>
      <c r="P46" s="77"/>
      <c r="Q46" s="77"/>
      <c r="R46" s="77"/>
      <c r="S46" s="77"/>
      <c r="T46" s="77"/>
      <c r="U46" s="77"/>
      <c r="V46" s="77"/>
    </row>
    <row r="47" ht="15.75" customHeight="1">
      <c r="A47" s="78">
        <v>0.4930555555555556</v>
      </c>
      <c r="B47" s="77"/>
      <c r="C47" s="77"/>
      <c r="D47" s="77"/>
      <c r="E47" s="77"/>
      <c r="F47" s="77" t="s">
        <v>1453</v>
      </c>
      <c r="G47" s="77" t="s">
        <v>977</v>
      </c>
      <c r="H47" s="77"/>
      <c r="I47" s="80"/>
      <c r="J47" s="77"/>
      <c r="K47" s="77"/>
      <c r="L47" s="81"/>
      <c r="M47" s="81" t="s">
        <v>1453</v>
      </c>
      <c r="N47" s="81" t="s">
        <v>1479</v>
      </c>
      <c r="O47" s="77"/>
      <c r="P47" s="77"/>
      <c r="Q47" s="77"/>
      <c r="R47" s="77"/>
      <c r="S47" s="77"/>
      <c r="T47" s="77"/>
      <c r="U47" s="77"/>
      <c r="V47" s="77"/>
    </row>
    <row r="48" ht="15.75" customHeight="1">
      <c r="A48" s="78">
        <v>0.4965277777777778</v>
      </c>
      <c r="B48" s="77"/>
      <c r="C48" s="77"/>
      <c r="D48" s="77"/>
      <c r="E48" s="77"/>
      <c r="F48" s="77" t="s">
        <v>1453</v>
      </c>
      <c r="G48" s="77" t="s">
        <v>985</v>
      </c>
      <c r="H48" s="77"/>
      <c r="I48" s="80"/>
      <c r="J48" s="77"/>
      <c r="K48" s="77"/>
      <c r="L48" s="81"/>
      <c r="M48" s="81" t="s">
        <v>1453</v>
      </c>
      <c r="N48" s="81" t="s">
        <v>1480</v>
      </c>
      <c r="O48" s="77"/>
      <c r="P48" s="77"/>
      <c r="Q48" s="77"/>
      <c r="R48" s="77"/>
      <c r="S48" s="77"/>
      <c r="T48" s="77"/>
      <c r="U48" s="77"/>
      <c r="V48" s="77"/>
    </row>
    <row r="49" ht="15.75" customHeight="1">
      <c r="A49" s="78">
        <v>0.5</v>
      </c>
      <c r="B49" s="77"/>
      <c r="C49" s="77"/>
      <c r="D49" s="77"/>
      <c r="E49" s="77"/>
      <c r="F49" s="77" t="s">
        <v>1453</v>
      </c>
      <c r="G49" s="77" t="s">
        <v>987</v>
      </c>
      <c r="H49" s="77"/>
      <c r="I49" s="80"/>
      <c r="J49" s="77"/>
      <c r="K49" s="77"/>
      <c r="L49" s="81"/>
      <c r="M49" s="81" t="s">
        <v>1455</v>
      </c>
      <c r="N49" s="81" t="s">
        <v>1481</v>
      </c>
      <c r="O49" s="77"/>
      <c r="P49" s="77"/>
      <c r="Q49" s="77"/>
      <c r="R49" s="77"/>
      <c r="S49" s="77"/>
      <c r="T49" s="77"/>
      <c r="U49" s="77"/>
      <c r="V49" s="77"/>
    </row>
    <row r="50" ht="15.75" customHeight="1">
      <c r="A50" s="78">
        <v>0.5034722222222222</v>
      </c>
      <c r="B50" s="77"/>
      <c r="C50" s="77"/>
      <c r="D50" s="77"/>
      <c r="E50" s="77"/>
      <c r="F50" s="77" t="s">
        <v>1453</v>
      </c>
      <c r="G50" s="77" t="s">
        <v>1008</v>
      </c>
      <c r="H50" s="77"/>
      <c r="I50" s="80"/>
      <c r="J50" s="77"/>
      <c r="K50" s="77"/>
      <c r="L50" s="81"/>
      <c r="M50" s="81" t="s">
        <v>1455</v>
      </c>
      <c r="N50" s="81" t="s">
        <v>1482</v>
      </c>
      <c r="O50" s="77"/>
      <c r="P50" s="77"/>
      <c r="Q50" s="77"/>
      <c r="R50" s="77"/>
      <c r="S50" s="77"/>
      <c r="T50" s="77"/>
      <c r="U50" s="77"/>
      <c r="V50" s="77"/>
    </row>
    <row r="51" ht="15.75" customHeight="1">
      <c r="A51" s="78">
        <v>0.5069444444444444</v>
      </c>
      <c r="B51" s="77"/>
      <c r="C51" s="77"/>
      <c r="D51" s="77"/>
      <c r="E51" s="77"/>
      <c r="F51" s="77" t="s">
        <v>1453</v>
      </c>
      <c r="G51" s="77" t="s">
        <v>1011</v>
      </c>
      <c r="H51" s="77"/>
      <c r="I51" s="80"/>
      <c r="J51" s="77"/>
      <c r="K51" s="77"/>
      <c r="L51" s="81"/>
      <c r="M51" s="81" t="s">
        <v>483</v>
      </c>
      <c r="N51" s="81" t="s">
        <v>1483</v>
      </c>
      <c r="O51" s="77"/>
      <c r="P51" s="77"/>
      <c r="Q51" s="77"/>
      <c r="R51" s="77"/>
      <c r="S51" s="77"/>
      <c r="T51" s="77"/>
      <c r="U51" s="77"/>
      <c r="V51" s="77"/>
    </row>
    <row r="52" ht="15.75" customHeight="1">
      <c r="A52" s="78">
        <v>0.5104166666666666</v>
      </c>
      <c r="B52" s="77"/>
      <c r="C52" s="77"/>
      <c r="D52" s="77"/>
      <c r="E52" s="77"/>
      <c r="F52" s="77" t="s">
        <v>1453</v>
      </c>
      <c r="G52" s="77" t="s">
        <v>1013</v>
      </c>
      <c r="H52" s="77"/>
      <c r="I52" s="80"/>
      <c r="J52" s="77"/>
      <c r="K52" s="77"/>
      <c r="L52" s="81"/>
      <c r="M52" s="81" t="s">
        <v>483</v>
      </c>
      <c r="N52" s="81" t="s">
        <v>1484</v>
      </c>
      <c r="O52" s="77"/>
      <c r="P52" s="77"/>
      <c r="Q52" s="77"/>
      <c r="R52" s="77"/>
      <c r="S52" s="77"/>
      <c r="T52" s="77"/>
      <c r="U52" s="77"/>
      <c r="V52" s="77"/>
    </row>
    <row r="53" ht="15.75" customHeight="1">
      <c r="A53" s="78">
        <v>0.5138888888888888</v>
      </c>
      <c r="B53" s="77"/>
      <c r="C53" s="77"/>
      <c r="D53" s="77"/>
      <c r="E53" s="77"/>
      <c r="F53" s="77" t="s">
        <v>1453</v>
      </c>
      <c r="G53" s="77" t="s">
        <v>1015</v>
      </c>
      <c r="H53" s="77"/>
      <c r="I53" s="80"/>
      <c r="J53" s="77"/>
      <c r="K53" s="77"/>
      <c r="L53" s="81"/>
      <c r="M53" s="81" t="s">
        <v>483</v>
      </c>
      <c r="N53" s="81" t="s">
        <v>1485</v>
      </c>
      <c r="O53" s="77"/>
      <c r="P53" s="77"/>
      <c r="Q53" s="77"/>
      <c r="R53" s="77"/>
      <c r="S53" s="77"/>
      <c r="T53" s="77"/>
      <c r="U53" s="77"/>
      <c r="V53" s="77"/>
    </row>
    <row r="54" ht="15.75" customHeight="1">
      <c r="A54" s="78">
        <v>0.5173611111111112</v>
      </c>
      <c r="B54" s="77"/>
      <c r="C54" s="77"/>
      <c r="D54" s="77"/>
      <c r="E54" s="77"/>
      <c r="F54" s="77" t="s">
        <v>1455</v>
      </c>
      <c r="G54" s="77" t="s">
        <v>1486</v>
      </c>
      <c r="H54" s="77"/>
      <c r="I54" s="80"/>
      <c r="J54" s="77"/>
      <c r="K54" s="77"/>
      <c r="L54" s="81"/>
      <c r="M54" s="81" t="s">
        <v>483</v>
      </c>
      <c r="N54" s="81" t="s">
        <v>1487</v>
      </c>
      <c r="O54" s="77"/>
      <c r="P54" s="77"/>
      <c r="Q54" s="77"/>
      <c r="R54" s="77"/>
      <c r="S54" s="77"/>
      <c r="T54" s="77"/>
      <c r="U54" s="77"/>
      <c r="V54" s="77"/>
    </row>
    <row r="55" ht="15.75" customHeight="1">
      <c r="A55" s="78">
        <v>0.5208333333333334</v>
      </c>
      <c r="B55" s="77"/>
      <c r="C55" s="77"/>
      <c r="D55" s="77"/>
      <c r="E55" s="77"/>
      <c r="F55" s="77" t="s">
        <v>1455</v>
      </c>
      <c r="G55" s="77" t="s">
        <v>1488</v>
      </c>
      <c r="H55" s="77"/>
      <c r="I55" s="80"/>
      <c r="J55" s="77"/>
      <c r="K55" s="77"/>
      <c r="L55" s="81"/>
      <c r="M55" s="81" t="s">
        <v>1460</v>
      </c>
      <c r="N55" s="81" t="s">
        <v>1489</v>
      </c>
      <c r="O55" s="77"/>
      <c r="P55" s="77"/>
      <c r="Q55" s="77"/>
      <c r="R55" s="77"/>
      <c r="S55" s="77"/>
      <c r="T55" s="77"/>
      <c r="U55" s="77"/>
      <c r="V55" s="77"/>
    </row>
    <row r="56" ht="15.75" customHeight="1">
      <c r="A56" s="78">
        <v>0.5243055555555556</v>
      </c>
      <c r="B56" s="77"/>
      <c r="C56" s="77"/>
      <c r="D56" s="77"/>
      <c r="E56" s="77"/>
      <c r="F56" s="77" t="s">
        <v>1455</v>
      </c>
      <c r="G56" s="77" t="s">
        <v>1490</v>
      </c>
      <c r="H56" s="77"/>
      <c r="I56" s="80"/>
      <c r="J56" s="77"/>
      <c r="K56" s="77"/>
      <c r="L56" s="81"/>
      <c r="M56" s="81" t="s">
        <v>1460</v>
      </c>
      <c r="N56" s="81" t="s">
        <v>1491</v>
      </c>
      <c r="O56" s="77"/>
      <c r="P56" s="77"/>
      <c r="Q56" s="77"/>
      <c r="R56" s="77"/>
      <c r="S56" s="77"/>
      <c r="T56" s="77"/>
      <c r="U56" s="77"/>
      <c r="V56" s="77"/>
    </row>
    <row r="57" ht="15.75" customHeight="1">
      <c r="A57" s="78">
        <v>0.5277777777777778</v>
      </c>
      <c r="B57" s="77"/>
      <c r="C57" s="77"/>
      <c r="D57" s="77"/>
      <c r="E57" s="77"/>
      <c r="F57" s="77" t="s">
        <v>1455</v>
      </c>
      <c r="G57" s="77" t="s">
        <v>741</v>
      </c>
      <c r="H57" s="77"/>
      <c r="I57" s="80"/>
      <c r="J57" s="77"/>
      <c r="K57" s="77"/>
      <c r="L57" s="83"/>
      <c r="M57" s="81" t="s">
        <v>1460</v>
      </c>
      <c r="N57" s="81" t="s">
        <v>403</v>
      </c>
      <c r="O57" s="77"/>
      <c r="P57" s="77"/>
      <c r="Q57" s="77"/>
      <c r="R57" s="77"/>
      <c r="S57" s="77"/>
      <c r="T57" s="77"/>
      <c r="U57" s="77"/>
      <c r="V57" s="77"/>
    </row>
    <row r="58" ht="15.75" customHeight="1">
      <c r="A58" s="78">
        <v>0.53125</v>
      </c>
      <c r="B58" s="77"/>
      <c r="C58" s="77"/>
      <c r="D58" s="77"/>
      <c r="E58" s="77"/>
      <c r="F58" s="77" t="s">
        <v>1455</v>
      </c>
      <c r="G58" s="77" t="s">
        <v>1492</v>
      </c>
      <c r="H58" s="77"/>
      <c r="I58" s="80"/>
      <c r="J58" s="77"/>
      <c r="K58" s="77"/>
      <c r="L58" s="81"/>
      <c r="M58" s="81" t="s">
        <v>1460</v>
      </c>
      <c r="N58" s="81" t="s">
        <v>1493</v>
      </c>
      <c r="O58" s="77"/>
      <c r="P58" s="77"/>
      <c r="Q58" s="77"/>
      <c r="R58" s="77"/>
      <c r="S58" s="77"/>
      <c r="T58" s="77"/>
      <c r="U58" s="77"/>
      <c r="V58" s="77"/>
    </row>
    <row r="59" ht="15.75" customHeight="1">
      <c r="A59" s="78">
        <v>0.5347222222222222</v>
      </c>
      <c r="B59" s="77"/>
      <c r="C59" s="77"/>
      <c r="D59" s="77"/>
      <c r="E59" s="77"/>
      <c r="F59" s="77" t="s">
        <v>1455</v>
      </c>
      <c r="G59" s="77" t="s">
        <v>1494</v>
      </c>
      <c r="H59" s="77"/>
      <c r="I59" s="80"/>
      <c r="J59" s="77"/>
      <c r="K59" s="77"/>
      <c r="L59" s="81"/>
      <c r="M59" s="81" t="s">
        <v>1471</v>
      </c>
      <c r="N59" s="81" t="s">
        <v>1495</v>
      </c>
      <c r="O59" s="77"/>
      <c r="P59" s="77"/>
      <c r="Q59" s="77"/>
      <c r="R59" s="77"/>
      <c r="S59" s="77"/>
      <c r="T59" s="77"/>
      <c r="U59" s="77"/>
      <c r="V59" s="77"/>
    </row>
    <row r="60" ht="15.75" customHeight="1">
      <c r="A60" s="78">
        <v>0.5381944444444444</v>
      </c>
      <c r="B60" s="77"/>
      <c r="C60" s="77"/>
      <c r="D60" s="77"/>
      <c r="E60" s="77"/>
      <c r="F60" s="77" t="s">
        <v>1455</v>
      </c>
      <c r="G60" s="77" t="s">
        <v>1496</v>
      </c>
      <c r="H60" s="77"/>
      <c r="I60" s="80"/>
      <c r="J60" s="77"/>
      <c r="K60" s="77"/>
      <c r="L60" s="81"/>
      <c r="M60" s="81"/>
      <c r="N60" s="81"/>
      <c r="O60" s="77"/>
      <c r="P60" s="77"/>
      <c r="Q60" s="77"/>
      <c r="R60" s="77"/>
      <c r="S60" s="77"/>
      <c r="T60" s="77"/>
      <c r="U60" s="77"/>
      <c r="V60" s="77"/>
    </row>
    <row r="61" ht="15.75" customHeight="1">
      <c r="A61" s="78">
        <v>0.5416666666666666</v>
      </c>
      <c r="B61" s="77"/>
      <c r="C61" s="77"/>
      <c r="D61" s="77"/>
      <c r="E61" s="77"/>
      <c r="F61" s="77" t="s">
        <v>1455</v>
      </c>
      <c r="G61" s="77" t="s">
        <v>1497</v>
      </c>
      <c r="H61" s="77"/>
      <c r="I61" s="80"/>
      <c r="J61" s="77"/>
      <c r="K61" s="77"/>
      <c r="L61" s="81"/>
      <c r="M61" s="81"/>
      <c r="N61" s="84"/>
      <c r="O61" s="77"/>
      <c r="P61" s="77"/>
      <c r="Q61" s="77"/>
      <c r="R61" s="77"/>
      <c r="S61" s="77"/>
      <c r="T61" s="77"/>
      <c r="U61" s="77"/>
      <c r="V61" s="77"/>
    </row>
    <row r="62" ht="15.75" customHeight="1">
      <c r="A62" s="78">
        <v>0.5451388888888888</v>
      </c>
      <c r="B62" s="77"/>
      <c r="C62" s="77"/>
      <c r="D62" s="77"/>
      <c r="E62" s="77"/>
      <c r="F62" s="77" t="s">
        <v>483</v>
      </c>
      <c r="G62" s="77" t="s">
        <v>1498</v>
      </c>
      <c r="H62" s="77"/>
      <c r="I62" s="80"/>
      <c r="J62" s="77"/>
      <c r="K62" s="77"/>
      <c r="L62" s="81"/>
      <c r="M62" s="81"/>
      <c r="N62" s="81"/>
      <c r="O62" s="77"/>
      <c r="P62" s="77"/>
      <c r="Q62" s="77"/>
      <c r="R62" s="77"/>
      <c r="S62" s="77"/>
      <c r="T62" s="77"/>
      <c r="U62" s="77"/>
      <c r="V62" s="77"/>
    </row>
    <row r="63" ht="15.75" customHeight="1">
      <c r="A63" s="78">
        <v>0.5486111111111112</v>
      </c>
      <c r="B63" s="77"/>
      <c r="C63" s="77"/>
      <c r="D63" s="77"/>
      <c r="E63" s="77"/>
      <c r="F63" s="77" t="s">
        <v>483</v>
      </c>
      <c r="G63" s="77" t="s">
        <v>1499</v>
      </c>
      <c r="H63" s="77"/>
      <c r="I63" s="80"/>
      <c r="J63" s="77"/>
      <c r="K63" s="77"/>
      <c r="L63" s="81"/>
      <c r="M63" s="81"/>
      <c r="N63" s="81"/>
      <c r="O63" s="77"/>
      <c r="P63" s="77"/>
      <c r="Q63" s="77"/>
      <c r="R63" s="77"/>
      <c r="S63" s="77"/>
      <c r="T63" s="77"/>
      <c r="U63" s="77"/>
      <c r="V63" s="77"/>
    </row>
    <row r="64" ht="15.75" customHeight="1">
      <c r="A64" s="78">
        <v>0.5520833333333334</v>
      </c>
      <c r="B64" s="77"/>
      <c r="C64" s="77"/>
      <c r="D64" s="77"/>
      <c r="E64" s="77"/>
      <c r="F64" s="77" t="s">
        <v>483</v>
      </c>
      <c r="G64" s="77" t="s">
        <v>1168</v>
      </c>
      <c r="H64" s="77"/>
      <c r="I64" s="80"/>
      <c r="J64" s="77"/>
      <c r="K64" s="77"/>
      <c r="L64" s="81"/>
      <c r="M64" s="81"/>
      <c r="N64" s="81"/>
      <c r="O64" s="77"/>
      <c r="P64" s="77"/>
      <c r="Q64" s="77"/>
      <c r="R64" s="77"/>
      <c r="S64" s="77"/>
      <c r="T64" s="77"/>
      <c r="U64" s="77"/>
      <c r="V64" s="77"/>
    </row>
    <row r="65" ht="15.75" customHeight="1">
      <c r="A65" s="78">
        <v>0.5555555555555556</v>
      </c>
      <c r="B65" s="77"/>
      <c r="C65" s="77"/>
      <c r="D65" s="77"/>
      <c r="E65" s="77"/>
      <c r="F65" s="77" t="s">
        <v>483</v>
      </c>
      <c r="G65" s="77" t="s">
        <v>1500</v>
      </c>
      <c r="H65" s="77"/>
      <c r="I65" s="80"/>
      <c r="J65" s="77"/>
      <c r="K65" s="77"/>
      <c r="L65" s="81"/>
      <c r="M65" s="81"/>
      <c r="N65" s="81"/>
      <c r="O65" s="77"/>
      <c r="P65" s="77"/>
      <c r="Q65" s="77"/>
      <c r="R65" s="77"/>
      <c r="S65" s="77"/>
      <c r="T65" s="77"/>
      <c r="U65" s="77"/>
      <c r="V65" s="77"/>
    </row>
    <row r="66" ht="15.75" customHeight="1">
      <c r="A66" s="78">
        <v>0.5590277777777778</v>
      </c>
      <c r="B66" s="77"/>
      <c r="C66" s="77"/>
      <c r="D66" s="77"/>
      <c r="E66" s="77"/>
      <c r="F66" s="77" t="s">
        <v>483</v>
      </c>
      <c r="G66" s="77" t="s">
        <v>1501</v>
      </c>
      <c r="H66" s="77"/>
      <c r="I66" s="80"/>
      <c r="J66" s="77"/>
      <c r="K66" s="77"/>
      <c r="L66" s="81"/>
      <c r="M66" s="81"/>
      <c r="N66" s="81"/>
      <c r="O66" s="77"/>
      <c r="P66" s="77"/>
      <c r="Q66" s="77"/>
      <c r="R66" s="77"/>
      <c r="S66" s="77"/>
      <c r="T66" s="77"/>
      <c r="U66" s="77"/>
      <c r="V66" s="77"/>
    </row>
    <row r="67" ht="15.75" customHeight="1">
      <c r="A67" s="78">
        <v>0.5625</v>
      </c>
      <c r="B67" s="77"/>
      <c r="C67" s="77"/>
      <c r="D67" s="77"/>
      <c r="E67" s="77"/>
      <c r="F67" s="77" t="s">
        <v>1460</v>
      </c>
      <c r="G67" s="77" t="s">
        <v>818</v>
      </c>
      <c r="H67" s="77"/>
      <c r="I67" s="80"/>
      <c r="J67" s="77"/>
      <c r="K67" s="77"/>
      <c r="L67" s="81"/>
      <c r="M67" s="81"/>
      <c r="N67" s="81"/>
      <c r="O67" s="77"/>
      <c r="P67" s="77"/>
      <c r="Q67" s="77"/>
      <c r="R67" s="77"/>
      <c r="S67" s="77"/>
      <c r="T67" s="77"/>
      <c r="U67" s="77"/>
      <c r="V67" s="77"/>
    </row>
    <row r="68" ht="15.75" customHeight="1">
      <c r="A68" s="78">
        <v>0.5659722222222222</v>
      </c>
      <c r="B68" s="77"/>
      <c r="C68" s="77"/>
      <c r="D68" s="77"/>
      <c r="E68" s="77"/>
      <c r="F68" s="77" t="s">
        <v>1460</v>
      </c>
      <c r="G68" s="77" t="s">
        <v>1502</v>
      </c>
      <c r="H68" s="77"/>
      <c r="I68" s="80"/>
      <c r="J68" s="77"/>
      <c r="K68" s="77"/>
      <c r="L68" s="81"/>
      <c r="M68" s="81"/>
      <c r="N68" s="81"/>
      <c r="O68" s="77"/>
      <c r="P68" s="77"/>
      <c r="Q68" s="77"/>
      <c r="R68" s="77"/>
      <c r="S68" s="77"/>
      <c r="T68" s="77"/>
      <c r="U68" s="77"/>
      <c r="V68" s="77"/>
    </row>
    <row r="69" ht="15.75" customHeight="1">
      <c r="A69" s="78">
        <v>0.5694444444444444</v>
      </c>
      <c r="B69" s="77"/>
      <c r="C69" s="77"/>
      <c r="D69" s="77"/>
      <c r="E69" s="77"/>
      <c r="F69" s="77" t="s">
        <v>1466</v>
      </c>
      <c r="G69" s="77" t="s">
        <v>1503</v>
      </c>
      <c r="H69" s="77"/>
      <c r="I69" s="80"/>
      <c r="J69" s="77"/>
      <c r="K69" s="77"/>
      <c r="L69" s="81"/>
      <c r="M69" s="81"/>
      <c r="N69" s="81"/>
      <c r="O69" s="77"/>
      <c r="P69" s="77"/>
      <c r="Q69" s="77"/>
      <c r="R69" s="77"/>
      <c r="S69" s="77"/>
      <c r="T69" s="77"/>
      <c r="U69" s="77"/>
      <c r="V69" s="77"/>
    </row>
    <row r="70" ht="15.75" customHeight="1">
      <c r="A70" s="78">
        <v>0.5729166666666666</v>
      </c>
      <c r="B70" s="77"/>
      <c r="C70" s="77"/>
      <c r="D70" s="77"/>
      <c r="E70" s="77"/>
      <c r="F70" s="77" t="s">
        <v>1466</v>
      </c>
      <c r="G70" s="77" t="s">
        <v>1504</v>
      </c>
      <c r="H70" s="77"/>
      <c r="I70" s="80"/>
      <c r="J70" s="77"/>
      <c r="K70" s="77"/>
      <c r="L70" s="81"/>
      <c r="M70" s="81"/>
      <c r="N70" s="81"/>
      <c r="O70" s="77"/>
      <c r="P70" s="77"/>
      <c r="Q70" s="77"/>
      <c r="R70" s="77"/>
      <c r="S70" s="77"/>
      <c r="T70" s="77"/>
      <c r="U70" s="77"/>
      <c r="V70" s="77"/>
    </row>
    <row r="71" ht="15.75" customHeight="1">
      <c r="A71" s="78">
        <v>0.5763888888888888</v>
      </c>
      <c r="B71" s="77"/>
      <c r="C71" s="77"/>
      <c r="D71" s="77"/>
      <c r="E71" s="77"/>
      <c r="F71" s="77" t="s">
        <v>1471</v>
      </c>
      <c r="G71" s="77" t="s">
        <v>1505</v>
      </c>
      <c r="H71" s="77"/>
      <c r="I71" s="80"/>
      <c r="J71" s="77"/>
      <c r="K71" s="77"/>
      <c r="L71" s="81"/>
      <c r="M71" s="81"/>
      <c r="N71" s="81"/>
      <c r="O71" s="77"/>
      <c r="P71" s="77"/>
      <c r="Q71" s="77"/>
      <c r="R71" s="77"/>
      <c r="S71" s="77"/>
      <c r="T71" s="77"/>
      <c r="U71" s="77"/>
      <c r="V71" s="77"/>
    </row>
    <row r="72" ht="15.75" customHeight="1">
      <c r="A72" s="78">
        <v>0.5798611111111112</v>
      </c>
      <c r="B72" s="77"/>
      <c r="C72" s="77"/>
      <c r="D72" s="77"/>
      <c r="E72" s="77"/>
      <c r="F72" s="77"/>
      <c r="G72" s="77"/>
      <c r="H72" s="77"/>
      <c r="I72" s="80"/>
      <c r="J72" s="77"/>
      <c r="K72" s="77"/>
      <c r="L72" s="81"/>
      <c r="M72" s="81"/>
      <c r="N72" s="81"/>
      <c r="O72" s="77"/>
      <c r="P72" s="77"/>
      <c r="Q72" s="77"/>
      <c r="R72" s="77"/>
      <c r="S72" s="77"/>
      <c r="T72" s="77"/>
      <c r="U72" s="77"/>
      <c r="V72" s="77"/>
    </row>
    <row r="73" ht="15.75" customHeight="1">
      <c r="A73" s="78">
        <v>0.5833333333333334</v>
      </c>
      <c r="B73" s="77"/>
      <c r="C73" s="77"/>
      <c r="D73" s="77"/>
      <c r="E73" s="77"/>
      <c r="F73" s="77"/>
      <c r="G73" s="77"/>
      <c r="H73" s="77"/>
      <c r="I73" s="80"/>
      <c r="J73" s="77"/>
      <c r="K73" s="77"/>
      <c r="L73" s="81"/>
      <c r="M73" s="81"/>
      <c r="N73" s="81"/>
      <c r="O73" s="77"/>
      <c r="P73" s="77"/>
      <c r="Q73" s="77"/>
      <c r="R73" s="77"/>
      <c r="S73" s="77"/>
      <c r="T73" s="77"/>
      <c r="U73" s="77"/>
      <c r="V73" s="77"/>
    </row>
    <row r="74" ht="15.75" customHeight="1">
      <c r="A74" s="78">
        <v>0.5868055555555556</v>
      </c>
      <c r="B74" s="77"/>
      <c r="C74" s="77"/>
      <c r="D74" s="77"/>
      <c r="E74" s="77"/>
      <c r="F74" s="77"/>
      <c r="G74" s="77"/>
      <c r="H74" s="77"/>
      <c r="I74" s="80"/>
      <c r="J74" s="77"/>
      <c r="K74" s="77"/>
      <c r="L74" s="81"/>
      <c r="M74" s="81"/>
      <c r="N74" s="81"/>
      <c r="O74" s="77"/>
      <c r="P74" s="77"/>
      <c r="Q74" s="77"/>
      <c r="R74" s="77"/>
      <c r="S74" s="77"/>
      <c r="T74" s="77"/>
      <c r="U74" s="77"/>
      <c r="V74" s="77"/>
    </row>
    <row r="75" ht="15.75" customHeight="1">
      <c r="A75" s="78">
        <v>0.5902777777777778</v>
      </c>
      <c r="B75" s="77"/>
      <c r="C75" s="77"/>
      <c r="D75" s="77"/>
      <c r="E75" s="77"/>
      <c r="F75" s="77"/>
      <c r="G75" s="77"/>
      <c r="H75" s="77"/>
      <c r="I75" s="80"/>
      <c r="J75" s="77"/>
      <c r="K75" s="77"/>
      <c r="L75" s="81"/>
      <c r="M75" s="81"/>
      <c r="N75" s="81"/>
      <c r="O75" s="77"/>
      <c r="P75" s="77"/>
      <c r="Q75" s="77"/>
      <c r="R75" s="77"/>
      <c r="S75" s="77"/>
      <c r="T75" s="77"/>
      <c r="U75" s="77"/>
      <c r="V75" s="77"/>
    </row>
    <row r="76" ht="15.75" customHeight="1">
      <c r="A76" s="78">
        <v>0.59375</v>
      </c>
      <c r="B76" s="77"/>
      <c r="C76" s="77"/>
      <c r="D76" s="77"/>
      <c r="E76" s="77"/>
      <c r="F76" s="77"/>
      <c r="G76" s="77"/>
      <c r="H76" s="77"/>
      <c r="I76" s="80"/>
      <c r="J76" s="77"/>
      <c r="K76" s="77"/>
      <c r="L76" s="81"/>
      <c r="M76" s="81"/>
      <c r="N76" s="81"/>
      <c r="O76" s="77"/>
      <c r="P76" s="77"/>
      <c r="Q76" s="77"/>
      <c r="R76" s="77"/>
      <c r="S76" s="77"/>
      <c r="T76" s="77"/>
      <c r="U76" s="77"/>
      <c r="V76" s="77"/>
    </row>
    <row r="77" ht="15.75" customHeight="1">
      <c r="A77" s="78">
        <v>0.5972222222222222</v>
      </c>
      <c r="B77" s="77"/>
      <c r="C77" s="77"/>
      <c r="D77" s="77"/>
      <c r="E77" s="77"/>
      <c r="F77" s="77"/>
      <c r="G77" s="77"/>
      <c r="H77" s="77"/>
      <c r="I77" s="80"/>
      <c r="J77" s="77"/>
      <c r="K77" s="77"/>
      <c r="L77" s="81"/>
      <c r="M77" s="81"/>
      <c r="N77" s="81"/>
      <c r="O77" s="77"/>
      <c r="P77" s="77"/>
      <c r="Q77" s="77"/>
      <c r="R77" s="77"/>
      <c r="S77" s="77"/>
      <c r="T77" s="77"/>
      <c r="U77" s="77"/>
      <c r="V77" s="77"/>
    </row>
    <row r="78" ht="15.75" customHeight="1">
      <c r="A78" s="78">
        <v>0.6006944444444444</v>
      </c>
      <c r="B78" s="77"/>
      <c r="C78" s="77"/>
      <c r="D78" s="77"/>
      <c r="E78" s="77"/>
      <c r="F78" s="77"/>
      <c r="G78" s="77"/>
      <c r="H78" s="77"/>
      <c r="I78" s="80"/>
      <c r="J78" s="77"/>
      <c r="K78" s="77"/>
      <c r="L78" s="81"/>
      <c r="M78" s="81"/>
      <c r="N78" s="81"/>
      <c r="O78" s="77"/>
      <c r="P78" s="77"/>
      <c r="Q78" s="77"/>
      <c r="R78" s="77"/>
      <c r="S78" s="77"/>
      <c r="T78" s="77"/>
      <c r="U78" s="77"/>
      <c r="V78" s="77"/>
    </row>
    <row r="79" ht="15.75" customHeight="1">
      <c r="A79" s="78">
        <v>0.6041666666666666</v>
      </c>
      <c r="B79" s="77"/>
      <c r="C79" s="77"/>
      <c r="D79" s="77"/>
      <c r="E79" s="77"/>
      <c r="F79" s="77"/>
      <c r="G79" s="77"/>
      <c r="H79" s="77"/>
      <c r="I79" s="80"/>
      <c r="J79" s="77"/>
      <c r="K79" s="77"/>
      <c r="L79" s="81"/>
      <c r="M79" s="81"/>
      <c r="N79" s="81"/>
      <c r="O79" s="77"/>
      <c r="P79" s="77"/>
      <c r="Q79" s="77"/>
      <c r="R79" s="77"/>
      <c r="S79" s="77"/>
      <c r="T79" s="77"/>
      <c r="U79" s="77"/>
      <c r="V79" s="77"/>
    </row>
    <row r="80" ht="15.75" customHeight="1">
      <c r="A80" s="78">
        <v>0.6076388888888888</v>
      </c>
      <c r="B80" s="77"/>
      <c r="C80" s="77"/>
      <c r="D80" s="77"/>
      <c r="E80" s="77"/>
      <c r="F80" s="77"/>
      <c r="G80" s="77"/>
      <c r="H80" s="77"/>
      <c r="I80" s="80"/>
      <c r="J80" s="77"/>
      <c r="K80" s="77"/>
      <c r="L80" s="81"/>
      <c r="M80" s="81"/>
      <c r="N80" s="81"/>
      <c r="O80" s="77"/>
      <c r="P80" s="77"/>
      <c r="Q80" s="77"/>
      <c r="R80" s="77"/>
      <c r="S80" s="77"/>
      <c r="T80" s="77"/>
      <c r="U80" s="77"/>
      <c r="V80" s="77"/>
    </row>
    <row r="81" ht="15.75" customHeight="1">
      <c r="A81" s="78">
        <v>0.6111111111111112</v>
      </c>
      <c r="B81" s="77"/>
      <c r="C81" s="77"/>
      <c r="D81" s="77"/>
      <c r="E81" s="77"/>
      <c r="F81" s="77"/>
      <c r="G81" s="77"/>
      <c r="H81" s="77"/>
      <c r="I81" s="80"/>
      <c r="J81" s="77"/>
      <c r="K81" s="77"/>
      <c r="L81" s="81"/>
      <c r="M81" s="81"/>
      <c r="N81" s="81"/>
      <c r="O81" s="77"/>
      <c r="P81" s="77"/>
      <c r="Q81" s="77"/>
      <c r="R81" s="77"/>
      <c r="S81" s="77"/>
      <c r="T81" s="77"/>
      <c r="U81" s="77"/>
      <c r="V81" s="77"/>
    </row>
    <row r="82" ht="15.75" customHeight="1">
      <c r="A82" s="78">
        <v>0.6145833333333334</v>
      </c>
      <c r="B82" s="77"/>
      <c r="C82" s="77"/>
      <c r="D82" s="77"/>
      <c r="E82" s="77"/>
      <c r="F82" s="77"/>
      <c r="G82" s="77"/>
      <c r="H82" s="77"/>
      <c r="I82" s="80"/>
      <c r="J82" s="77"/>
      <c r="K82" s="77"/>
      <c r="L82" s="81"/>
      <c r="M82" s="81"/>
      <c r="N82" s="81"/>
      <c r="O82" s="77"/>
      <c r="P82" s="77"/>
      <c r="Q82" s="77"/>
      <c r="R82" s="77"/>
      <c r="S82" s="77"/>
      <c r="T82" s="77"/>
      <c r="U82" s="77"/>
      <c r="V82" s="77"/>
    </row>
    <row r="83" ht="15.75" customHeight="1">
      <c r="A83" s="78">
        <v>0.6180555555555556</v>
      </c>
      <c r="B83" s="77"/>
      <c r="C83" s="77"/>
      <c r="D83" s="77"/>
      <c r="E83" s="77"/>
      <c r="F83" s="77"/>
      <c r="G83" s="77"/>
      <c r="H83" s="77"/>
      <c r="I83" s="80"/>
      <c r="J83" s="77"/>
      <c r="K83" s="77"/>
      <c r="L83" s="81"/>
      <c r="M83" s="81"/>
      <c r="N83" s="81"/>
      <c r="O83" s="77"/>
      <c r="P83" s="77"/>
      <c r="Q83" s="77"/>
      <c r="R83" s="77"/>
      <c r="S83" s="77"/>
      <c r="T83" s="77"/>
      <c r="U83" s="77"/>
      <c r="V83" s="77"/>
    </row>
    <row r="84" ht="15.75" customHeight="1">
      <c r="A84" s="78">
        <v>0.6215277777777778</v>
      </c>
      <c r="B84" s="77"/>
      <c r="C84" s="77"/>
      <c r="D84" s="77"/>
      <c r="E84" s="77"/>
      <c r="F84" s="77"/>
      <c r="G84" s="77"/>
      <c r="H84" s="77"/>
      <c r="I84" s="80"/>
      <c r="J84" s="77"/>
      <c r="K84" s="77"/>
      <c r="L84" s="81"/>
      <c r="M84" s="81"/>
      <c r="N84" s="81"/>
      <c r="O84" s="77"/>
      <c r="P84" s="77"/>
      <c r="Q84" s="77"/>
      <c r="R84" s="77"/>
      <c r="S84" s="77"/>
      <c r="T84" s="77"/>
      <c r="U84" s="77"/>
      <c r="V84" s="77"/>
    </row>
    <row r="85" ht="15.75" customHeight="1">
      <c r="A85" s="78">
        <v>0.625</v>
      </c>
      <c r="B85" s="77"/>
      <c r="C85" s="77"/>
      <c r="D85" s="77"/>
      <c r="E85" s="77"/>
      <c r="F85" s="77"/>
      <c r="G85" s="77"/>
      <c r="H85" s="77"/>
      <c r="I85" s="80"/>
      <c r="J85" s="77"/>
      <c r="K85" s="77"/>
      <c r="L85" s="81"/>
      <c r="M85" s="81"/>
      <c r="N85" s="81"/>
      <c r="O85" s="77"/>
      <c r="P85" s="77"/>
      <c r="Q85" s="77"/>
      <c r="R85" s="77"/>
      <c r="S85" s="77"/>
      <c r="T85" s="77"/>
      <c r="U85" s="77"/>
      <c r="V85" s="77"/>
    </row>
    <row r="86" ht="15.75" customHeight="1">
      <c r="A86" s="78">
        <v>0.6284722222222222</v>
      </c>
      <c r="B86" s="77"/>
      <c r="C86" s="77"/>
      <c r="D86" s="77"/>
      <c r="E86" s="77"/>
      <c r="F86" s="77"/>
      <c r="G86" s="77"/>
      <c r="H86" s="77"/>
      <c r="I86" s="80"/>
      <c r="J86" s="77"/>
      <c r="K86" s="77"/>
      <c r="L86" s="81"/>
      <c r="M86" s="81"/>
      <c r="N86" s="81"/>
      <c r="O86" s="77"/>
      <c r="P86" s="77"/>
      <c r="Q86" s="77"/>
      <c r="R86" s="77"/>
      <c r="S86" s="77"/>
      <c r="T86" s="77"/>
      <c r="U86" s="77"/>
      <c r="V86" s="77"/>
    </row>
    <row r="87" ht="15.75" customHeight="1">
      <c r="A87" s="78">
        <v>0.6319444444444444</v>
      </c>
      <c r="B87" s="77"/>
      <c r="C87" s="77"/>
      <c r="D87" s="77"/>
      <c r="E87" s="77"/>
      <c r="F87" s="77"/>
      <c r="G87" s="77"/>
      <c r="H87" s="77"/>
      <c r="I87" s="80"/>
      <c r="J87" s="77"/>
      <c r="K87" s="77"/>
      <c r="L87" s="81"/>
      <c r="M87" s="81"/>
      <c r="N87" s="81"/>
      <c r="O87" s="77"/>
      <c r="P87" s="77"/>
      <c r="Q87" s="77"/>
      <c r="R87" s="77"/>
      <c r="S87" s="77"/>
      <c r="T87" s="77"/>
      <c r="U87" s="77"/>
      <c r="V87" s="77"/>
    </row>
    <row r="88" ht="15.75" customHeight="1">
      <c r="A88" s="78">
        <v>0.6354166666666666</v>
      </c>
      <c r="B88" s="77"/>
      <c r="C88" s="77"/>
      <c r="D88" s="77"/>
      <c r="E88" s="77"/>
      <c r="F88" s="77"/>
      <c r="G88" s="77"/>
      <c r="H88" s="77"/>
      <c r="I88" s="80"/>
      <c r="J88" s="77"/>
      <c r="K88" s="77"/>
      <c r="L88" s="81"/>
      <c r="M88" s="81"/>
      <c r="N88" s="81"/>
      <c r="O88" s="77"/>
      <c r="P88" s="77"/>
      <c r="Q88" s="77"/>
      <c r="R88" s="77"/>
      <c r="S88" s="77"/>
      <c r="T88" s="77"/>
      <c r="U88" s="77"/>
      <c r="V88" s="77"/>
    </row>
    <row r="89" ht="15.75" customHeight="1">
      <c r="A89" s="78">
        <v>0.6388888888888888</v>
      </c>
      <c r="B89" s="77"/>
      <c r="C89" s="77"/>
      <c r="D89" s="77"/>
      <c r="E89" s="77"/>
      <c r="F89" s="77"/>
      <c r="G89" s="77"/>
      <c r="H89" s="77"/>
      <c r="I89" s="80"/>
      <c r="J89" s="77"/>
      <c r="K89" s="77"/>
      <c r="L89" s="81"/>
      <c r="M89" s="81"/>
      <c r="N89" s="81"/>
      <c r="O89" s="77"/>
      <c r="P89" s="77"/>
      <c r="Q89" s="77"/>
      <c r="R89" s="77"/>
      <c r="S89" s="77"/>
      <c r="T89" s="77"/>
      <c r="U89" s="77"/>
      <c r="V89" s="77"/>
    </row>
    <row r="90" ht="15.75" customHeight="1">
      <c r="A90" s="78">
        <v>0.6423611111111112</v>
      </c>
      <c r="B90" s="77"/>
      <c r="C90" s="77"/>
      <c r="D90" s="77"/>
      <c r="E90" s="77"/>
      <c r="F90" s="77"/>
      <c r="G90" s="77"/>
      <c r="H90" s="77"/>
      <c r="I90" s="80"/>
      <c r="J90" s="77"/>
      <c r="K90" s="77"/>
      <c r="L90" s="81"/>
      <c r="M90" s="81"/>
      <c r="N90" s="81"/>
      <c r="O90" s="77"/>
      <c r="P90" s="77"/>
      <c r="Q90" s="77"/>
      <c r="R90" s="77"/>
      <c r="S90" s="77"/>
      <c r="T90" s="77"/>
      <c r="U90" s="77"/>
      <c r="V90" s="77"/>
    </row>
    <row r="91" ht="15.75" customHeight="1">
      <c r="A91" s="78">
        <v>0.6458333333333334</v>
      </c>
      <c r="B91" s="77"/>
      <c r="C91" s="77"/>
      <c r="D91" s="77"/>
      <c r="E91" s="77"/>
      <c r="F91" s="77"/>
      <c r="G91" s="77"/>
      <c r="H91" s="77"/>
      <c r="I91" s="80"/>
      <c r="J91" s="77"/>
      <c r="K91" s="77"/>
      <c r="L91" s="81"/>
      <c r="M91" s="81"/>
      <c r="N91" s="81"/>
      <c r="O91" s="77"/>
      <c r="P91" s="77"/>
      <c r="Q91" s="77"/>
      <c r="R91" s="77"/>
      <c r="S91" s="77"/>
      <c r="T91" s="77"/>
      <c r="U91" s="77"/>
      <c r="V91" s="77"/>
    </row>
    <row r="92" ht="15.75" customHeight="1">
      <c r="A92" s="78">
        <v>0.6493055555555556</v>
      </c>
      <c r="B92" s="77"/>
      <c r="C92" s="77"/>
      <c r="D92" s="77"/>
      <c r="E92" s="77"/>
      <c r="F92" s="77"/>
      <c r="G92" s="77"/>
      <c r="H92" s="77"/>
      <c r="I92" s="80"/>
      <c r="J92" s="77"/>
      <c r="K92" s="77"/>
      <c r="L92" s="81"/>
      <c r="M92" s="81"/>
      <c r="N92" s="81"/>
      <c r="O92" s="77"/>
      <c r="P92" s="77"/>
      <c r="Q92" s="77"/>
      <c r="R92" s="77"/>
      <c r="S92" s="77"/>
      <c r="T92" s="77"/>
      <c r="U92" s="77"/>
      <c r="V92" s="77"/>
    </row>
    <row r="93" ht="15.75" customHeight="1">
      <c r="A93" s="78">
        <v>0.6527777777777778</v>
      </c>
      <c r="B93" s="77"/>
      <c r="C93" s="77"/>
      <c r="D93" s="77"/>
      <c r="E93" s="77"/>
      <c r="F93" s="77"/>
      <c r="G93" s="77"/>
      <c r="H93" s="77"/>
      <c r="I93" s="80"/>
      <c r="J93" s="77"/>
      <c r="K93" s="77"/>
      <c r="L93" s="81"/>
      <c r="M93" s="81"/>
      <c r="N93" s="81"/>
      <c r="O93" s="77"/>
      <c r="P93" s="77"/>
      <c r="Q93" s="77"/>
      <c r="R93" s="77"/>
      <c r="S93" s="77"/>
      <c r="T93" s="77"/>
      <c r="U93" s="77"/>
      <c r="V93" s="77"/>
    </row>
    <row r="94" ht="15.75" customHeight="1">
      <c r="A94" s="78">
        <v>0.65625</v>
      </c>
      <c r="B94" s="77"/>
      <c r="C94" s="77"/>
      <c r="D94" s="77"/>
      <c r="E94" s="77"/>
      <c r="F94" s="77"/>
      <c r="G94" s="77"/>
      <c r="H94" s="77"/>
      <c r="I94" s="80"/>
      <c r="J94" s="77"/>
      <c r="K94" s="77"/>
      <c r="L94" s="81"/>
      <c r="M94" s="81"/>
      <c r="N94" s="81"/>
      <c r="O94" s="77"/>
      <c r="P94" s="77"/>
      <c r="Q94" s="77"/>
      <c r="R94" s="77"/>
      <c r="S94" s="77"/>
      <c r="T94" s="77"/>
      <c r="U94" s="77"/>
      <c r="V94" s="77"/>
    </row>
    <row r="95" ht="15.75" customHeight="1">
      <c r="A95" s="78">
        <v>0.6597222222222222</v>
      </c>
      <c r="B95" s="77"/>
      <c r="C95" s="77"/>
      <c r="D95" s="77"/>
      <c r="E95" s="77"/>
      <c r="F95" s="77"/>
      <c r="G95" s="77"/>
      <c r="H95" s="77"/>
      <c r="I95" s="80"/>
      <c r="J95" s="77"/>
      <c r="K95" s="77"/>
      <c r="L95" s="81"/>
      <c r="M95" s="81"/>
      <c r="N95" s="81"/>
      <c r="O95" s="77"/>
      <c r="P95" s="77"/>
      <c r="Q95" s="77"/>
      <c r="R95" s="77"/>
      <c r="S95" s="77"/>
      <c r="T95" s="77"/>
      <c r="U95" s="77"/>
      <c r="V95" s="77"/>
    </row>
    <row r="96" ht="15.75" customHeight="1">
      <c r="A96" s="78">
        <v>0.6631944444444444</v>
      </c>
      <c r="B96" s="77"/>
      <c r="C96" s="77"/>
      <c r="D96" s="77"/>
      <c r="E96" s="77"/>
      <c r="F96" s="77"/>
      <c r="G96" s="77"/>
      <c r="H96" s="77"/>
      <c r="I96" s="80"/>
      <c r="J96" s="77"/>
      <c r="K96" s="77"/>
      <c r="L96" s="81"/>
      <c r="M96" s="81"/>
      <c r="N96" s="81"/>
      <c r="O96" s="77"/>
      <c r="P96" s="77"/>
      <c r="Q96" s="77"/>
      <c r="R96" s="77"/>
      <c r="S96" s="77"/>
      <c r="T96" s="77"/>
      <c r="U96" s="77"/>
      <c r="V96" s="77"/>
    </row>
    <row r="97" ht="15.75" customHeight="1">
      <c r="A97" s="78">
        <v>0.6666666666666666</v>
      </c>
      <c r="B97" s="77"/>
      <c r="C97" s="77"/>
      <c r="D97" s="77"/>
      <c r="E97" s="77"/>
      <c r="F97" s="77"/>
      <c r="G97" s="77"/>
      <c r="H97" s="77"/>
      <c r="I97" s="80"/>
      <c r="J97" s="77"/>
      <c r="K97" s="77"/>
      <c r="L97" s="81"/>
      <c r="M97" s="81"/>
      <c r="N97" s="81"/>
      <c r="O97" s="77"/>
      <c r="P97" s="77"/>
      <c r="Q97" s="77"/>
      <c r="R97" s="77"/>
      <c r="S97" s="77"/>
      <c r="T97" s="77"/>
      <c r="U97" s="77"/>
      <c r="V97" s="77"/>
    </row>
    <row r="98" ht="15.75" customHeight="1">
      <c r="A98" s="78">
        <v>0.6701388888888888</v>
      </c>
      <c r="B98" s="77"/>
      <c r="C98" s="77"/>
      <c r="D98" s="77"/>
      <c r="E98" s="77"/>
      <c r="F98" s="77"/>
      <c r="G98" s="77"/>
      <c r="H98" s="77"/>
      <c r="I98" s="80"/>
      <c r="J98" s="77"/>
      <c r="K98" s="77"/>
      <c r="L98" s="77"/>
      <c r="M98" s="81"/>
      <c r="N98" s="81"/>
      <c r="O98" s="77"/>
      <c r="P98" s="77"/>
      <c r="Q98" s="77"/>
      <c r="R98" s="77"/>
      <c r="S98" s="77"/>
      <c r="T98" s="77"/>
      <c r="U98" s="77"/>
      <c r="V98" s="77"/>
    </row>
    <row r="99" ht="15.75" customHeight="1">
      <c r="A99" s="78">
        <v>0.6736111111111112</v>
      </c>
      <c r="B99" s="77"/>
      <c r="C99" s="77"/>
      <c r="D99" s="77"/>
      <c r="E99" s="77"/>
      <c r="F99" s="77"/>
      <c r="G99" s="77"/>
      <c r="H99" s="77"/>
      <c r="I99" s="80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</row>
    <row r="100" ht="15.75" customHeight="1">
      <c r="A100" s="78">
        <v>0.6770833333333334</v>
      </c>
      <c r="B100" s="77"/>
      <c r="C100" s="77"/>
      <c r="D100" s="77"/>
      <c r="E100" s="77"/>
      <c r="F100" s="77"/>
      <c r="G100" s="77"/>
      <c r="H100" s="77"/>
      <c r="I100" s="80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</row>
    <row r="101" ht="15.75" customHeight="1">
      <c r="A101" s="78">
        <v>0.6805555555555556</v>
      </c>
      <c r="B101" s="77"/>
      <c r="C101" s="77"/>
      <c r="D101" s="77"/>
      <c r="E101" s="77"/>
      <c r="F101" s="77"/>
      <c r="G101" s="77"/>
      <c r="H101" s="77"/>
      <c r="I101" s="80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</row>
    <row r="102" ht="15.75" customHeight="1">
      <c r="A102" s="78">
        <v>0.6840277777777778</v>
      </c>
      <c r="B102" s="77"/>
      <c r="C102" s="77"/>
      <c r="D102" s="77"/>
      <c r="E102" s="77"/>
      <c r="F102" s="77"/>
      <c r="G102" s="77"/>
      <c r="H102" s="77"/>
      <c r="I102" s="80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</row>
    <row r="103" ht="15.75" customHeight="1">
      <c r="A103" s="78">
        <v>0.6875</v>
      </c>
      <c r="B103" s="77"/>
      <c r="C103" s="77"/>
      <c r="D103" s="77"/>
      <c r="E103" s="77"/>
      <c r="F103" s="77"/>
      <c r="G103" s="77"/>
      <c r="H103" s="77"/>
      <c r="I103" s="80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</row>
    <row r="104" ht="15.75" customHeight="1">
      <c r="A104" s="78">
        <v>0.6909722222222222</v>
      </c>
      <c r="B104" s="77"/>
      <c r="C104" s="77"/>
      <c r="D104" s="77"/>
      <c r="E104" s="77"/>
      <c r="F104" s="77"/>
      <c r="G104" s="77"/>
      <c r="H104" s="77"/>
      <c r="I104" s="80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</row>
    <row r="105" ht="15.75" customHeight="1">
      <c r="A105" s="78">
        <v>0.6944444444444444</v>
      </c>
      <c r="B105" s="77"/>
      <c r="C105" s="77"/>
      <c r="D105" s="77"/>
      <c r="E105" s="77"/>
      <c r="F105" s="77"/>
      <c r="G105" s="77"/>
      <c r="H105" s="77"/>
      <c r="I105" s="80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</row>
    <row r="106" ht="15.75" customHeight="1">
      <c r="A106" s="78">
        <v>0.6979166666666666</v>
      </c>
      <c r="B106" s="77"/>
      <c r="C106" s="77"/>
      <c r="D106" s="77"/>
      <c r="E106" s="77"/>
      <c r="F106" s="77"/>
      <c r="G106" s="77"/>
      <c r="H106" s="77"/>
      <c r="I106" s="80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</row>
    <row r="107" ht="15.75" customHeight="1">
      <c r="A107" s="78">
        <v>0.7013888888888888</v>
      </c>
      <c r="B107" s="77"/>
      <c r="C107" s="77"/>
      <c r="D107" s="77"/>
      <c r="E107" s="77"/>
      <c r="F107" s="77"/>
      <c r="G107" s="77"/>
      <c r="H107" s="77"/>
      <c r="I107" s="80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</row>
    <row r="108" ht="15.75" customHeight="1">
      <c r="A108" s="78">
        <v>0.7048611111111112</v>
      </c>
      <c r="B108" s="77"/>
      <c r="C108" s="77"/>
      <c r="D108" s="77"/>
      <c r="E108" s="77"/>
      <c r="F108" s="77"/>
      <c r="G108" s="77"/>
      <c r="H108" s="77"/>
      <c r="I108" s="80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</row>
    <row r="109" ht="15.75" customHeight="1">
      <c r="A109" s="78">
        <v>0.7083333333333334</v>
      </c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</row>
    <row r="110" ht="15.75" customHeight="1">
      <c r="A110" s="78">
        <v>0.7118055555555556</v>
      </c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</row>
    <row r="111" ht="15.75" customHeight="1">
      <c r="A111" s="78">
        <v>0.7152777777777778</v>
      </c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</row>
    <row r="112" ht="15.75" customHeight="1">
      <c r="A112" s="78">
        <v>0.71875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</row>
    <row r="113" ht="15.75" customHeight="1">
      <c r="A113" s="78">
        <v>0.7222222222222222</v>
      </c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</row>
    <row r="114" ht="15.75" customHeight="1">
      <c r="A114" s="78">
        <v>0.7256944444444444</v>
      </c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</row>
    <row r="115" ht="15.75" customHeight="1">
      <c r="A115" s="78">
        <v>0.7291666666666666</v>
      </c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</row>
    <row r="116" ht="15.75" customHeight="1">
      <c r="A116" s="78">
        <v>0.7326388888888888</v>
      </c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</row>
    <row r="117" ht="15.75" customHeight="1">
      <c r="A117" s="78">
        <v>0.7361111111111112</v>
      </c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</row>
    <row r="118" ht="15.75" customHeight="1">
      <c r="A118" s="78">
        <v>0.7395833333333334</v>
      </c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</row>
    <row r="119" ht="15.75" customHeight="1">
      <c r="A119" s="78">
        <v>0.7430555555555556</v>
      </c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</row>
    <row r="120" ht="15.75" customHeight="1">
      <c r="A120" s="78">
        <v>0.7465277777777778</v>
      </c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</row>
    <row r="121" ht="15.75" customHeight="1">
      <c r="A121" s="78">
        <v>0.75</v>
      </c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</row>
    <row r="122" ht="15.75" customHeight="1">
      <c r="A122" s="78">
        <v>0.7534722222222222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</row>
    <row r="123" ht="15.75" customHeight="1">
      <c r="A123" s="78">
        <v>0.7569444444444444</v>
      </c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</row>
    <row r="124" ht="15.75" customHeight="1">
      <c r="A124" s="78">
        <v>0.7604166666666666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</row>
    <row r="125" ht="15.75" customHeight="1">
      <c r="A125" s="78">
        <v>0.7638888888888888</v>
      </c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</row>
    <row r="126" ht="15.75" customHeight="1">
      <c r="A126" s="78">
        <v>0.7673611111111112</v>
      </c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</row>
    <row r="127" ht="15.75" customHeight="1">
      <c r="A127" s="78">
        <v>0.7708333333333334</v>
      </c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</row>
    <row r="128" ht="15.75" customHeight="1">
      <c r="A128" s="78">
        <v>0.7743055555555556</v>
      </c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</row>
    <row r="129" ht="15.75" customHeight="1">
      <c r="A129" s="78">
        <v>0.7777777777777778</v>
      </c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</row>
    <row r="130" ht="15.75" customHeight="1">
      <c r="A130" s="78">
        <v>0.78125</v>
      </c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</row>
    <row r="131" ht="15.75" customHeight="1">
      <c r="A131" s="78">
        <v>0.7847222222222222</v>
      </c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</row>
    <row r="132" ht="15.75" customHeight="1">
      <c r="A132" s="78">
        <v>0.7881944444444444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</row>
    <row r="133" ht="15.75" customHeight="1">
      <c r="A133" s="78">
        <v>0.7916666666666666</v>
      </c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</row>
    <row r="134" ht="15.75" customHeight="1">
      <c r="A134" s="78">
        <v>0.7951388888888888</v>
      </c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</row>
    <row r="135" ht="15.75" customHeight="1">
      <c r="A135" s="78">
        <v>0.7986111111111112</v>
      </c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</row>
    <row r="136" ht="15.75" customHeight="1">
      <c r="A136" s="78">
        <v>0.8020833333333334</v>
      </c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</row>
    <row r="137" ht="15.75" customHeight="1">
      <c r="A137" s="78">
        <v>0.8055555555555556</v>
      </c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</row>
    <row r="138" ht="15.75" customHeight="1">
      <c r="A138" s="78">
        <v>0.8090277777777778</v>
      </c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</row>
    <row r="139" ht="15.75" customHeight="1">
      <c r="A139" s="78">
        <v>0.8125</v>
      </c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</row>
    <row r="140" ht="15.75" customHeight="1">
      <c r="A140" s="78">
        <v>0.8159722222222222</v>
      </c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</row>
    <row r="141" ht="15.75" customHeight="1">
      <c r="A141" s="78">
        <v>0.8194444444444444</v>
      </c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</row>
    <row r="142" ht="15.75" customHeight="1">
      <c r="A142" s="78">
        <v>0.8229166666666666</v>
      </c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</row>
    <row r="143" ht="15.75" customHeight="1">
      <c r="A143" s="78">
        <v>0.8263888888888888</v>
      </c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</row>
    <row r="144" ht="15.75" customHeight="1">
      <c r="A144" s="78">
        <v>0.8298611111111112</v>
      </c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</row>
    <row r="145" ht="15.75" customHeight="1">
      <c r="A145" s="78">
        <v>0.8333333333333334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</row>
    <row r="146" ht="15.75" customHeight="1">
      <c r="A146" s="78">
        <v>0.8368055555555556</v>
      </c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</row>
    <row r="147" ht="15.75" customHeight="1">
      <c r="A147" s="78">
        <v>0.8402777777777778</v>
      </c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</row>
    <row r="148" ht="15.75" customHeight="1">
      <c r="A148" s="78">
        <v>0.84375</v>
      </c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</row>
    <row r="149" ht="15.75" customHeight="1">
      <c r="A149" s="78">
        <v>0.8472222222222222</v>
      </c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</row>
    <row r="150" ht="15.75" customHeight="1">
      <c r="A150" s="78">
        <v>0.8506944444444444</v>
      </c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</row>
    <row r="151" ht="15.75" customHeight="1">
      <c r="A151" s="78">
        <v>0.8541666666666666</v>
      </c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</row>
    <row r="152" ht="15.75" customHeight="1">
      <c r="A152" s="78">
        <v>0.8576388888888888</v>
      </c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</row>
    <row r="153" ht="15.75" customHeight="1">
      <c r="A153" s="78">
        <v>0.8611111111111112</v>
      </c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</row>
    <row r="154" ht="15.75" customHeight="1">
      <c r="A154" s="78">
        <v>0.8645833333333334</v>
      </c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</row>
    <row r="155" ht="15.75" customHeight="1">
      <c r="A155" s="78">
        <v>0.8680555555555556</v>
      </c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</row>
    <row r="156" ht="15.75" customHeight="1">
      <c r="A156" s="78">
        <v>0.8715277777777778</v>
      </c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</row>
    <row r="157" ht="15.75" customHeight="1">
      <c r="A157" s="78">
        <v>0.875</v>
      </c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</row>
    <row r="158" ht="15.75" customHeight="1">
      <c r="A158" s="78">
        <v>0.8784722222222222</v>
      </c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</row>
    <row r="159" ht="15.75" customHeight="1">
      <c r="A159" s="78">
        <v>0.8819444444444444</v>
      </c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</row>
    <row r="160" ht="15.75" customHeight="1">
      <c r="A160" s="78">
        <v>0.8854166666666666</v>
      </c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</row>
    <row r="161" ht="15.75" customHeight="1">
      <c r="A161" s="78">
        <v>0.8888888888888888</v>
      </c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</row>
    <row r="162" ht="15.75" customHeight="1">
      <c r="A162" s="78">
        <v>0.8923611111111112</v>
      </c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</row>
    <row r="163" ht="15.75" customHeight="1">
      <c r="A163" s="78">
        <v>0.8958333333333334</v>
      </c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</row>
    <row r="164" ht="15.75" customHeight="1">
      <c r="A164" s="78">
        <v>0.8993055555555556</v>
      </c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</row>
    <row r="165" ht="15.75" customHeight="1">
      <c r="A165" s="78">
        <v>0.9027777777777778</v>
      </c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</row>
    <row r="166" ht="15.75" customHeight="1">
      <c r="A166" s="78">
        <v>0.90625</v>
      </c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</row>
    <row r="167" ht="15.75" customHeight="1">
      <c r="A167" s="78">
        <v>0.9097222222222222</v>
      </c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</row>
    <row r="168" ht="15.75" customHeight="1">
      <c r="A168" s="78">
        <v>0.9131944444444444</v>
      </c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</row>
    <row r="169" ht="15.75" customHeight="1">
      <c r="A169" s="78">
        <v>0.9166666666666666</v>
      </c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</row>
    <row r="170" ht="15.75" customHeight="1">
      <c r="A170" s="78">
        <v>0.9201388888888888</v>
      </c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</row>
    <row r="171" ht="15.75" customHeight="1">
      <c r="A171" s="78">
        <v>0.9236111111111112</v>
      </c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</row>
    <row r="172" ht="15.75" customHeight="1">
      <c r="A172" s="78">
        <v>0.9270833333333334</v>
      </c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</row>
    <row r="173" ht="15.75" customHeight="1">
      <c r="A173" s="78">
        <v>0.9305555555555556</v>
      </c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</row>
    <row r="174" ht="15.75" customHeight="1">
      <c r="A174" s="78">
        <v>0.9340277777777778</v>
      </c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</row>
    <row r="175" ht="15.75" customHeight="1">
      <c r="A175" s="78">
        <v>0.9375</v>
      </c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</row>
    <row r="176" ht="15.75" customHeight="1">
      <c r="A176" s="78">
        <v>0.9409722222222222</v>
      </c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</row>
    <row r="177" ht="15.75" customHeight="1">
      <c r="A177" s="78">
        <v>0.9444444444444444</v>
      </c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</row>
    <row r="178" ht="15.75" customHeight="1">
      <c r="A178" s="78">
        <v>0.9479166666666666</v>
      </c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</row>
    <row r="179" ht="15.75" customHeight="1">
      <c r="A179" s="78">
        <v>0.9513888888888888</v>
      </c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</row>
    <row r="180" ht="15.75" customHeight="1">
      <c r="A180" s="78">
        <v>0.9548611111111112</v>
      </c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</row>
    <row r="181" ht="15.75" customHeight="1">
      <c r="A181" s="78">
        <v>0.9583333333333334</v>
      </c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</row>
    <row r="182" ht="15.75" customHeight="1">
      <c r="A182" s="78">
        <v>0.9618055555555556</v>
      </c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</row>
    <row r="183" ht="15.75" customHeight="1">
      <c r="A183" s="78">
        <v>0.9652777777777778</v>
      </c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</row>
    <row r="184" ht="15.75" customHeight="1">
      <c r="A184" s="78">
        <v>0.96875</v>
      </c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</row>
    <row r="185" ht="15.75" customHeight="1">
      <c r="A185" s="78">
        <v>0.9722222222222222</v>
      </c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</row>
    <row r="186" ht="15.75" customHeight="1">
      <c r="A186" s="78">
        <v>0.9756944444444444</v>
      </c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</row>
    <row r="187" ht="15.75" customHeight="1">
      <c r="A187" s="78">
        <v>0.9791666666666666</v>
      </c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</row>
    <row r="188" ht="15.75" customHeight="1">
      <c r="A188" s="78">
        <v>0.9826388888888888</v>
      </c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</row>
    <row r="189" ht="15.75" customHeight="1">
      <c r="A189" s="78">
        <v>0.9861111111111112</v>
      </c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</row>
    <row r="190" ht="15.75" customHeight="1">
      <c r="A190" s="78">
        <v>0.9895833333333334</v>
      </c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</row>
    <row r="191" ht="15.75" customHeight="1">
      <c r="A191" s="78">
        <v>0.9930555555555556</v>
      </c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</row>
    <row r="192" ht="15.75" customHeight="1">
      <c r="A192" s="78">
        <v>0.9965277777777778</v>
      </c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</row>
    <row r="193" ht="15.75" customHeight="1">
      <c r="A193" s="78">
        <v>1.0</v>
      </c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</row>
    <row r="194" ht="15.75" customHeight="1">
      <c r="A194" s="78">
        <v>1.0034722222222223</v>
      </c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</row>
    <row r="195" ht="15.75" customHeight="1">
      <c r="A195" s="78">
        <v>1.0069444444444444</v>
      </c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</row>
    <row r="196" ht="15.75" customHeight="1">
      <c r="A196" s="78">
        <v>1.0104166666666667</v>
      </c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</row>
    <row r="197" ht="15.75" customHeight="1">
      <c r="A197" s="78">
        <v>1.0138888888888888</v>
      </c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</row>
    <row r="198" ht="15.75" customHeight="1">
      <c r="A198" s="78">
        <v>1.0173611111111112</v>
      </c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</row>
    <row r="199" ht="15.75" customHeight="1">
      <c r="A199" s="78">
        <v>1.0208333333333333</v>
      </c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</row>
    <row r="200" ht="15.75" customHeight="1">
      <c r="A200" s="78">
        <v>1.0243055555555556</v>
      </c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</row>
    <row r="201" ht="15.75" customHeight="1">
      <c r="A201" s="78">
        <v>1.0277777777777777</v>
      </c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</row>
    <row r="202" ht="15.75" customHeight="1">
      <c r="A202" s="78">
        <v>1.03125</v>
      </c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</row>
    <row r="203" ht="15.75" customHeight="1">
      <c r="A203" s="78">
        <v>1.0347222222222223</v>
      </c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</row>
    <row r="204" ht="15.75" customHeight="1">
      <c r="A204" s="78">
        <v>1.0381944444444444</v>
      </c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</row>
    <row r="205" ht="15.75" customHeight="1">
      <c r="A205" s="78">
        <v>1.0416666666666667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</row>
    <row r="206" ht="15.75" customHeight="1">
      <c r="A206" s="78">
        <v>1.0451388888888888</v>
      </c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</row>
    <row r="207" ht="15.75" customHeight="1">
      <c r="A207" s="78">
        <v>1.0486111111111112</v>
      </c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</row>
    <row r="208" ht="15.75" customHeight="1">
      <c r="A208" s="78">
        <v>1.0520833333333333</v>
      </c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</row>
    <row r="209" ht="15.75" customHeight="1">
      <c r="A209" s="78">
        <v>1.0555555555555556</v>
      </c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</row>
    <row r="210" ht="15.75" customHeight="1">
      <c r="A210" s="78">
        <v>1.0590277777777777</v>
      </c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</row>
    <row r="211" ht="15.75" customHeight="1">
      <c r="A211" s="78">
        <v>1.0625</v>
      </c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</row>
    <row r="212" ht="15.75" customHeight="1">
      <c r="A212" s="78">
        <v>1.0659722222222223</v>
      </c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</row>
    <row r="213" ht="15.75" customHeight="1">
      <c r="A213" s="78">
        <v>1.0694444444444444</v>
      </c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</row>
    <row r="214" ht="15.75" customHeight="1">
      <c r="A214" s="78">
        <v>1.0729166666666667</v>
      </c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</row>
    <row r="215" ht="15.75" customHeight="1">
      <c r="A215" s="78">
        <v>1.0763888888888888</v>
      </c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</row>
    <row r="216" ht="15.75" customHeight="1">
      <c r="A216" s="78">
        <v>1.0798611111111112</v>
      </c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</row>
    <row r="217" ht="15.75" customHeight="1">
      <c r="A217" s="78">
        <v>1.0833333333333333</v>
      </c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</row>
    <row r="218" ht="15.75" customHeight="1">
      <c r="A218" s="78">
        <v>1.0868055555555556</v>
      </c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</row>
    <row r="219" ht="15.75" customHeight="1">
      <c r="A219" s="78">
        <v>1.0902777777777777</v>
      </c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</row>
    <row r="220" ht="15.75" customHeight="1">
      <c r="A220" s="78">
        <v>1.09375</v>
      </c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</row>
    <row r="221" ht="15.75" customHeight="1">
      <c r="A221" s="78">
        <v>1.0972222222222223</v>
      </c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</row>
    <row r="222" ht="15.75" customHeight="1">
      <c r="A222" s="78">
        <v>1.1006944444444444</v>
      </c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</row>
    <row r="223" ht="15.75" customHeight="1">
      <c r="A223" s="78">
        <v>1.1041666666666667</v>
      </c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</row>
    <row r="224" ht="15.75" customHeight="1">
      <c r="A224" s="78">
        <v>1.1076388888888888</v>
      </c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</row>
    <row r="225" ht="15.75" customHeight="1">
      <c r="A225" s="78">
        <v>1.1111111111111112</v>
      </c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</row>
    <row r="226" ht="15.75" customHeight="1">
      <c r="A226" s="78">
        <v>1.1145833333333333</v>
      </c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</row>
    <row r="227" ht="15.75" customHeight="1">
      <c r="A227" s="78">
        <v>1.1180555555555556</v>
      </c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</row>
    <row r="228" ht="15.75" customHeight="1">
      <c r="A228" s="78">
        <v>1.1215277777777777</v>
      </c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</row>
    <row r="229" ht="15.75" customHeight="1">
      <c r="A229" s="78">
        <v>1.125</v>
      </c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</row>
    <row r="230" ht="15.75" customHeight="1">
      <c r="A230" s="78">
        <v>1.1284722222222223</v>
      </c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</row>
    <row r="231" ht="15.75" customHeight="1">
      <c r="A231" s="78">
        <v>1.1319444444444444</v>
      </c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</row>
    <row r="232" ht="15.75" customHeight="1">
      <c r="A232" s="78">
        <v>1.1354166666666667</v>
      </c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</row>
    <row r="233" ht="15.75" customHeight="1">
      <c r="A233" s="78">
        <v>1.1388888888888888</v>
      </c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</row>
    <row r="234" ht="15.75" customHeight="1">
      <c r="A234" s="78">
        <v>1.1423611111111112</v>
      </c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</row>
    <row r="235" ht="15.75" customHeight="1">
      <c r="A235" s="78">
        <v>1.1458333333333333</v>
      </c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</row>
    <row r="236" ht="15.75" customHeight="1">
      <c r="A236" s="78">
        <v>1.1493055555555556</v>
      </c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</row>
    <row r="237" ht="15.75" customHeight="1">
      <c r="A237" s="78">
        <v>1.1527777777777777</v>
      </c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</row>
    <row r="238" ht="15.75" customHeight="1">
      <c r="A238" s="78">
        <v>1.15625</v>
      </c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</row>
    <row r="239" ht="15.75" customHeight="1">
      <c r="A239" s="78">
        <v>1.1597222222222223</v>
      </c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</row>
    <row r="240" ht="15.75" customHeight="1">
      <c r="A240" s="78">
        <v>1.1631944444444444</v>
      </c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</row>
    <row r="241" ht="15.75" customHeight="1">
      <c r="A241" s="78">
        <v>1.1666666666666667</v>
      </c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</row>
    <row r="242" ht="15.75" customHeight="1">
      <c r="A242" s="78">
        <v>1.1701388888888888</v>
      </c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</row>
    <row r="243" ht="15.75" customHeight="1">
      <c r="A243" s="78">
        <v>1.1736111111111112</v>
      </c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</row>
    <row r="244" ht="15.75" customHeight="1">
      <c r="A244" s="78">
        <v>1.1770833333333333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</row>
    <row r="245" ht="15.75" customHeight="1">
      <c r="A245" s="78">
        <v>1.1805555555555556</v>
      </c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</row>
    <row r="246" ht="15.75" customHeight="1">
      <c r="A246" s="78">
        <v>1.1840277777777777</v>
      </c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</row>
    <row r="247" ht="15.75" customHeight="1">
      <c r="A247" s="78">
        <v>1.1875</v>
      </c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</row>
    <row r="248" ht="15.75" customHeight="1">
      <c r="A248" s="78">
        <v>1.1909722222222223</v>
      </c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</row>
    <row r="249" ht="15.75" customHeight="1">
      <c r="A249" s="78">
        <v>1.1944444444444444</v>
      </c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</row>
    <row r="250" ht="15.75" customHeight="1">
      <c r="A250" s="78">
        <v>1.1979166666666667</v>
      </c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</row>
    <row r="251" ht="15.75" customHeight="1">
      <c r="A251" s="78">
        <v>1.2013888888888888</v>
      </c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</row>
    <row r="252" ht="15.75" customHeight="1">
      <c r="A252" s="78">
        <v>1.2048611111111112</v>
      </c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</row>
    <row r="253" ht="15.75" customHeight="1">
      <c r="A253" s="78">
        <v>1.2083333333333333</v>
      </c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</row>
    <row r="254" ht="15.75" customHeight="1">
      <c r="A254" s="78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</row>
    <row r="255" ht="15.75" customHeight="1">
      <c r="A255" s="78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</row>
    <row r="256" ht="15.75" customHeight="1">
      <c r="A256" s="78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</row>
    <row r="257" ht="15.75" customHeight="1">
      <c r="A257" s="78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</row>
    <row r="258" ht="15.75" customHeight="1">
      <c r="A258" s="78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</row>
    <row r="259" ht="15.75" customHeight="1">
      <c r="A259" s="78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</row>
    <row r="260" ht="15.75" customHeight="1">
      <c r="A260" s="78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</row>
    <row r="454" ht="15.75" customHeight="1">
      <c r="F454" s="56"/>
    </row>
    <row r="455" ht="15.75" customHeight="1">
      <c r="F455" s="56"/>
    </row>
    <row r="456" ht="15.75" customHeight="1">
      <c r="F456" s="56"/>
    </row>
    <row r="457" ht="15.75" customHeight="1">
      <c r="F457" s="56"/>
    </row>
    <row r="458" ht="15.75" customHeight="1">
      <c r="F458" s="56"/>
    </row>
    <row r="459" ht="15.75" customHeight="1">
      <c r="F459" s="56"/>
    </row>
    <row r="460" ht="15.75" customHeight="1">
      <c r="F460" s="56"/>
    </row>
    <row r="461" ht="15.75" customHeight="1">
      <c r="F461" s="56"/>
    </row>
    <row r="462" ht="15.75" customHeight="1">
      <c r="F462" s="56"/>
    </row>
    <row r="463" ht="15.75" customHeight="1">
      <c r="F463" s="56"/>
    </row>
    <row r="464" ht="15.75" customHeight="1">
      <c r="F464" s="56"/>
    </row>
    <row r="465" ht="15.75" customHeight="1">
      <c r="F465" s="56"/>
    </row>
    <row r="466" ht="15.75" customHeight="1">
      <c r="F466" s="56"/>
    </row>
    <row r="467" ht="15.75" customHeight="1">
      <c r="F467" s="56"/>
    </row>
    <row r="468" ht="15.75" customHeight="1">
      <c r="F468" s="56"/>
    </row>
    <row r="469" ht="15.75" customHeight="1">
      <c r="F469" s="56"/>
    </row>
    <row r="470" ht="15.75" customHeight="1">
      <c r="F470" s="56"/>
    </row>
    <row r="471" ht="15.75" customHeight="1">
      <c r="F471" s="56"/>
    </row>
    <row r="472" ht="15.75" customHeight="1">
      <c r="F472" s="56"/>
    </row>
    <row r="473" ht="15.75" customHeight="1">
      <c r="F473" s="56"/>
    </row>
    <row r="474" ht="15.75" customHeight="1">
      <c r="F474" s="56"/>
    </row>
    <row r="475" ht="15.75" customHeight="1">
      <c r="F475" s="56"/>
    </row>
    <row r="476" ht="15.75" customHeight="1">
      <c r="F476" s="56"/>
    </row>
    <row r="477" ht="15.75" customHeight="1">
      <c r="F477" s="56"/>
    </row>
    <row r="478" ht="15.75" customHeight="1">
      <c r="F478" s="56"/>
    </row>
    <row r="479" ht="15.75" customHeight="1">
      <c r="F479" s="56"/>
    </row>
    <row r="480" ht="15.75" customHeight="1">
      <c r="F480" s="56"/>
    </row>
    <row r="481" ht="15.75" customHeight="1">
      <c r="F481" s="56"/>
    </row>
    <row r="482" ht="15.75" customHeight="1">
      <c r="F482" s="56"/>
    </row>
    <row r="483" ht="15.75" customHeight="1">
      <c r="F483" s="56"/>
    </row>
    <row r="484" ht="15.75" customHeight="1">
      <c r="F484" s="56"/>
    </row>
    <row r="485" ht="15.75" customHeight="1">
      <c r="F485" s="56"/>
    </row>
    <row r="486" ht="15.75" customHeight="1">
      <c r="F486" s="56"/>
    </row>
    <row r="487" ht="15.75" customHeight="1">
      <c r="F487" s="56"/>
    </row>
    <row r="488" ht="15.75" customHeight="1">
      <c r="F488" s="56"/>
    </row>
    <row r="489" ht="15.75" customHeight="1">
      <c r="F489" s="56"/>
    </row>
    <row r="490" ht="15.75" customHeight="1">
      <c r="F490" s="56"/>
    </row>
    <row r="491" ht="15.75" customHeight="1">
      <c r="F491" s="56"/>
    </row>
    <row r="492" ht="15.75" customHeight="1">
      <c r="F492" s="56"/>
    </row>
    <row r="493" ht="15.75" customHeight="1">
      <c r="F493" s="56"/>
    </row>
    <row r="494" ht="15.75" customHeight="1">
      <c r="F494" s="56"/>
    </row>
    <row r="495" ht="15.75" customHeight="1">
      <c r="F495" s="56"/>
    </row>
    <row r="496" ht="15.75" customHeight="1">
      <c r="F496" s="56"/>
    </row>
    <row r="497" ht="15.75" customHeight="1">
      <c r="F497" s="56"/>
    </row>
    <row r="498" ht="15.75" customHeight="1">
      <c r="F498" s="56"/>
    </row>
    <row r="499" ht="15.75" customHeight="1">
      <c r="F499" s="56"/>
    </row>
    <row r="500" ht="15.75" customHeight="1">
      <c r="F500" s="56"/>
    </row>
    <row r="501" ht="15.75" customHeight="1">
      <c r="F501" s="56"/>
    </row>
    <row r="502" ht="15.75" customHeight="1">
      <c r="F502" s="56"/>
    </row>
    <row r="503" ht="15.75" customHeight="1">
      <c r="F503" s="56"/>
    </row>
    <row r="504" ht="15.75" customHeight="1">
      <c r="F504" s="56"/>
    </row>
    <row r="505" ht="15.75" customHeight="1">
      <c r="F505" s="56"/>
    </row>
    <row r="506" ht="15.75" customHeight="1">
      <c r="F506" s="56"/>
    </row>
    <row r="507" ht="15.75" customHeight="1">
      <c r="F507" s="56"/>
    </row>
    <row r="508" ht="15.75" customHeight="1">
      <c r="F508" s="56"/>
    </row>
    <row r="509" ht="15.75" customHeight="1">
      <c r="F509" s="56"/>
    </row>
    <row r="510" ht="15.75" customHeight="1">
      <c r="F510" s="56"/>
    </row>
    <row r="511" ht="15.75" customHeight="1">
      <c r="F511" s="56"/>
    </row>
    <row r="512" ht="15.75" customHeight="1">
      <c r="F512" s="56"/>
    </row>
    <row r="513" ht="15.75" customHeight="1">
      <c r="F513" s="56"/>
    </row>
    <row r="514" ht="15.75" customHeight="1">
      <c r="F514" s="56"/>
    </row>
    <row r="515" ht="15.75" customHeight="1">
      <c r="F515" s="56"/>
    </row>
    <row r="516" ht="15.75" customHeight="1">
      <c r="F516" s="56"/>
    </row>
    <row r="517" ht="15.75" customHeight="1">
      <c r="F517" s="56"/>
    </row>
    <row r="518" ht="15.75" customHeight="1">
      <c r="F518" s="56"/>
    </row>
    <row r="519" ht="15.75" customHeight="1">
      <c r="F519" s="56"/>
    </row>
    <row r="520" ht="15.75" customHeight="1">
      <c r="F520" s="56"/>
    </row>
    <row r="521" ht="15.75" customHeight="1">
      <c r="F521" s="56"/>
    </row>
    <row r="522" ht="15.75" customHeight="1">
      <c r="F522" s="56"/>
    </row>
    <row r="523" ht="15.75" customHeight="1">
      <c r="F523" s="56"/>
    </row>
    <row r="524" ht="15.75" customHeight="1">
      <c r="F524" s="56"/>
    </row>
    <row r="525" ht="15.75" customHeight="1">
      <c r="F525" s="56"/>
    </row>
    <row r="526" ht="15.75" customHeight="1">
      <c r="F526" s="56"/>
    </row>
    <row r="527" ht="15.75" customHeight="1">
      <c r="F527" s="56"/>
    </row>
    <row r="528" ht="15.75" customHeight="1">
      <c r="F528" s="56"/>
    </row>
    <row r="529" ht="15.75" customHeight="1">
      <c r="F529" s="56"/>
    </row>
    <row r="530" ht="15.75" customHeight="1">
      <c r="F530" s="56"/>
    </row>
    <row r="531" ht="15.75" customHeight="1">
      <c r="F531" s="56"/>
    </row>
    <row r="532" ht="15.75" customHeight="1">
      <c r="F532" s="56"/>
    </row>
    <row r="533" ht="15.75" customHeight="1">
      <c r="F533" s="56"/>
    </row>
    <row r="534" ht="15.75" customHeight="1">
      <c r="F534" s="56"/>
    </row>
    <row r="535" ht="15.75" customHeight="1">
      <c r="F535" s="56"/>
    </row>
    <row r="536" ht="15.75" customHeight="1">
      <c r="F536" s="56"/>
    </row>
    <row r="537" ht="15.75" customHeight="1">
      <c r="F537" s="56"/>
    </row>
    <row r="538" ht="15.75" customHeight="1">
      <c r="F538" s="56"/>
    </row>
    <row r="539" ht="15.75" customHeight="1">
      <c r="F539" s="56"/>
    </row>
    <row r="540" ht="15.75" customHeight="1">
      <c r="F540" s="56"/>
    </row>
    <row r="541" ht="15.75" customHeight="1">
      <c r="F541" s="56"/>
    </row>
    <row r="542" ht="15.75" customHeight="1">
      <c r="F542" s="56"/>
    </row>
    <row r="543" ht="15.75" customHeight="1">
      <c r="F543" s="56"/>
    </row>
    <row r="544" ht="15.75" customHeight="1">
      <c r="F544" s="56"/>
    </row>
    <row r="545" ht="15.75" customHeight="1">
      <c r="F545" s="56"/>
    </row>
    <row r="546" ht="15.75" customHeight="1">
      <c r="F546" s="56"/>
    </row>
    <row r="547" ht="15.75" customHeight="1">
      <c r="F547" s="56"/>
    </row>
    <row r="548" ht="15.75" customHeight="1">
      <c r="F548" s="56"/>
    </row>
    <row r="549" ht="15.75" customHeight="1">
      <c r="F549" s="56"/>
    </row>
    <row r="550" ht="15.75" customHeight="1">
      <c r="F550" s="56"/>
    </row>
    <row r="551" ht="15.75" customHeight="1">
      <c r="F551" s="56"/>
    </row>
    <row r="552" ht="15.75" customHeight="1">
      <c r="F552" s="56"/>
    </row>
    <row r="553" ht="15.75" customHeight="1">
      <c r="F553" s="56"/>
    </row>
    <row r="554" ht="15.75" customHeight="1">
      <c r="F554" s="56"/>
    </row>
    <row r="555" ht="15.75" customHeight="1">
      <c r="F555" s="56"/>
    </row>
    <row r="556" ht="15.75" customHeight="1">
      <c r="F556" s="56"/>
    </row>
    <row r="557" ht="15.75" customHeight="1">
      <c r="F557" s="56"/>
    </row>
    <row r="558" ht="15.75" customHeight="1">
      <c r="F558" s="56"/>
    </row>
    <row r="559" ht="15.75" customHeight="1">
      <c r="F559" s="56"/>
    </row>
    <row r="560" ht="15.75" customHeight="1">
      <c r="F560" s="56"/>
    </row>
    <row r="561" ht="15.75" customHeight="1">
      <c r="F561" s="56"/>
    </row>
    <row r="562" ht="15.75" customHeight="1">
      <c r="F562" s="56"/>
    </row>
    <row r="563" ht="15.75" customHeight="1">
      <c r="F563" s="56"/>
    </row>
    <row r="564" ht="15.75" customHeight="1">
      <c r="F564" s="56"/>
    </row>
    <row r="565" ht="15.75" customHeight="1">
      <c r="F565" s="56"/>
    </row>
    <row r="566" ht="15.75" customHeight="1">
      <c r="F566" s="56"/>
    </row>
    <row r="567" ht="15.75" customHeight="1">
      <c r="F567" s="56"/>
    </row>
    <row r="568" ht="15.75" customHeight="1">
      <c r="F568" s="56"/>
    </row>
    <row r="569" ht="15.75" customHeight="1">
      <c r="F569" s="56"/>
    </row>
    <row r="570" ht="15.75" customHeight="1">
      <c r="F570" s="56"/>
    </row>
    <row r="571" ht="15.75" customHeight="1">
      <c r="F571" s="56"/>
    </row>
    <row r="572" ht="15.75" customHeight="1">
      <c r="F572" s="56"/>
    </row>
    <row r="573" ht="15.75" customHeight="1">
      <c r="F573" s="56"/>
    </row>
    <row r="574" ht="15.75" customHeight="1">
      <c r="F574" s="56"/>
    </row>
    <row r="575" ht="15.75" customHeight="1">
      <c r="F575" s="56"/>
    </row>
    <row r="576" ht="15.75" customHeight="1">
      <c r="F576" s="56"/>
    </row>
    <row r="577" ht="15.75" customHeight="1">
      <c r="F577" s="56"/>
    </row>
    <row r="578" ht="15.75" customHeight="1">
      <c r="F578" s="56"/>
    </row>
    <row r="579" ht="15.75" customHeight="1">
      <c r="F579" s="56"/>
    </row>
    <row r="580" ht="15.75" customHeight="1">
      <c r="F580" s="56"/>
    </row>
    <row r="581" ht="15.75" customHeight="1">
      <c r="F581" s="56"/>
    </row>
    <row r="582" ht="15.75" customHeight="1">
      <c r="F582" s="56"/>
    </row>
    <row r="583" ht="15.75" customHeight="1">
      <c r="F583" s="56"/>
    </row>
    <row r="584" ht="15.75" customHeight="1">
      <c r="F584" s="56"/>
    </row>
    <row r="585" ht="15.75" customHeight="1">
      <c r="F585" s="56"/>
    </row>
    <row r="586" ht="15.75" customHeight="1">
      <c r="F586" s="56"/>
    </row>
    <row r="587" ht="15.75" customHeight="1">
      <c r="F587" s="56"/>
    </row>
    <row r="588" ht="15.75" customHeight="1">
      <c r="F588" s="56"/>
    </row>
    <row r="589" ht="15.75" customHeight="1">
      <c r="F589" s="56"/>
    </row>
    <row r="590" ht="15.75" customHeight="1">
      <c r="F590" s="56"/>
    </row>
    <row r="591" ht="15.75" customHeight="1">
      <c r="F591" s="56"/>
    </row>
    <row r="592" ht="15.75" customHeight="1">
      <c r="F592" s="56"/>
    </row>
    <row r="593" ht="15.75" customHeight="1">
      <c r="F593" s="56"/>
    </row>
    <row r="594" ht="15.75" customHeight="1">
      <c r="F594" s="56"/>
    </row>
    <row r="595" ht="15.75" customHeight="1">
      <c r="F595" s="56"/>
    </row>
    <row r="596" ht="15.75" customHeight="1">
      <c r="F596" s="56"/>
    </row>
    <row r="597" ht="15.75" customHeight="1">
      <c r="F597" s="56"/>
    </row>
    <row r="598" ht="15.75" customHeight="1">
      <c r="F598" s="56"/>
    </row>
    <row r="599" ht="15.75" customHeight="1">
      <c r="F599" s="56"/>
    </row>
    <row r="600" ht="15.75" customHeight="1">
      <c r="F600" s="56"/>
    </row>
    <row r="601" ht="15.75" customHeight="1">
      <c r="F601" s="56"/>
    </row>
    <row r="602" ht="15.75" customHeight="1">
      <c r="F602" s="56"/>
    </row>
    <row r="603" ht="15.75" customHeight="1">
      <c r="F603" s="56"/>
    </row>
    <row r="604" ht="15.75" customHeight="1">
      <c r="F604" s="56"/>
    </row>
    <row r="605" ht="15.75" customHeight="1">
      <c r="F605" s="56"/>
    </row>
    <row r="606" ht="15.75" customHeight="1">
      <c r="F606" s="56"/>
    </row>
    <row r="607" ht="15.75" customHeight="1">
      <c r="F607" s="56"/>
    </row>
    <row r="608" ht="15.75" customHeight="1">
      <c r="F608" s="56"/>
    </row>
    <row r="609" ht="15.75" customHeight="1">
      <c r="F609" s="56"/>
    </row>
    <row r="610" ht="15.75" customHeight="1">
      <c r="F610" s="56"/>
    </row>
    <row r="611" ht="15.75" customHeight="1">
      <c r="F611" s="56"/>
    </row>
    <row r="612" ht="15.75" customHeight="1">
      <c r="F612" s="56"/>
    </row>
    <row r="613" ht="15.75" customHeight="1">
      <c r="F613" s="56"/>
    </row>
    <row r="614" ht="15.75" customHeight="1">
      <c r="F614" s="56"/>
    </row>
    <row r="615" ht="15.75" customHeight="1">
      <c r="F615" s="56"/>
    </row>
    <row r="616" ht="15.75" customHeight="1">
      <c r="F616" s="56"/>
    </row>
    <row r="617" ht="15.75" customHeight="1">
      <c r="F617" s="56"/>
    </row>
    <row r="618" ht="15.75" customHeight="1">
      <c r="F618" s="56"/>
    </row>
    <row r="619" ht="15.75" customHeight="1">
      <c r="F619" s="56"/>
    </row>
    <row r="620" ht="15.75" customHeight="1">
      <c r="F620" s="56"/>
    </row>
    <row r="621" ht="15.75" customHeight="1">
      <c r="F621" s="56"/>
    </row>
    <row r="622" ht="15.75" customHeight="1">
      <c r="F622" s="56"/>
    </row>
    <row r="623" ht="15.75" customHeight="1">
      <c r="F623" s="56"/>
    </row>
    <row r="624" ht="15.75" customHeight="1">
      <c r="F624" s="56"/>
    </row>
    <row r="625" ht="15.75" customHeight="1">
      <c r="F625" s="56"/>
    </row>
    <row r="626" ht="15.75" customHeight="1">
      <c r="F626" s="56"/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M$1:$N$59">
    <sortState ref="M1:N59">
      <sortCondition ref="N1:N59"/>
      <sortCondition ref="M1:M59"/>
    </sortState>
  </autoFilter>
  <dataValidations>
    <dataValidation type="list" allowBlank="1" showDropDown="1" showErrorMessage="1" sqref="M3:M76">
      <formula1>REF!$L$3:$L$100</formula1>
    </dataValidation>
    <dataValidation type="list" allowBlank="1" showDropDown="1" showErrorMessage="1" sqref="F2:F626">
      <formula1>REF!$L$2:$L$54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3" width="24.38"/>
    <col customWidth="1" min="4" max="4" width="12.63"/>
    <col customWidth="1" min="5" max="5" width="14.13"/>
    <col customWidth="1" min="6" max="12" width="15.5"/>
  </cols>
  <sheetData>
    <row r="1" ht="15.75" customHeight="1">
      <c r="A1" s="85"/>
      <c r="B1" s="86"/>
      <c r="C1" s="86"/>
      <c r="D1" s="85"/>
      <c r="E1" s="85"/>
      <c r="F1" s="86"/>
      <c r="G1" s="86"/>
      <c r="H1" s="86"/>
      <c r="I1" s="86"/>
      <c r="J1" s="86"/>
      <c r="K1" s="86"/>
      <c r="L1" s="86"/>
    </row>
    <row r="2" ht="16.5" customHeight="1">
      <c r="A2" s="85"/>
      <c r="B2" s="86"/>
      <c r="C2" s="86"/>
      <c r="D2" s="85"/>
      <c r="E2" s="85"/>
      <c r="F2" s="86"/>
      <c r="G2" s="86"/>
      <c r="H2" s="86"/>
      <c r="I2" s="86"/>
      <c r="J2" s="86"/>
      <c r="K2" s="86"/>
      <c r="L2" s="86"/>
    </row>
    <row r="3" ht="52.5" customHeight="1">
      <c r="A3" s="87"/>
      <c r="B3" s="88" t="s">
        <v>1506</v>
      </c>
      <c r="C3" s="89"/>
      <c r="D3" s="87"/>
      <c r="E3" s="87"/>
      <c r="F3" s="90" t="s">
        <v>1507</v>
      </c>
      <c r="G3" s="91"/>
      <c r="H3" s="91"/>
      <c r="I3" s="91"/>
      <c r="J3" s="91"/>
      <c r="K3" s="91"/>
      <c r="L3" s="91"/>
    </row>
    <row r="4" ht="43.5" customHeight="1">
      <c r="A4" s="92"/>
      <c r="B4" s="93" t="s">
        <v>1508</v>
      </c>
      <c r="C4" s="94" t="s">
        <v>1509</v>
      </c>
      <c r="D4" s="92"/>
      <c r="E4" s="87"/>
      <c r="F4" s="95" t="s">
        <v>722</v>
      </c>
      <c r="G4" s="95" t="s">
        <v>723</v>
      </c>
      <c r="H4" s="95" t="s">
        <v>725</v>
      </c>
      <c r="I4" s="96" t="s">
        <v>726</v>
      </c>
      <c r="J4" s="97" t="s">
        <v>724</v>
      </c>
      <c r="K4" s="96" t="s">
        <v>1510</v>
      </c>
      <c r="L4" s="96" t="s">
        <v>1511</v>
      </c>
      <c r="M4" s="25"/>
    </row>
    <row r="5" ht="18.0" customHeight="1">
      <c r="A5" s="98"/>
      <c r="B5" s="99"/>
      <c r="C5" s="100"/>
      <c r="D5" s="98"/>
      <c r="E5" s="101"/>
      <c r="F5" s="102"/>
      <c r="G5" s="103"/>
      <c r="H5" s="104"/>
      <c r="I5" s="105" t="s">
        <v>1512</v>
      </c>
      <c r="J5" s="106"/>
      <c r="K5" s="105" t="s">
        <v>1513</v>
      </c>
      <c r="L5" s="107" t="s">
        <v>1514</v>
      </c>
      <c r="M5" s="108"/>
    </row>
    <row r="6" ht="29.25" customHeight="1">
      <c r="A6" s="109"/>
      <c r="B6" s="110">
        <v>0.08333333333333326</v>
      </c>
      <c r="C6" s="111">
        <f t="shared" ref="C6:C14" si="1">B6*24</f>
        <v>2</v>
      </c>
      <c r="D6" s="109"/>
      <c r="E6" s="87"/>
      <c r="F6" s="112">
        <v>0.3333333333333333</v>
      </c>
      <c r="G6" s="113">
        <v>0.4375</v>
      </c>
      <c r="H6" s="114">
        <f t="shared" ref="H6:H13" si="2">G6-F6</f>
        <v>0.1041666667</v>
      </c>
      <c r="I6" s="115">
        <f t="shared" ref="I6:I13" si="3">H6*24</f>
        <v>2.5</v>
      </c>
      <c r="J6" s="116">
        <v>5.0</v>
      </c>
      <c r="K6" s="115">
        <f t="shared" ref="K6:K13" si="4">J6*I6</f>
        <v>12.5</v>
      </c>
      <c r="L6" s="117">
        <f t="shared" ref="L6:L13" si="5">K6/40</f>
        <v>0.3125</v>
      </c>
    </row>
    <row r="7" ht="29.25" customHeight="1">
      <c r="A7" s="109"/>
      <c r="B7" s="110">
        <v>0.062499999999999944</v>
      </c>
      <c r="C7" s="111">
        <f t="shared" si="1"/>
        <v>1.5</v>
      </c>
      <c r="D7" s="109"/>
      <c r="E7" s="109"/>
      <c r="F7" s="118">
        <v>0.3333333333333333</v>
      </c>
      <c r="G7" s="119">
        <v>0.4583333333333333</v>
      </c>
      <c r="H7" s="120">
        <f t="shared" si="2"/>
        <v>0.125</v>
      </c>
      <c r="I7" s="121">
        <f t="shared" si="3"/>
        <v>3</v>
      </c>
      <c r="J7" s="122">
        <v>5.0</v>
      </c>
      <c r="K7" s="123">
        <f t="shared" si="4"/>
        <v>15</v>
      </c>
      <c r="L7" s="124">
        <f t="shared" si="5"/>
        <v>0.375</v>
      </c>
    </row>
    <row r="8" ht="29.25" customHeight="1">
      <c r="A8" s="109"/>
      <c r="B8" s="110">
        <v>0.041666666666666664</v>
      </c>
      <c r="C8" s="111">
        <f t="shared" si="1"/>
        <v>1</v>
      </c>
      <c r="D8" s="109"/>
      <c r="E8" s="109"/>
      <c r="F8" s="112">
        <v>0.3333333333333333</v>
      </c>
      <c r="G8" s="113">
        <v>0.3541666666666667</v>
      </c>
      <c r="H8" s="114">
        <f t="shared" si="2"/>
        <v>0.02083333333</v>
      </c>
      <c r="I8" s="115">
        <f t="shared" si="3"/>
        <v>0.5</v>
      </c>
      <c r="J8" s="125">
        <v>10.0</v>
      </c>
      <c r="K8" s="115">
        <f t="shared" si="4"/>
        <v>5</v>
      </c>
      <c r="L8" s="117">
        <f t="shared" si="5"/>
        <v>0.125</v>
      </c>
    </row>
    <row r="9" ht="29.25" customHeight="1">
      <c r="A9" s="109"/>
      <c r="B9" s="110">
        <v>0.03125</v>
      </c>
      <c r="C9" s="111">
        <f t="shared" si="1"/>
        <v>0.75</v>
      </c>
      <c r="D9" s="109"/>
      <c r="E9" s="109"/>
      <c r="F9" s="126">
        <v>0.3333333333333333</v>
      </c>
      <c r="G9" s="127">
        <v>0.375</v>
      </c>
      <c r="H9" s="128">
        <f t="shared" si="2"/>
        <v>0.04166666667</v>
      </c>
      <c r="I9" s="129">
        <f t="shared" si="3"/>
        <v>1</v>
      </c>
      <c r="J9" s="130">
        <v>10.0</v>
      </c>
      <c r="K9" s="129">
        <f t="shared" si="4"/>
        <v>10</v>
      </c>
      <c r="L9" s="131">
        <f t="shared" si="5"/>
        <v>0.25</v>
      </c>
      <c r="M9" s="25"/>
    </row>
    <row r="10" ht="29.25" customHeight="1">
      <c r="A10" s="109"/>
      <c r="B10" s="110">
        <v>0.02083333333333326</v>
      </c>
      <c r="C10" s="111">
        <f t="shared" si="1"/>
        <v>0.5</v>
      </c>
      <c r="D10" s="109"/>
      <c r="E10" s="109"/>
      <c r="F10" s="126">
        <v>0.3333333333333333</v>
      </c>
      <c r="G10" s="127">
        <v>0.3958333333333333</v>
      </c>
      <c r="H10" s="128">
        <f t="shared" si="2"/>
        <v>0.0625</v>
      </c>
      <c r="I10" s="129">
        <f t="shared" si="3"/>
        <v>1.5</v>
      </c>
      <c r="J10" s="130">
        <v>10.0</v>
      </c>
      <c r="K10" s="129">
        <f t="shared" si="4"/>
        <v>15</v>
      </c>
      <c r="L10" s="131">
        <f t="shared" si="5"/>
        <v>0.375</v>
      </c>
      <c r="M10" s="25"/>
    </row>
    <row r="11" ht="29.25" customHeight="1">
      <c r="A11" s="109"/>
      <c r="B11" s="110">
        <v>0.01736111111111105</v>
      </c>
      <c r="C11" s="111">
        <f t="shared" si="1"/>
        <v>0.4166666667</v>
      </c>
      <c r="D11" s="109"/>
      <c r="E11" s="109"/>
      <c r="F11" s="126">
        <v>0.3333333333333333</v>
      </c>
      <c r="G11" s="127">
        <v>0.4166666666666667</v>
      </c>
      <c r="H11" s="128">
        <f t="shared" si="2"/>
        <v>0.08333333333</v>
      </c>
      <c r="I11" s="129">
        <f t="shared" si="3"/>
        <v>2</v>
      </c>
      <c r="J11" s="130">
        <v>10.0</v>
      </c>
      <c r="K11" s="129">
        <f t="shared" si="4"/>
        <v>20</v>
      </c>
      <c r="L11" s="131">
        <f t="shared" si="5"/>
        <v>0.5</v>
      </c>
      <c r="M11" s="25"/>
    </row>
    <row r="12" ht="29.25" customHeight="1">
      <c r="A12" s="109"/>
      <c r="B12" s="110">
        <v>0.01388888888888884</v>
      </c>
      <c r="C12" s="111">
        <f t="shared" si="1"/>
        <v>0.3333333333</v>
      </c>
      <c r="D12" s="109"/>
      <c r="E12" s="109"/>
      <c r="F12" s="126">
        <v>0.3333333333333333</v>
      </c>
      <c r="G12" s="127">
        <v>0.4375</v>
      </c>
      <c r="H12" s="128">
        <f t="shared" si="2"/>
        <v>0.1041666667</v>
      </c>
      <c r="I12" s="129">
        <f t="shared" si="3"/>
        <v>2.5</v>
      </c>
      <c r="J12" s="130">
        <v>10.0</v>
      </c>
      <c r="K12" s="129">
        <f t="shared" si="4"/>
        <v>25</v>
      </c>
      <c r="L12" s="131">
        <f t="shared" si="5"/>
        <v>0.625</v>
      </c>
    </row>
    <row r="13" ht="29.25" customHeight="1">
      <c r="A13" s="109"/>
      <c r="B13" s="110">
        <v>0.01041666666666663</v>
      </c>
      <c r="C13" s="111">
        <f t="shared" si="1"/>
        <v>0.25</v>
      </c>
      <c r="D13" s="109"/>
      <c r="E13" s="109"/>
      <c r="F13" s="132">
        <v>0.3333333333333333</v>
      </c>
      <c r="G13" s="133">
        <v>0.4583333333333333</v>
      </c>
      <c r="H13" s="134">
        <f t="shared" si="2"/>
        <v>0.125</v>
      </c>
      <c r="I13" s="121">
        <f t="shared" si="3"/>
        <v>3</v>
      </c>
      <c r="J13" s="135">
        <v>10.0</v>
      </c>
      <c r="K13" s="121">
        <f t="shared" si="4"/>
        <v>30</v>
      </c>
      <c r="L13" s="136">
        <f t="shared" si="5"/>
        <v>0.75</v>
      </c>
      <c r="M13" s="25"/>
    </row>
    <row r="14" ht="29.25" customHeight="1">
      <c r="A14" s="109"/>
      <c r="B14" s="137">
        <v>0.00694444444444442</v>
      </c>
      <c r="C14" s="138">
        <f t="shared" si="1"/>
        <v>0.1666666667</v>
      </c>
      <c r="D14" s="109"/>
      <c r="E14" s="109"/>
      <c r="K14" s="139"/>
      <c r="L14" s="140" t="s">
        <v>1515</v>
      </c>
      <c r="M14" s="25"/>
    </row>
    <row r="15" ht="29.25" customHeight="1">
      <c r="A15" s="85"/>
      <c r="B15" s="141"/>
      <c r="C15" s="141"/>
      <c r="D15" s="85"/>
      <c r="E15" s="85"/>
      <c r="M15" s="25"/>
    </row>
    <row r="16" ht="29.25" customHeight="1">
      <c r="A16" s="85"/>
      <c r="B16" s="91"/>
      <c r="C16" s="91"/>
      <c r="D16" s="85"/>
      <c r="E16" s="85"/>
    </row>
    <row r="17" ht="29.25" customHeight="1">
      <c r="A17" s="85"/>
      <c r="B17" s="91"/>
      <c r="C17" s="91"/>
      <c r="D17" s="85"/>
      <c r="E17" s="85"/>
      <c r="F17" s="139"/>
      <c r="G17" s="139"/>
      <c r="H17" s="139"/>
      <c r="I17" s="139"/>
      <c r="J17" s="139"/>
    </row>
    <row r="18" ht="29.25" customHeight="1">
      <c r="A18" s="142"/>
      <c r="B18" s="139"/>
      <c r="C18" s="139"/>
      <c r="D18" s="142"/>
      <c r="E18" s="142"/>
      <c r="F18" s="139"/>
      <c r="G18" s="139"/>
      <c r="H18" s="139"/>
      <c r="I18" s="139"/>
      <c r="J18" s="139"/>
      <c r="K18" s="139"/>
      <c r="L18" s="139"/>
      <c r="M18" s="143"/>
    </row>
    <row r="19" ht="15.75" customHeight="1">
      <c r="A19" s="142"/>
      <c r="B19" s="139"/>
      <c r="C19" s="139"/>
      <c r="D19" s="142"/>
      <c r="E19" s="142"/>
      <c r="F19" s="139"/>
      <c r="G19" s="139"/>
      <c r="H19" s="139"/>
      <c r="I19" s="139"/>
      <c r="J19" s="139"/>
      <c r="K19" s="139"/>
      <c r="L19" s="139"/>
      <c r="M19" s="143"/>
    </row>
    <row r="20" ht="15.75" customHeight="1">
      <c r="A20" s="142"/>
      <c r="B20" s="139"/>
      <c r="C20" s="139"/>
      <c r="D20" s="142"/>
      <c r="E20" s="142"/>
      <c r="F20" s="139"/>
      <c r="G20" s="139"/>
      <c r="H20" s="139"/>
      <c r="I20" s="139"/>
      <c r="J20" s="139"/>
      <c r="K20" s="139"/>
      <c r="L20" s="139"/>
      <c r="M20" s="143"/>
    </row>
    <row r="21" ht="15.75" customHeight="1">
      <c r="A21" s="142"/>
      <c r="B21" s="139"/>
      <c r="C21" s="139"/>
      <c r="D21" s="142"/>
      <c r="E21" s="142"/>
      <c r="F21" s="139"/>
      <c r="G21" s="139"/>
      <c r="H21" s="139"/>
      <c r="I21" s="139"/>
      <c r="J21" s="139"/>
      <c r="K21" s="139"/>
      <c r="L21" s="139"/>
      <c r="M21" s="143"/>
    </row>
    <row r="22" ht="15.75" customHeight="1">
      <c r="A22" s="142"/>
      <c r="B22" s="139"/>
      <c r="C22" s="139"/>
      <c r="D22" s="142"/>
      <c r="E22" s="142"/>
      <c r="M22" s="14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C3"/>
  </mergeCells>
  <conditionalFormatting sqref="E7">
    <cfRule type="notContainsBlanks" dxfId="6" priority="1">
      <formula>LEN(TRIM(E7))&gt;0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0" outlineLevelRow="1"/>
  <cols>
    <col customWidth="1" min="1" max="1" width="12.13"/>
    <col customWidth="1" min="2" max="2" width="20.88"/>
    <col customWidth="1" min="3" max="3" width="34.63"/>
    <col customWidth="1" min="4" max="4" width="36.13"/>
    <col customWidth="1" min="5" max="5" width="12.75"/>
    <col customWidth="1" min="6" max="6" width="5.13"/>
    <col customWidth="1" min="7" max="7" width="4.63"/>
    <col customWidth="1" min="8" max="8" width="53.5"/>
  </cols>
  <sheetData>
    <row r="1" ht="41.25" customHeight="1">
      <c r="A1" s="25" t="s">
        <v>10</v>
      </c>
      <c r="B1" s="144" t="s">
        <v>4</v>
      </c>
      <c r="C1" s="144" t="s">
        <v>5</v>
      </c>
      <c r="D1" s="145" t="s">
        <v>11</v>
      </c>
      <c r="E1" s="144" t="s">
        <v>728</v>
      </c>
      <c r="F1" s="146" t="s">
        <v>1516</v>
      </c>
      <c r="G1" s="147"/>
      <c r="H1" s="148"/>
    </row>
    <row r="2" ht="26.25" customHeight="1" outlineLevel="1">
      <c r="A2" s="149" t="str">
        <f>IFERROR(__xludf.DUMMYFUNCTION("{QUERY(BD_REF_GESTION!A2:G2713,""SELECT A,B,C,D,E,G WHERE A IS NOT NULL AND not G contains 'NO'  ORDER BY B,C "",0);QUERY(BD_REF_DERECHOS!A2:F2713,""SELECT A,B,C,D,E,F  WHERE A IS NOT NULL AND not F contains 'NO' ORDER BY B,C DESC"",0);QUERY(BD_REF_REUNIO"&amp;"NES!A2:I2713,""SELECT A,B,C,D,E,F  WHERE A IS NOT NULL AND not F contains 'NO' ORDER BY B,C,D"",0)}"),"GES_001")</f>
        <v>GES_001</v>
      </c>
      <c r="B2" s="150" t="str">
        <f>IFERROR(__xludf.DUMMYFUNCTION("""COMPUTED_VALUE"""),"GESTION")</f>
        <v>GESTION</v>
      </c>
      <c r="C2" s="151" t="str">
        <f>IFERROR(__xludf.DUMMYFUNCTION("""COMPUTED_VALUE"""),"COMUNIDAD")</f>
        <v>COMUNIDAD</v>
      </c>
      <c r="D2" s="152" t="str">
        <f>IFERROR(__xludf.DUMMYFUNCTION("""COMPUTED_VALUE"""),"ENCARGAD@ COMSE")</f>
        <v>ENCARGAD@ COMSE</v>
      </c>
      <c r="E2" s="153">
        <f>IFERROR(__xludf.DUMMYFUNCTION("""COMPUTED_VALUE"""),8.0)</f>
        <v>8</v>
      </c>
      <c r="F2" s="154" t="str">
        <f>IFERROR(__xludf.DUMMYFUNCTION("""COMPUTED_VALUE"""),"SI")</f>
        <v>SI</v>
      </c>
      <c r="G2" s="155"/>
      <c r="H2" s="156"/>
    </row>
    <row r="3" ht="26.25" customHeight="1">
      <c r="A3" s="157" t="str">
        <f>IFERROR(__xludf.DUMMYFUNCTION("""COMPUTED_VALUE"""),"GES_002")</f>
        <v>GES_002</v>
      </c>
      <c r="B3" s="158" t="str">
        <f>IFERROR(__xludf.DUMMYFUNCTION("""COMPUTED_VALUE"""),"GESTION")</f>
        <v>GESTION</v>
      </c>
      <c r="C3" s="159" t="str">
        <f>IFERROR(__xludf.DUMMYFUNCTION("""COMPUTED_VALUE"""),"COMUNIDAD")</f>
        <v>COMUNIDAD</v>
      </c>
      <c r="D3" s="160" t="str">
        <f>IFERROR(__xludf.DUMMYFUNCTION("""COMPUTED_VALUE"""),"ENCARGAD@ COMSE (2 HRS)")</f>
        <v>ENCARGAD@ COMSE (2 HRS)</v>
      </c>
      <c r="E3" s="161">
        <f>IFERROR(__xludf.DUMMYFUNCTION("""COMPUTED_VALUE"""),2.0)</f>
        <v>2</v>
      </c>
      <c r="F3" s="154" t="str">
        <f>IFERROR(__xludf.DUMMYFUNCTION("""COMPUTED_VALUE"""),"SI")</f>
        <v>SI</v>
      </c>
      <c r="G3" s="155"/>
      <c r="H3" s="156"/>
    </row>
    <row r="4" ht="26.25" customHeight="1">
      <c r="A4" s="157" t="str">
        <f>IFERROR(__xludf.DUMMYFUNCTION("""COMPUTED_VALUE"""),"GES_003")</f>
        <v>GES_003</v>
      </c>
      <c r="B4" s="158" t="str">
        <f>IFERROR(__xludf.DUMMYFUNCTION("""COMPUTED_VALUE"""),"GESTION")</f>
        <v>GESTION</v>
      </c>
      <c r="C4" s="159" t="str">
        <f>IFERROR(__xludf.DUMMYFUNCTION("""COMPUTED_VALUE"""),"COMUNIDAD")</f>
        <v>COMUNIDAD</v>
      </c>
      <c r="D4" s="160" t="str">
        <f>IFERROR(__xludf.DUMMYFUNCTION("""COMPUTED_VALUE"""),"ENCARGAD@ GESTOR COMUNITARIO (22 HORAS)")</f>
        <v>ENCARGAD@ GESTOR COMUNITARIO (22 HORAS)</v>
      </c>
      <c r="E4" s="161">
        <f>IFERROR(__xludf.DUMMYFUNCTION("""COMPUTED_VALUE"""),22.0)</f>
        <v>22</v>
      </c>
      <c r="F4" s="154" t="str">
        <f>IFERROR(__xludf.DUMMYFUNCTION("""COMPUTED_VALUE"""),"SI")</f>
        <v>SI</v>
      </c>
      <c r="G4" s="155"/>
      <c r="H4" s="156"/>
    </row>
    <row r="5" ht="26.25" customHeight="1">
      <c r="A5" s="157" t="str">
        <f>IFERROR(__xludf.DUMMYFUNCTION("""COMPUTED_VALUE"""),"GES_004")</f>
        <v>GES_004</v>
      </c>
      <c r="B5" s="158" t="str">
        <f>IFERROR(__xludf.DUMMYFUNCTION("""COMPUTED_VALUE"""),"GESTION")</f>
        <v>GESTION</v>
      </c>
      <c r="C5" s="159" t="str">
        <f>IFERROR(__xludf.DUMMYFUNCTION("""COMPUTED_VALUE"""),"COMUNIDAD")</f>
        <v>COMUNIDAD</v>
      </c>
      <c r="D5" s="160" t="str">
        <f>IFERROR(__xludf.DUMMYFUNCTION("""COMPUTED_VALUE"""),"ENCARGAD@ GESTOR COMUNITARIO (33 HORAS)")</f>
        <v>ENCARGAD@ GESTOR COMUNITARIO (33 HORAS)</v>
      </c>
      <c r="E5" s="161">
        <f>IFERROR(__xludf.DUMMYFUNCTION("""COMPUTED_VALUE"""),33.0)</f>
        <v>33</v>
      </c>
      <c r="F5" s="154" t="str">
        <f>IFERROR(__xludf.DUMMYFUNCTION("""COMPUTED_VALUE"""),"SI")</f>
        <v>SI</v>
      </c>
      <c r="G5" s="155"/>
      <c r="H5" s="156"/>
    </row>
    <row r="6" ht="26.25" customHeight="1">
      <c r="A6" s="157" t="str">
        <f>IFERROR(__xludf.DUMMYFUNCTION("""COMPUTED_VALUE"""),"GES_005")</f>
        <v>GES_005</v>
      </c>
      <c r="B6" s="158" t="str">
        <f>IFERROR(__xludf.DUMMYFUNCTION("""COMPUTED_VALUE"""),"GESTION")</f>
        <v>GESTION</v>
      </c>
      <c r="C6" s="159" t="str">
        <f>IFERROR(__xludf.DUMMYFUNCTION("""COMPUTED_VALUE"""),"COMUNIDAD")</f>
        <v>COMUNIDAD</v>
      </c>
      <c r="D6" s="160" t="str">
        <f>IFERROR(__xludf.DUMMYFUNCTION("""COMPUTED_VALUE"""),"ENCARGAD@ GESTOR COMUNITARIO (44 HORAS)")</f>
        <v>ENCARGAD@ GESTOR COMUNITARIO (44 HORAS)</v>
      </c>
      <c r="E6" s="161">
        <f>IFERROR(__xludf.DUMMYFUNCTION("""COMPUTED_VALUE"""),44.0)</f>
        <v>44</v>
      </c>
      <c r="F6" s="154" t="str">
        <f>IFERROR(__xludf.DUMMYFUNCTION("""COMPUTED_VALUE"""),"SI")</f>
        <v>SI</v>
      </c>
      <c r="G6" s="155"/>
      <c r="H6" s="156"/>
    </row>
    <row r="7" ht="26.25" customHeight="1">
      <c r="A7" s="157" t="str">
        <f>IFERROR(__xludf.DUMMYFUNCTION("""COMPUTED_VALUE"""),"GES_006")</f>
        <v>GES_006</v>
      </c>
      <c r="B7" s="158" t="str">
        <f>IFERROR(__xludf.DUMMYFUNCTION("""COMPUTED_VALUE"""),"GESTION")</f>
        <v>GESTION</v>
      </c>
      <c r="C7" s="159" t="str">
        <f>IFERROR(__xludf.DUMMYFUNCTION("""COMPUTED_VALUE"""),"COMUNIDAD")</f>
        <v>COMUNIDAD</v>
      </c>
      <c r="D7" s="160" t="str">
        <f>IFERROR(__xludf.DUMMYFUNCTION("""COMPUTED_VALUE"""),"ENCARGAD@ PARTICIPACION SOCIAL (2 HORAS)")</f>
        <v>ENCARGAD@ PARTICIPACION SOCIAL (2 HORAS)</v>
      </c>
      <c r="E7" s="161">
        <f>IFERROR(__xludf.DUMMYFUNCTION("""COMPUTED_VALUE"""),2.0)</f>
        <v>2</v>
      </c>
      <c r="F7" s="154" t="str">
        <f>IFERROR(__xludf.DUMMYFUNCTION("""COMPUTED_VALUE"""),"SI")</f>
        <v>SI</v>
      </c>
      <c r="G7" s="155"/>
      <c r="H7" s="156"/>
    </row>
    <row r="8" ht="26.25" customHeight="1">
      <c r="A8" s="157" t="str">
        <f>IFERROR(__xludf.DUMMYFUNCTION("""COMPUTED_VALUE"""),"GES_007")</f>
        <v>GES_007</v>
      </c>
      <c r="B8" s="158" t="str">
        <f>IFERROR(__xludf.DUMMYFUNCTION("""COMPUTED_VALUE"""),"GESTION")</f>
        <v>GESTION</v>
      </c>
      <c r="C8" s="159" t="str">
        <f>IFERROR(__xludf.DUMMYFUNCTION("""COMPUTED_VALUE"""),"COMUNIDAD")</f>
        <v>COMUNIDAD</v>
      </c>
      <c r="D8" s="160" t="str">
        <f>IFERROR(__xludf.DUMMYFUNCTION("""COMPUTED_VALUE"""),"ENCARGAD@ PARTICIPACION Y PROMOCION  (22 HORAS)")</f>
        <v>ENCARGAD@ PARTICIPACION Y PROMOCION  (22 HORAS)</v>
      </c>
      <c r="E8" s="161">
        <f>IFERROR(__xludf.DUMMYFUNCTION("""COMPUTED_VALUE"""),22.0)</f>
        <v>22</v>
      </c>
      <c r="F8" s="154" t="str">
        <f>IFERROR(__xludf.DUMMYFUNCTION("""COMPUTED_VALUE"""),"SI")</f>
        <v>SI</v>
      </c>
      <c r="G8" s="155"/>
      <c r="H8" s="156"/>
    </row>
    <row r="9" ht="26.25" customHeight="1">
      <c r="A9" s="157" t="str">
        <f>IFERROR(__xludf.DUMMYFUNCTION("""COMPUTED_VALUE"""),"GES_008")</f>
        <v>GES_008</v>
      </c>
      <c r="B9" s="158" t="str">
        <f>IFERROR(__xludf.DUMMYFUNCTION("""COMPUTED_VALUE"""),"GESTION")</f>
        <v>GESTION</v>
      </c>
      <c r="C9" s="159" t="str">
        <f>IFERROR(__xludf.DUMMYFUNCTION("""COMPUTED_VALUE"""),"COMUNIDAD")</f>
        <v>COMUNIDAD</v>
      </c>
      <c r="D9" s="160" t="str">
        <f>IFERROR(__xludf.DUMMYFUNCTION("""COMPUTED_VALUE"""),"ENCARGAD@ PARTICIPACION Y PROMOCION  (44 HORAS)")</f>
        <v>ENCARGAD@ PARTICIPACION Y PROMOCION  (44 HORAS)</v>
      </c>
      <c r="E9" s="161">
        <f>IFERROR(__xludf.DUMMYFUNCTION("""COMPUTED_VALUE"""),44.0)</f>
        <v>44</v>
      </c>
      <c r="F9" s="154" t="str">
        <f>IFERROR(__xludf.DUMMYFUNCTION("""COMPUTED_VALUE"""),"SI")</f>
        <v>SI</v>
      </c>
      <c r="G9" s="155"/>
      <c r="H9" s="156"/>
    </row>
    <row r="10" ht="26.25" customHeight="1">
      <c r="A10" s="157" t="str">
        <f>IFERROR(__xludf.DUMMYFUNCTION("""COMPUTED_VALUE"""),"GES_009")</f>
        <v>GES_009</v>
      </c>
      <c r="B10" s="158" t="str">
        <f>IFERROR(__xludf.DUMMYFUNCTION("""COMPUTED_VALUE"""),"GESTION")</f>
        <v>GESTION</v>
      </c>
      <c r="C10" s="159" t="str">
        <f>IFERROR(__xludf.DUMMYFUNCTION("""COMPUTED_VALUE"""),"COMUNIDAD")</f>
        <v>COMUNIDAD</v>
      </c>
      <c r="D10" s="160" t="str">
        <f>IFERROR(__xludf.DUMMYFUNCTION("""COMPUTED_VALUE"""),"ENCARGAD@ PROMOCION (1 HR)")</f>
        <v>ENCARGAD@ PROMOCION (1 HR)</v>
      </c>
      <c r="E10" s="161">
        <f>IFERROR(__xludf.DUMMYFUNCTION("""COMPUTED_VALUE"""),1.0)</f>
        <v>1</v>
      </c>
      <c r="F10" s="154" t="str">
        <f>IFERROR(__xludf.DUMMYFUNCTION("""COMPUTED_VALUE"""),"SI")</f>
        <v>SI</v>
      </c>
      <c r="G10" s="155"/>
      <c r="H10" s="156"/>
    </row>
    <row r="11" ht="26.25" customHeight="1">
      <c r="A11" s="157" t="str">
        <f>IFERROR(__xludf.DUMMYFUNCTION("""COMPUTED_VALUE"""),"GES_010")</f>
        <v>GES_010</v>
      </c>
      <c r="B11" s="158" t="str">
        <f>IFERROR(__xludf.DUMMYFUNCTION("""COMPUTED_VALUE"""),"GESTION")</f>
        <v>GESTION</v>
      </c>
      <c r="C11" s="159" t="str">
        <f>IFERROR(__xludf.DUMMYFUNCTION("""COMPUTED_VALUE"""),"COMUNIDAD")</f>
        <v>COMUNIDAD</v>
      </c>
      <c r="D11" s="160" t="str">
        <f>IFERROR(__xludf.DUMMYFUNCTION("""COMPUTED_VALUE"""),"PROFESIONAL APOYO EQUIPO PARTICIPACION Y PROMOCION (45 MIN)")</f>
        <v>PROFESIONAL APOYO EQUIPO PARTICIPACION Y PROMOCION (45 MIN)</v>
      </c>
      <c r="E11" s="161">
        <f>IFERROR(__xludf.DUMMYFUNCTION("""COMPUTED_VALUE"""),0.75)</f>
        <v>0.75</v>
      </c>
      <c r="F11" s="154" t="str">
        <f>IFERROR(__xludf.DUMMYFUNCTION("""COMPUTED_VALUE"""),"SI")</f>
        <v>SI</v>
      </c>
      <c r="G11" s="155"/>
      <c r="H11" s="156"/>
    </row>
    <row r="12" ht="26.25" customHeight="1">
      <c r="A12" s="157" t="str">
        <f>IFERROR(__xludf.DUMMYFUNCTION("""COMPUTED_VALUE"""),"GES_011")</f>
        <v>GES_011</v>
      </c>
      <c r="B12" s="158" t="str">
        <f>IFERROR(__xludf.DUMMYFUNCTION("""COMPUTED_VALUE"""),"GESTION")</f>
        <v>GESTION</v>
      </c>
      <c r="C12" s="159" t="str">
        <f>IFERROR(__xludf.DUMMYFUNCTION("""COMPUTED_VALUE"""),"COMUNIDAD")</f>
        <v>COMUNIDAD</v>
      </c>
      <c r="D12" s="160" t="str">
        <f>IFERROR(__xludf.DUMMYFUNCTION("""COMPUTED_VALUE"""),"PROFESIONAL APOYO EQUIPO PARTICIPACION Y PROMOCION (DENTAL)")</f>
        <v>PROFESIONAL APOYO EQUIPO PARTICIPACION Y PROMOCION (DENTAL)</v>
      </c>
      <c r="E12" s="161">
        <f>IFERROR(__xludf.DUMMYFUNCTION("""COMPUTED_VALUE"""),0.75)</f>
        <v>0.75</v>
      </c>
      <c r="F12" s="154" t="str">
        <f>IFERROR(__xludf.DUMMYFUNCTION("""COMPUTED_VALUE"""),"SI")</f>
        <v>SI</v>
      </c>
      <c r="G12" s="155"/>
      <c r="H12" s="156"/>
    </row>
    <row r="13" ht="26.25" customHeight="1">
      <c r="A13" s="157" t="str">
        <f>IFERROR(__xludf.DUMMYFUNCTION("""COMPUTED_VALUE"""),"GES_012")</f>
        <v>GES_012</v>
      </c>
      <c r="B13" s="158" t="str">
        <f>IFERROR(__xludf.DUMMYFUNCTION("""COMPUTED_VALUE"""),"GESTION")</f>
        <v>GESTION</v>
      </c>
      <c r="C13" s="159" t="str">
        <f>IFERROR(__xludf.DUMMYFUNCTION("""COMPUTED_VALUE"""),"COMUNIDAD")</f>
        <v>COMUNIDAD</v>
      </c>
      <c r="D13" s="160" t="str">
        <f>IFERROR(__xludf.DUMMYFUNCTION("""COMPUTED_VALUE"""),"PROFESIONAL APOYO EQUIPO PARTICIPACION Y PROMOCION (ENFERMERA)")</f>
        <v>PROFESIONAL APOYO EQUIPO PARTICIPACION Y PROMOCION (ENFERMERA)</v>
      </c>
      <c r="E13" s="161">
        <f>IFERROR(__xludf.DUMMYFUNCTION("""COMPUTED_VALUE"""),0.75)</f>
        <v>0.75</v>
      </c>
      <c r="F13" s="154" t="str">
        <f>IFERROR(__xludf.DUMMYFUNCTION("""COMPUTED_VALUE"""),"SI")</f>
        <v>SI</v>
      </c>
      <c r="G13" s="155"/>
      <c r="H13" s="156"/>
    </row>
    <row r="14" ht="26.25" customHeight="1">
      <c r="A14" s="157" t="str">
        <f>IFERROR(__xludf.DUMMYFUNCTION("""COMPUTED_VALUE"""),"GES_013")</f>
        <v>GES_013</v>
      </c>
      <c r="B14" s="158" t="str">
        <f>IFERROR(__xludf.DUMMYFUNCTION("""COMPUTED_VALUE"""),"GESTION")</f>
        <v>GESTION</v>
      </c>
      <c r="C14" s="159" t="str">
        <f>IFERROR(__xludf.DUMMYFUNCTION("""COMPUTED_VALUE"""),"COMUNIDAD")</f>
        <v>COMUNIDAD</v>
      </c>
      <c r="D14" s="160" t="str">
        <f>IFERROR(__xludf.DUMMYFUNCTION("""COMPUTED_VALUE"""),"PROFESIONAL APOYO EQUIPO PARTICIPACION Y PROMOCION (KINE)")</f>
        <v>PROFESIONAL APOYO EQUIPO PARTICIPACION Y PROMOCION (KINE)</v>
      </c>
      <c r="E14" s="161">
        <f>IFERROR(__xludf.DUMMYFUNCTION("""COMPUTED_VALUE"""),0.75)</f>
        <v>0.75</v>
      </c>
      <c r="F14" s="154" t="str">
        <f>IFERROR(__xludf.DUMMYFUNCTION("""COMPUTED_VALUE"""),"SI")</f>
        <v>SI</v>
      </c>
      <c r="G14" s="155"/>
      <c r="H14" s="156"/>
    </row>
    <row r="15" ht="26.25" customHeight="1">
      <c r="A15" s="157" t="str">
        <f>IFERROR(__xludf.DUMMYFUNCTION("""COMPUTED_VALUE"""),"GES_014")</f>
        <v>GES_014</v>
      </c>
      <c r="B15" s="158" t="str">
        <f>IFERROR(__xludf.DUMMYFUNCTION("""COMPUTED_VALUE"""),"GESTION")</f>
        <v>GESTION</v>
      </c>
      <c r="C15" s="159" t="str">
        <f>IFERROR(__xludf.DUMMYFUNCTION("""COMPUTED_VALUE"""),"COMUNIDAD")</f>
        <v>COMUNIDAD</v>
      </c>
      <c r="D15" s="160" t="str">
        <f>IFERROR(__xludf.DUMMYFUNCTION("""COMPUTED_VALUE"""),"PROFESIONAL APOYO EQUIPO PARTICIPACION Y PROMOCION (MATRONA)")</f>
        <v>PROFESIONAL APOYO EQUIPO PARTICIPACION Y PROMOCION (MATRONA)</v>
      </c>
      <c r="E15" s="161">
        <f>IFERROR(__xludf.DUMMYFUNCTION("""COMPUTED_VALUE"""),0.75)</f>
        <v>0.75</v>
      </c>
      <c r="F15" s="154" t="str">
        <f>IFERROR(__xludf.DUMMYFUNCTION("""COMPUTED_VALUE"""),"SI")</f>
        <v>SI</v>
      </c>
      <c r="G15" s="155"/>
      <c r="H15" s="156"/>
    </row>
    <row r="16" ht="26.25" customHeight="1">
      <c r="A16" s="157" t="str">
        <f>IFERROR(__xludf.DUMMYFUNCTION("""COMPUTED_VALUE"""),"GES_015")</f>
        <v>GES_015</v>
      </c>
      <c r="B16" s="158" t="str">
        <f>IFERROR(__xludf.DUMMYFUNCTION("""COMPUTED_VALUE"""),"GESTION")</f>
        <v>GESTION</v>
      </c>
      <c r="C16" s="159" t="str">
        <f>IFERROR(__xludf.DUMMYFUNCTION("""COMPUTED_VALUE"""),"COMUNIDAD")</f>
        <v>COMUNIDAD</v>
      </c>
      <c r="D16" s="160" t="str">
        <f>IFERROR(__xludf.DUMMYFUNCTION("""COMPUTED_VALUE"""),"PROFESIONAL APOYO EQUIPO PARTICIPACION Y PROMOCION (NUTRICION)")</f>
        <v>PROFESIONAL APOYO EQUIPO PARTICIPACION Y PROMOCION (NUTRICION)</v>
      </c>
      <c r="E16" s="161">
        <f>IFERROR(__xludf.DUMMYFUNCTION("""COMPUTED_VALUE"""),0.75)</f>
        <v>0.75</v>
      </c>
      <c r="F16" s="154" t="str">
        <f>IFERROR(__xludf.DUMMYFUNCTION("""COMPUTED_VALUE"""),"SI")</f>
        <v>SI</v>
      </c>
      <c r="G16" s="155"/>
      <c r="H16" s="156"/>
    </row>
    <row r="17" ht="26.25" customHeight="1">
      <c r="A17" s="157" t="str">
        <f>IFERROR(__xludf.DUMMYFUNCTION("""COMPUTED_VALUE"""),"GES_016")</f>
        <v>GES_016</v>
      </c>
      <c r="B17" s="158" t="str">
        <f>IFERROR(__xludf.DUMMYFUNCTION("""COMPUTED_VALUE"""),"GESTION")</f>
        <v>GESTION</v>
      </c>
      <c r="C17" s="159" t="str">
        <f>IFERROR(__xludf.DUMMYFUNCTION("""COMPUTED_VALUE"""),"COMUNIDAD")</f>
        <v>COMUNIDAD</v>
      </c>
      <c r="D17" s="160" t="str">
        <f>IFERROR(__xludf.DUMMYFUNCTION("""COMPUTED_VALUE"""),"PROFESIONAL APOYO EQUIPO PARTICIPACION Y PROMOCION (PSICOLOGIA)")</f>
        <v>PROFESIONAL APOYO EQUIPO PARTICIPACION Y PROMOCION (PSICOLOGIA)</v>
      </c>
      <c r="E17" s="161">
        <f>IFERROR(__xludf.DUMMYFUNCTION("""COMPUTED_VALUE"""),0.75)</f>
        <v>0.75</v>
      </c>
      <c r="F17" s="154" t="str">
        <f>IFERROR(__xludf.DUMMYFUNCTION("""COMPUTED_VALUE"""),"SI")</f>
        <v>SI</v>
      </c>
      <c r="G17" s="155"/>
      <c r="H17" s="156"/>
    </row>
    <row r="18" ht="26.25" customHeight="1">
      <c r="A18" s="157" t="str">
        <f>IFERROR(__xludf.DUMMYFUNCTION("""COMPUTED_VALUE"""),"GES_017")</f>
        <v>GES_017</v>
      </c>
      <c r="B18" s="158" t="str">
        <f>IFERROR(__xludf.DUMMYFUNCTION("""COMPUTED_VALUE"""),"GESTION")</f>
        <v>GESTION</v>
      </c>
      <c r="C18" s="159" t="str">
        <f>IFERROR(__xludf.DUMMYFUNCTION("""COMPUTED_VALUE"""),"COMUNIDAD")</f>
        <v>COMUNIDAD</v>
      </c>
      <c r="D18" s="160" t="str">
        <f>IFERROR(__xludf.DUMMYFUNCTION("""COMPUTED_VALUE"""),"PROFESIONAL APOYO EQUIPO PARTICIPACION Y PROMOCION (QF)")</f>
        <v>PROFESIONAL APOYO EQUIPO PARTICIPACION Y PROMOCION (QF)</v>
      </c>
      <c r="E18" s="161">
        <f>IFERROR(__xludf.DUMMYFUNCTION("""COMPUTED_VALUE"""),0.75)</f>
        <v>0.75</v>
      </c>
      <c r="F18" s="154" t="str">
        <f>IFERROR(__xludf.DUMMYFUNCTION("""COMPUTED_VALUE"""),"SI")</f>
        <v>SI</v>
      </c>
      <c r="G18" s="155"/>
      <c r="H18" s="156"/>
    </row>
    <row r="19" ht="26.25" customHeight="1">
      <c r="A19" s="157" t="str">
        <f>IFERROR(__xludf.DUMMYFUNCTION("""COMPUTED_VALUE"""),"GES_018")</f>
        <v>GES_018</v>
      </c>
      <c r="B19" s="158" t="str">
        <f>IFERROR(__xludf.DUMMYFUNCTION("""COMPUTED_VALUE"""),"GESTION")</f>
        <v>GESTION</v>
      </c>
      <c r="C19" s="159" t="str">
        <f>IFERROR(__xludf.DUMMYFUNCTION("""COMPUTED_VALUE"""),"COMUNIDAD")</f>
        <v>COMUNIDAD</v>
      </c>
      <c r="D19" s="160" t="str">
        <f>IFERROR(__xludf.DUMMYFUNCTION("""COMPUTED_VALUE"""),"PROFESIONAL APOYO EQUIPO PARTICIPACION Y PROMOCION (TO) ")</f>
        <v>PROFESIONAL APOYO EQUIPO PARTICIPACION Y PROMOCION (TO) </v>
      </c>
      <c r="E19" s="161">
        <f>IFERROR(__xludf.DUMMYFUNCTION("""COMPUTED_VALUE"""),1.0)</f>
        <v>1</v>
      </c>
      <c r="F19" s="154" t="str">
        <f>IFERROR(__xludf.DUMMYFUNCTION("""COMPUTED_VALUE"""),"SI")</f>
        <v>SI</v>
      </c>
      <c r="G19" s="155"/>
      <c r="H19" s="156"/>
    </row>
    <row r="20" ht="26.25" customHeight="1">
      <c r="A20" s="157" t="str">
        <f>IFERROR(__xludf.DUMMYFUNCTION("""COMPUTED_VALUE"""),"GES_019")</f>
        <v>GES_019</v>
      </c>
      <c r="B20" s="158" t="str">
        <f>IFERROR(__xludf.DUMMYFUNCTION("""COMPUTED_VALUE"""),"GESTION")</f>
        <v>GESTION</v>
      </c>
      <c r="C20" s="159" t="str">
        <f>IFERROR(__xludf.DUMMYFUNCTION("""COMPUTED_VALUE"""),"COMUNIDAD")</f>
        <v>COMUNIDAD</v>
      </c>
      <c r="D20" s="160" t="str">
        <f>IFERROR(__xludf.DUMMYFUNCTION("""COMPUTED_VALUE"""),"PROFESIONAL APOYO EQUIPO PARTICIPACION Y PROMOCION (TRAB SOCIAL)")</f>
        <v>PROFESIONAL APOYO EQUIPO PARTICIPACION Y PROMOCION (TRAB SOCIAL)</v>
      </c>
      <c r="E20" s="161">
        <f>IFERROR(__xludf.DUMMYFUNCTION("""COMPUTED_VALUE"""),0.75)</f>
        <v>0.75</v>
      </c>
      <c r="F20" s="154" t="str">
        <f>IFERROR(__xludf.DUMMYFUNCTION("""COMPUTED_VALUE"""),"SI")</f>
        <v>SI</v>
      </c>
      <c r="G20" s="155"/>
      <c r="H20" s="156"/>
    </row>
    <row r="21" ht="26.25" customHeight="1">
      <c r="A21" s="157" t="str">
        <f>IFERROR(__xludf.DUMMYFUNCTION("""COMPUTED_VALUE"""),"GES_018")</f>
        <v>GES_018</v>
      </c>
      <c r="B21" s="158" t="str">
        <f>IFERROR(__xludf.DUMMYFUNCTION("""COMPUTED_VALUE"""),"GESTION")</f>
        <v>GESTION</v>
      </c>
      <c r="C21" s="159" t="str">
        <f>IFERROR(__xludf.DUMMYFUNCTION("""COMPUTED_VALUE"""),"COMUNIDAD")</f>
        <v>COMUNIDAD</v>
      </c>
      <c r="D21" s="160" t="str">
        <f>IFERROR(__xludf.DUMMYFUNCTION("""COMPUTED_VALUE"""),"PROFESIONAL APOYO EQUIPO PARTICIPACION Y PROMOCION (MEDICO) ")</f>
        <v>PROFESIONAL APOYO EQUIPO PARTICIPACION Y PROMOCION (MEDICO) </v>
      </c>
      <c r="E21" s="161">
        <f>IFERROR(__xludf.DUMMYFUNCTION("""COMPUTED_VALUE"""),1.0)</f>
        <v>1</v>
      </c>
      <c r="F21" s="154" t="str">
        <f>IFERROR(__xludf.DUMMYFUNCTION("""COMPUTED_VALUE"""),"SI")</f>
        <v>SI</v>
      </c>
      <c r="G21" s="155"/>
      <c r="H21" s="156"/>
    </row>
    <row r="22" ht="26.25" customHeight="1">
      <c r="A22" s="157" t="str">
        <f>IFERROR(__xludf.DUMMYFUNCTION("""COMPUTED_VALUE"""),"GES_020")</f>
        <v>GES_020</v>
      </c>
      <c r="B22" s="158" t="str">
        <f>IFERROR(__xludf.DUMMYFUNCTION("""COMPUTED_VALUE"""),"GESTION")</f>
        <v>GESTION</v>
      </c>
      <c r="C22" s="159" t="str">
        <f>IFERROR(__xludf.DUMMYFUNCTION("""COMPUTED_VALUE"""),"DERECHOS Y DEBERES")</f>
        <v>DERECHOS Y DEBERES</v>
      </c>
      <c r="D22" s="160" t="str">
        <f>IFERROR(__xludf.DUMMYFUNCTION("""COMPUTED_VALUE"""),"ENCARGAD@ MIGRANTES (1 HR)")</f>
        <v>ENCARGAD@ MIGRANTES (1 HR)</v>
      </c>
      <c r="E22" s="161">
        <f>IFERROR(__xludf.DUMMYFUNCTION("""COMPUTED_VALUE"""),1.0)</f>
        <v>1</v>
      </c>
      <c r="F22" s="154" t="str">
        <f>IFERROR(__xludf.DUMMYFUNCTION("""COMPUTED_VALUE"""),"SI")</f>
        <v>SI</v>
      </c>
      <c r="G22" s="155"/>
      <c r="H22" s="156"/>
    </row>
    <row r="23" ht="26.25" customHeight="1">
      <c r="A23" s="157" t="str">
        <f>IFERROR(__xludf.DUMMYFUNCTION("""COMPUTED_VALUE"""),"GES_021")</f>
        <v>GES_021</v>
      </c>
      <c r="B23" s="158" t="str">
        <f>IFERROR(__xludf.DUMMYFUNCTION("""COMPUTED_VALUE"""),"GESTION")</f>
        <v>GESTION</v>
      </c>
      <c r="C23" s="159" t="str">
        <f>IFERROR(__xludf.DUMMYFUNCTION("""COMPUTED_VALUE"""),"DERECHOS Y DEBERES")</f>
        <v>DERECHOS Y DEBERES</v>
      </c>
      <c r="D23" s="160" t="str">
        <f>IFERROR(__xludf.DUMMYFUNCTION("""COMPUTED_VALUE"""),"ENCARGAD@ MIGRANTES (10 HRS)")</f>
        <v>ENCARGAD@ MIGRANTES (10 HRS)</v>
      </c>
      <c r="E23" s="161">
        <f>IFERROR(__xludf.DUMMYFUNCTION("""COMPUTED_VALUE"""),10.0)</f>
        <v>10</v>
      </c>
      <c r="F23" s="154" t="str">
        <f>IFERROR(__xludf.DUMMYFUNCTION("""COMPUTED_VALUE"""),"SI")</f>
        <v>SI</v>
      </c>
      <c r="G23" s="155"/>
      <c r="H23" s="156"/>
    </row>
    <row r="24" ht="26.25" customHeight="1">
      <c r="A24" s="157" t="str">
        <f>IFERROR(__xludf.DUMMYFUNCTION("""COMPUTED_VALUE"""),"GES_022")</f>
        <v>GES_022</v>
      </c>
      <c r="B24" s="158" t="str">
        <f>IFERROR(__xludf.DUMMYFUNCTION("""COMPUTED_VALUE"""),"GESTION")</f>
        <v>GESTION</v>
      </c>
      <c r="C24" s="159" t="str">
        <f>IFERROR(__xludf.DUMMYFUNCTION("""COMPUTED_VALUE"""),"DERECHOS Y DEBERES")</f>
        <v>DERECHOS Y DEBERES</v>
      </c>
      <c r="D24" s="160" t="str">
        <f>IFERROR(__xludf.DUMMYFUNCTION("""COMPUTED_VALUE"""),"ENCARGAD@ MIGRANTES (2 HRS)")</f>
        <v>ENCARGAD@ MIGRANTES (2 HRS)</v>
      </c>
      <c r="E24" s="161">
        <f>IFERROR(__xludf.DUMMYFUNCTION("""COMPUTED_VALUE"""),2.0)</f>
        <v>2</v>
      </c>
      <c r="F24" s="154" t="str">
        <f>IFERROR(__xludf.DUMMYFUNCTION("""COMPUTED_VALUE"""),"SI")</f>
        <v>SI</v>
      </c>
      <c r="G24" s="155"/>
      <c r="H24" s="156"/>
    </row>
    <row r="25" ht="26.25" customHeight="1">
      <c r="A25" s="157" t="str">
        <f>IFERROR(__xludf.DUMMYFUNCTION("""COMPUTED_VALUE"""),"GES_023")</f>
        <v>GES_023</v>
      </c>
      <c r="B25" s="158" t="str">
        <f>IFERROR(__xludf.DUMMYFUNCTION("""COMPUTED_VALUE"""),"GESTION")</f>
        <v>GESTION</v>
      </c>
      <c r="C25" s="159" t="str">
        <f>IFERROR(__xludf.DUMMYFUNCTION("""COMPUTED_VALUE"""),"DERECHOS Y DEBERES")</f>
        <v>DERECHOS Y DEBERES</v>
      </c>
      <c r="D25" s="160" t="str">
        <f>IFERROR(__xludf.DUMMYFUNCTION("""COMPUTED_VALUE"""),"ENCARGAD@ MIGRANTES (3 HRS)")</f>
        <v>ENCARGAD@ MIGRANTES (3 HRS)</v>
      </c>
      <c r="E25" s="161">
        <f>IFERROR(__xludf.DUMMYFUNCTION("""COMPUTED_VALUE"""),3.0)</f>
        <v>3</v>
      </c>
      <c r="F25" s="154" t="str">
        <f>IFERROR(__xludf.DUMMYFUNCTION("""COMPUTED_VALUE"""),"SI")</f>
        <v>SI</v>
      </c>
      <c r="G25" s="155"/>
      <c r="H25" s="156"/>
    </row>
    <row r="26" ht="26.25" customHeight="1">
      <c r="A26" s="157" t="str">
        <f>IFERROR(__xludf.DUMMYFUNCTION("""COMPUTED_VALUE"""),"GES_024")</f>
        <v>GES_024</v>
      </c>
      <c r="B26" s="158" t="str">
        <f>IFERROR(__xludf.DUMMYFUNCTION("""COMPUTED_VALUE"""),"GESTION")</f>
        <v>GESTION</v>
      </c>
      <c r="C26" s="159" t="str">
        <f>IFERROR(__xludf.DUMMYFUNCTION("""COMPUTED_VALUE"""),"DERECHOS Y DEBERES")</f>
        <v>DERECHOS Y DEBERES</v>
      </c>
      <c r="D26" s="160" t="str">
        <f>IFERROR(__xludf.DUMMYFUNCTION("""COMPUTED_VALUE"""),"ENCARGAD@ OIRS (11 HORAS)")</f>
        <v>ENCARGAD@ OIRS (11 HORAS)</v>
      </c>
      <c r="E26" s="161">
        <f>IFERROR(__xludf.DUMMYFUNCTION("""COMPUTED_VALUE"""),11.0)</f>
        <v>11</v>
      </c>
      <c r="F26" s="154" t="str">
        <f>IFERROR(__xludf.DUMMYFUNCTION("""COMPUTED_VALUE"""),"SI")</f>
        <v>SI</v>
      </c>
      <c r="G26" s="155"/>
      <c r="H26" s="156"/>
    </row>
    <row r="27" ht="26.25" customHeight="1">
      <c r="A27" s="157" t="str">
        <f>IFERROR(__xludf.DUMMYFUNCTION("""COMPUTED_VALUE"""),"GES_025")</f>
        <v>GES_025</v>
      </c>
      <c r="B27" s="158" t="str">
        <f>IFERROR(__xludf.DUMMYFUNCTION("""COMPUTED_VALUE"""),"GESTION")</f>
        <v>GESTION</v>
      </c>
      <c r="C27" s="159" t="str">
        <f>IFERROR(__xludf.DUMMYFUNCTION("""COMPUTED_VALUE"""),"DERECHOS Y DEBERES")</f>
        <v>DERECHOS Y DEBERES</v>
      </c>
      <c r="D27" s="160" t="str">
        <f>IFERROR(__xludf.DUMMYFUNCTION("""COMPUTED_VALUE"""),"ENCARGAD@ OIRS (22 HORAS)")</f>
        <v>ENCARGAD@ OIRS (22 HORAS)</v>
      </c>
      <c r="E27" s="161">
        <f>IFERROR(__xludf.DUMMYFUNCTION("""COMPUTED_VALUE"""),22.0)</f>
        <v>22</v>
      </c>
      <c r="F27" s="154" t="str">
        <f>IFERROR(__xludf.DUMMYFUNCTION("""COMPUTED_VALUE"""),"SI")</f>
        <v>SI</v>
      </c>
      <c r="G27" s="155"/>
      <c r="H27" s="156"/>
    </row>
    <row r="28" ht="26.25" customHeight="1">
      <c r="A28" s="157" t="str">
        <f>IFERROR(__xludf.DUMMYFUNCTION("""COMPUTED_VALUE"""),"GES_026")</f>
        <v>GES_026</v>
      </c>
      <c r="B28" s="158" t="str">
        <f>IFERROR(__xludf.DUMMYFUNCTION("""COMPUTED_VALUE"""),"GESTION")</f>
        <v>GESTION</v>
      </c>
      <c r="C28" s="159" t="str">
        <f>IFERROR(__xludf.DUMMYFUNCTION("""COMPUTED_VALUE"""),"DERECHOS Y DEBERES")</f>
        <v>DERECHOS Y DEBERES</v>
      </c>
      <c r="D28" s="160" t="str">
        <f>IFERROR(__xludf.DUMMYFUNCTION("""COMPUTED_VALUE"""),"ENCARGAD@ OIRS (5 HORAS)")</f>
        <v>ENCARGAD@ OIRS (5 HORAS)</v>
      </c>
      <c r="E28" s="161">
        <f>IFERROR(__xludf.DUMMYFUNCTION("""COMPUTED_VALUE"""),5.0)</f>
        <v>5</v>
      </c>
      <c r="F28" s="154" t="str">
        <f>IFERROR(__xludf.DUMMYFUNCTION("""COMPUTED_VALUE"""),"SI")</f>
        <v>SI</v>
      </c>
      <c r="G28" s="155"/>
      <c r="H28" s="156"/>
    </row>
    <row r="29" ht="26.25" customHeight="1">
      <c r="A29" s="157" t="str">
        <f>IFERROR(__xludf.DUMMYFUNCTION("""COMPUTED_VALUE"""),"GES_027")</f>
        <v>GES_027</v>
      </c>
      <c r="B29" s="158" t="str">
        <f>IFERROR(__xludf.DUMMYFUNCTION("""COMPUTED_VALUE"""),"GESTION")</f>
        <v>GESTION</v>
      </c>
      <c r="C29" s="159" t="str">
        <f>IFERROR(__xludf.DUMMYFUNCTION("""COMPUTED_VALUE"""),"DERECHOS Y DEBERES")</f>
        <v>DERECHOS Y DEBERES</v>
      </c>
      <c r="D29" s="160" t="str">
        <f>IFERROR(__xludf.DUMMYFUNCTION("""COMPUTED_VALUE"""),"ENCARGAD@ OIRS (8 HORAS)")</f>
        <v>ENCARGAD@ OIRS (8 HORAS)</v>
      </c>
      <c r="E29" s="161">
        <f>IFERROR(__xludf.DUMMYFUNCTION("""COMPUTED_VALUE"""),8.0)</f>
        <v>8</v>
      </c>
      <c r="F29" s="154" t="str">
        <f>IFERROR(__xludf.DUMMYFUNCTION("""COMPUTED_VALUE"""),"SI")</f>
        <v>SI</v>
      </c>
      <c r="G29" s="155"/>
      <c r="H29" s="156"/>
    </row>
    <row r="30" ht="26.25" customHeight="1">
      <c r="A30" s="157" t="str">
        <f>IFERROR(__xludf.DUMMYFUNCTION("""COMPUTED_VALUE"""),"GES_028")</f>
        <v>GES_028</v>
      </c>
      <c r="B30" s="158" t="str">
        <f>IFERROR(__xludf.DUMMYFUNCTION("""COMPUTED_VALUE"""),"GESTION")</f>
        <v>GESTION</v>
      </c>
      <c r="C30" s="159" t="str">
        <f>IFERROR(__xludf.DUMMYFUNCTION("""COMPUTED_VALUE"""),"DERECHOS Y DEBERES")</f>
        <v>DERECHOS Y DEBERES</v>
      </c>
      <c r="D30" s="160" t="str">
        <f>IFERROR(__xludf.DUMMYFUNCTION("""COMPUTED_VALUE"""),"ENCARGAD@ PRAIS (1 HR)")</f>
        <v>ENCARGAD@ PRAIS (1 HR)</v>
      </c>
      <c r="E30" s="161">
        <f>IFERROR(__xludf.DUMMYFUNCTION("""COMPUTED_VALUE"""),1.0)</f>
        <v>1</v>
      </c>
      <c r="F30" s="154" t="str">
        <f>IFERROR(__xludf.DUMMYFUNCTION("""COMPUTED_VALUE"""),"SI")</f>
        <v>SI</v>
      </c>
      <c r="G30" s="155"/>
      <c r="H30" s="156"/>
    </row>
    <row r="31" ht="26.25" customHeight="1">
      <c r="A31" s="157" t="str">
        <f>IFERROR(__xludf.DUMMYFUNCTION("""COMPUTED_VALUE"""),"GES_029")</f>
        <v>GES_029</v>
      </c>
      <c r="B31" s="158" t="str">
        <f>IFERROR(__xludf.DUMMYFUNCTION("""COMPUTED_VALUE"""),"GESTION")</f>
        <v>GESTION</v>
      </c>
      <c r="C31" s="159" t="str">
        <f>IFERROR(__xludf.DUMMYFUNCTION("""COMPUTED_VALUE"""),"DERECHOS Y DEBERES")</f>
        <v>DERECHOS Y DEBERES</v>
      </c>
      <c r="D31" s="160" t="str">
        <f>IFERROR(__xludf.DUMMYFUNCTION("""COMPUTED_VALUE"""),"ENCARGAD@ PRAIS (2 HRS)")</f>
        <v>ENCARGAD@ PRAIS (2 HRS)</v>
      </c>
      <c r="E31" s="161">
        <f>IFERROR(__xludf.DUMMYFUNCTION("""COMPUTED_VALUE"""),2.0)</f>
        <v>2</v>
      </c>
      <c r="F31" s="154" t="str">
        <f>IFERROR(__xludf.DUMMYFUNCTION("""COMPUTED_VALUE"""),"SI")</f>
        <v>SI</v>
      </c>
      <c r="G31" s="155"/>
      <c r="H31" s="156"/>
    </row>
    <row r="32" ht="26.25" customHeight="1">
      <c r="A32" s="157" t="str">
        <f>IFERROR(__xludf.DUMMYFUNCTION("""COMPUTED_VALUE"""),"GES_030")</f>
        <v>GES_030</v>
      </c>
      <c r="B32" s="158" t="str">
        <f>IFERROR(__xludf.DUMMYFUNCTION("""COMPUTED_VALUE"""),"GESTION")</f>
        <v>GESTION</v>
      </c>
      <c r="C32" s="159" t="str">
        <f>IFERROR(__xludf.DUMMYFUNCTION("""COMPUTED_VALUE"""),"DERECHOS Y DEBERES")</f>
        <v>DERECHOS Y DEBERES</v>
      </c>
      <c r="D32" s="160" t="str">
        <f>IFERROR(__xludf.DUMMYFUNCTION("""COMPUTED_VALUE"""),"ENCARGAD@ PRAIS (3 HRS)")</f>
        <v>ENCARGAD@ PRAIS (3 HRS)</v>
      </c>
      <c r="E32" s="161">
        <f>IFERROR(__xludf.DUMMYFUNCTION("""COMPUTED_VALUE"""),3.0)</f>
        <v>3</v>
      </c>
      <c r="F32" s="154" t="str">
        <f>IFERROR(__xludf.DUMMYFUNCTION("""COMPUTED_VALUE"""),"SI")</f>
        <v>SI</v>
      </c>
      <c r="G32" s="155"/>
      <c r="H32" s="156"/>
    </row>
    <row r="33" ht="26.25" customHeight="1">
      <c r="A33" s="157" t="str">
        <f>IFERROR(__xludf.DUMMYFUNCTION("""COMPUTED_VALUE"""),"GES_031")</f>
        <v>GES_031</v>
      </c>
      <c r="B33" s="158" t="str">
        <f>IFERROR(__xludf.DUMMYFUNCTION("""COMPUTED_VALUE"""),"GESTION")</f>
        <v>GESTION</v>
      </c>
      <c r="C33" s="159" t="str">
        <f>IFERROR(__xludf.DUMMYFUNCTION("""COMPUTED_VALUE"""),"DERECHOS Y DEBERES")</f>
        <v>DERECHOS Y DEBERES</v>
      </c>
      <c r="D33" s="160" t="str">
        <f>IFERROR(__xludf.DUMMYFUNCTION("""COMPUTED_VALUE"""),"ENCARGAD@ PUEBLOS ORIGINARIOS (1 HRS)")</f>
        <v>ENCARGAD@ PUEBLOS ORIGINARIOS (1 HRS)</v>
      </c>
      <c r="E33" s="161">
        <f>IFERROR(__xludf.DUMMYFUNCTION("""COMPUTED_VALUE"""),1.0)</f>
        <v>1</v>
      </c>
      <c r="F33" s="154" t="str">
        <f>IFERROR(__xludf.DUMMYFUNCTION("""COMPUTED_VALUE"""),"SI")</f>
        <v>SI</v>
      </c>
      <c r="G33" s="155"/>
      <c r="H33" s="156"/>
    </row>
    <row r="34" ht="26.25" customHeight="1">
      <c r="A34" s="157" t="str">
        <f>IFERROR(__xludf.DUMMYFUNCTION("""COMPUTED_VALUE"""),"GES_032")</f>
        <v>GES_032</v>
      </c>
      <c r="B34" s="158" t="str">
        <f>IFERROR(__xludf.DUMMYFUNCTION("""COMPUTED_VALUE"""),"GESTION")</f>
        <v>GESTION</v>
      </c>
      <c r="C34" s="159" t="str">
        <f>IFERROR(__xludf.DUMMYFUNCTION("""COMPUTED_VALUE"""),"DERECHOS Y DEBERES")</f>
        <v>DERECHOS Y DEBERES</v>
      </c>
      <c r="D34" s="160" t="str">
        <f>IFERROR(__xludf.DUMMYFUNCTION("""COMPUTED_VALUE"""),"ENCARGAD@ PUEBLOS ORIGINARIOS (2 HRS)")</f>
        <v>ENCARGAD@ PUEBLOS ORIGINARIOS (2 HRS)</v>
      </c>
      <c r="E34" s="161">
        <f>IFERROR(__xludf.DUMMYFUNCTION("""COMPUTED_VALUE"""),2.0)</f>
        <v>2</v>
      </c>
      <c r="F34" s="154" t="str">
        <f>IFERROR(__xludf.DUMMYFUNCTION("""COMPUTED_VALUE"""),"SI")</f>
        <v>SI</v>
      </c>
      <c r="G34" s="155"/>
      <c r="H34" s="156"/>
    </row>
    <row r="35" ht="26.25" customHeight="1">
      <c r="A35" s="157" t="str">
        <f>IFERROR(__xludf.DUMMYFUNCTION("""COMPUTED_VALUE"""),"GES_033")</f>
        <v>GES_033</v>
      </c>
      <c r="B35" s="158" t="str">
        <f>IFERROR(__xludf.DUMMYFUNCTION("""COMPUTED_VALUE"""),"GESTION")</f>
        <v>GESTION</v>
      </c>
      <c r="C35" s="159" t="str">
        <f>IFERROR(__xludf.DUMMYFUNCTION("""COMPUTED_VALUE"""),"DERECHOS Y DEBERES")</f>
        <v>DERECHOS Y DEBERES</v>
      </c>
      <c r="D35" s="160" t="str">
        <f>IFERROR(__xludf.DUMMYFUNCTION("""COMPUTED_VALUE"""),"ENCARGAD@ PUEBLOS ORIGINARIOS (8 HRS)")</f>
        <v>ENCARGAD@ PUEBLOS ORIGINARIOS (8 HRS)</v>
      </c>
      <c r="E35" s="161">
        <f>IFERROR(__xludf.DUMMYFUNCTION("""COMPUTED_VALUE"""),8.0)</f>
        <v>8</v>
      </c>
      <c r="F35" s="154" t="str">
        <f>IFERROR(__xludf.DUMMYFUNCTION("""COMPUTED_VALUE"""),"SI")</f>
        <v>SI</v>
      </c>
      <c r="G35" s="155"/>
      <c r="H35" s="156"/>
    </row>
    <row r="36" ht="26.25" customHeight="1">
      <c r="A36" s="157" t="str">
        <f>IFERROR(__xludf.DUMMYFUNCTION("""COMPUTED_VALUE"""),"GES_034")</f>
        <v>GES_034</v>
      </c>
      <c r="B36" s="158" t="str">
        <f>IFERROR(__xludf.DUMMYFUNCTION("""COMPUTED_VALUE"""),"GESTION")</f>
        <v>GESTION</v>
      </c>
      <c r="C36" s="159" t="str">
        <f>IFERROR(__xludf.DUMMYFUNCTION("""COMPUTED_VALUE"""),"FUNCIONARIO")</f>
        <v>FUNCIONARIO</v>
      </c>
      <c r="D36" s="160" t="str">
        <f>IFERROR(__xludf.DUMMYFUNCTION("""COMPUTED_VALUE""")," MIEMBRO SALUDABLEMENTE - CUIDADOS MUTUOS (45 MIN)")</f>
        <v> MIEMBRO SALUDABLEMENTE - CUIDADOS MUTUOS (45 MIN)</v>
      </c>
      <c r="E36" s="161">
        <f>IFERROR(__xludf.DUMMYFUNCTION("""COMPUTED_VALUE"""),0.75)</f>
        <v>0.75</v>
      </c>
      <c r="F36" s="154" t="str">
        <f>IFERROR(__xludf.DUMMYFUNCTION("""COMPUTED_VALUE"""),"SI")</f>
        <v>SI</v>
      </c>
      <c r="G36" s="155"/>
      <c r="H36" s="156"/>
    </row>
    <row r="37" ht="26.25" customHeight="1">
      <c r="A37" s="157" t="str">
        <f>IFERROR(__xludf.DUMMYFUNCTION("""COMPUTED_VALUE"""),"GES_035")</f>
        <v>GES_035</v>
      </c>
      <c r="B37" s="158" t="str">
        <f>IFERROR(__xludf.DUMMYFUNCTION("""COMPUTED_VALUE"""),"GESTION")</f>
        <v>GESTION</v>
      </c>
      <c r="C37" s="159" t="str">
        <f>IFERROR(__xludf.DUMMYFUNCTION("""COMPUTED_VALUE"""),"FUNCIONARIO")</f>
        <v>FUNCIONARIO</v>
      </c>
      <c r="D37" s="160" t="str">
        <f>IFERROR(__xludf.DUMMYFUNCTION("""COMPUTED_VALUE"""),"ENCARGAD@ CAPACITACION (a) (1 HR)")</f>
        <v>ENCARGAD@ CAPACITACION (a) (1 HR)</v>
      </c>
      <c r="E37" s="161">
        <f>IFERROR(__xludf.DUMMYFUNCTION("""COMPUTED_VALUE"""),1.0)</f>
        <v>1</v>
      </c>
      <c r="F37" s="154" t="str">
        <f>IFERROR(__xludf.DUMMYFUNCTION("""COMPUTED_VALUE"""),"SI")</f>
        <v>SI</v>
      </c>
      <c r="G37" s="155"/>
      <c r="H37" s="156"/>
    </row>
    <row r="38" ht="26.25" customHeight="1">
      <c r="A38" s="157" t="str">
        <f>IFERROR(__xludf.DUMMYFUNCTION("""COMPUTED_VALUE"""),"GES_036")</f>
        <v>GES_036</v>
      </c>
      <c r="B38" s="158" t="str">
        <f>IFERROR(__xludf.DUMMYFUNCTION("""COMPUTED_VALUE"""),"GESTION")</f>
        <v>GESTION</v>
      </c>
      <c r="C38" s="159" t="str">
        <f>IFERROR(__xludf.DUMMYFUNCTION("""COMPUTED_VALUE"""),"FUNCIONARIO")</f>
        <v>FUNCIONARIO</v>
      </c>
      <c r="D38" s="160" t="str">
        <f>IFERROR(__xludf.DUMMYFUNCTION("""COMPUTED_VALUE"""),"ENCARGAD@ CAPACITACION (a) (2 HRS)")</f>
        <v>ENCARGAD@ CAPACITACION (a) (2 HRS)</v>
      </c>
      <c r="E38" s="161">
        <f>IFERROR(__xludf.DUMMYFUNCTION("""COMPUTED_VALUE"""),2.0)</f>
        <v>2</v>
      </c>
      <c r="F38" s="154" t="str">
        <f>IFERROR(__xludf.DUMMYFUNCTION("""COMPUTED_VALUE"""),"SI")</f>
        <v>SI</v>
      </c>
      <c r="G38" s="155"/>
      <c r="H38" s="156"/>
    </row>
    <row r="39" ht="26.25" customHeight="1">
      <c r="A39" s="157" t="str">
        <f>IFERROR(__xludf.DUMMYFUNCTION("""COMPUTED_VALUE"""),"GES_037")</f>
        <v>GES_037</v>
      </c>
      <c r="B39" s="158" t="str">
        <f>IFERROR(__xludf.DUMMYFUNCTION("""COMPUTED_VALUE"""),"GESTION")</f>
        <v>GESTION</v>
      </c>
      <c r="C39" s="159" t="str">
        <f>IFERROR(__xludf.DUMMYFUNCTION("""COMPUTED_VALUE"""),"FUNCIONARIO")</f>
        <v>FUNCIONARIO</v>
      </c>
      <c r="D39" s="160" t="str">
        <f>IFERROR(__xludf.DUMMYFUNCTION("""COMPUTED_VALUE"""),"ENCARGAD@ CAPACITACION (a) (3 HRS)")</f>
        <v>ENCARGAD@ CAPACITACION (a) (3 HRS)</v>
      </c>
      <c r="E39" s="161">
        <f>IFERROR(__xludf.DUMMYFUNCTION("""COMPUTED_VALUE"""),3.0)</f>
        <v>3</v>
      </c>
      <c r="F39" s="154" t="str">
        <f>IFERROR(__xludf.DUMMYFUNCTION("""COMPUTED_VALUE"""),"SI")</f>
        <v>SI</v>
      </c>
      <c r="G39" s="155"/>
      <c r="H39" s="156"/>
    </row>
    <row r="40" ht="26.25" customHeight="1">
      <c r="A40" s="157" t="str">
        <f>IFERROR(__xludf.DUMMYFUNCTION("""COMPUTED_VALUE"""),"GES_038")</f>
        <v>GES_038</v>
      </c>
      <c r="B40" s="158" t="str">
        <f>IFERROR(__xludf.DUMMYFUNCTION("""COMPUTED_VALUE"""),"GESTION")</f>
        <v>GESTION</v>
      </c>
      <c r="C40" s="159" t="str">
        <f>IFERROR(__xludf.DUMMYFUNCTION("""COMPUTED_VALUE"""),"FUNCIONARIO")</f>
        <v>FUNCIONARIO</v>
      </c>
      <c r="D40" s="160" t="str">
        <f>IFERROR(__xludf.DUMMYFUNCTION("""COMPUTED_VALUE"""),"ENCARGAD@ CAPACITACION (a) (4 HRS)")</f>
        <v>ENCARGAD@ CAPACITACION (a) (4 HRS)</v>
      </c>
      <c r="E40" s="161">
        <f>IFERROR(__xludf.DUMMYFUNCTION("""COMPUTED_VALUE"""),4.0)</f>
        <v>4</v>
      </c>
      <c r="F40" s="154" t="str">
        <f>IFERROR(__xludf.DUMMYFUNCTION("""COMPUTED_VALUE"""),"SI")</f>
        <v>SI</v>
      </c>
      <c r="G40" s="155"/>
      <c r="H40" s="156"/>
    </row>
    <row r="41" ht="26.25" customHeight="1">
      <c r="A41" s="157" t="str">
        <f>IFERROR(__xludf.DUMMYFUNCTION("""COMPUTED_VALUE"""),"GES_039")</f>
        <v>GES_039</v>
      </c>
      <c r="B41" s="158" t="str">
        <f>IFERROR(__xludf.DUMMYFUNCTION("""COMPUTED_VALUE"""),"GESTION")</f>
        <v>GESTION</v>
      </c>
      <c r="C41" s="159" t="str">
        <f>IFERROR(__xludf.DUMMYFUNCTION("""COMPUTED_VALUE"""),"FUNCIONARIO")</f>
        <v>FUNCIONARIO</v>
      </c>
      <c r="D41" s="160" t="str">
        <f>IFERROR(__xludf.DUMMYFUNCTION("""COMPUTED_VALUE"""),"ENCARGAD@ CAPACITACION (a) (8 HRS)")</f>
        <v>ENCARGAD@ CAPACITACION (a) (8 HRS)</v>
      </c>
      <c r="E41" s="161">
        <f>IFERROR(__xludf.DUMMYFUNCTION("""COMPUTED_VALUE"""),8.0)</f>
        <v>8</v>
      </c>
      <c r="F41" s="154" t="str">
        <f>IFERROR(__xludf.DUMMYFUNCTION("""COMPUTED_VALUE"""),"SI")</f>
        <v>SI</v>
      </c>
      <c r="G41" s="155"/>
      <c r="H41" s="156"/>
    </row>
    <row r="42" ht="26.25" customHeight="1">
      <c r="A42" s="157" t="str">
        <f>IFERROR(__xludf.DUMMYFUNCTION("""COMPUTED_VALUE"""),"GES_040")</f>
        <v>GES_040</v>
      </c>
      <c r="B42" s="158" t="str">
        <f>IFERROR(__xludf.DUMMYFUNCTION("""COMPUTED_VALUE"""),"GESTION")</f>
        <v>GESTION</v>
      </c>
      <c r="C42" s="159" t="str">
        <f>IFERROR(__xludf.DUMMYFUNCTION("""COMPUTED_VALUE"""),"FUNCIONARIO")</f>
        <v>FUNCIONARIO</v>
      </c>
      <c r="D42" s="160" t="str">
        <f>IFERROR(__xludf.DUMMYFUNCTION("""COMPUTED_VALUE"""),"ENCARGAD@ SALUDABLEMENTE - CUIDADOS MUTUOS")</f>
        <v>ENCARGAD@ SALUDABLEMENTE - CUIDADOS MUTUOS</v>
      </c>
      <c r="E42" s="161">
        <f>IFERROR(__xludf.DUMMYFUNCTION("""COMPUTED_VALUE"""),5.0)</f>
        <v>5</v>
      </c>
      <c r="F42" s="154" t="str">
        <f>IFERROR(__xludf.DUMMYFUNCTION("""COMPUTED_VALUE"""),"SI")</f>
        <v>SI</v>
      </c>
      <c r="G42" s="155"/>
      <c r="H42" s="156"/>
    </row>
    <row r="43" ht="26.25" customHeight="1">
      <c r="A43" s="157" t="str">
        <f>IFERROR(__xludf.DUMMYFUNCTION("""COMPUTED_VALUE"""),"GES_041")</f>
        <v>GES_041</v>
      </c>
      <c r="B43" s="158" t="str">
        <f>IFERROR(__xludf.DUMMYFUNCTION("""COMPUTED_VALUE"""),"GESTION")</f>
        <v>GESTION</v>
      </c>
      <c r="C43" s="159" t="str">
        <f>IFERROR(__xludf.DUMMYFUNCTION("""COMPUTED_VALUE"""),"FUNCIONARIO")</f>
        <v>FUNCIONARIO</v>
      </c>
      <c r="D43" s="160" t="str">
        <f>IFERROR(__xludf.DUMMYFUNCTION("""COMPUTED_VALUE"""),"ENCARGAD@ SALUDABLEMENTE - CUIDADOS MUTUOS")</f>
        <v>ENCARGAD@ SALUDABLEMENTE - CUIDADOS MUTUOS</v>
      </c>
      <c r="E43" s="161">
        <f>IFERROR(__xludf.DUMMYFUNCTION("""COMPUTED_VALUE"""),1.0)</f>
        <v>1</v>
      </c>
      <c r="F43" s="154" t="str">
        <f>IFERROR(__xludf.DUMMYFUNCTION("""COMPUTED_VALUE"""),"SI")</f>
        <v>SI</v>
      </c>
      <c r="G43" s="155"/>
      <c r="H43" s="156"/>
    </row>
    <row r="44" ht="26.25" customHeight="1">
      <c r="A44" s="157" t="str">
        <f>IFERROR(__xludf.DUMMYFUNCTION("""COMPUTED_VALUE"""),"GES_042")</f>
        <v>GES_042</v>
      </c>
      <c r="B44" s="158" t="str">
        <f>IFERROR(__xludf.DUMMYFUNCTION("""COMPUTED_VALUE"""),"GESTION")</f>
        <v>GESTION</v>
      </c>
      <c r="C44" s="159" t="str">
        <f>IFERROR(__xludf.DUMMYFUNCTION("""COMPUTED_VALUE"""),"FUNCIONARIO")</f>
        <v>FUNCIONARIO</v>
      </c>
      <c r="D44" s="160" t="str">
        <f>IFERROR(__xludf.DUMMYFUNCTION("""COMPUTED_VALUE"""),"INTEGRANTE CPHS (1 HR)")</f>
        <v>INTEGRANTE CPHS (1 HR)</v>
      </c>
      <c r="E44" s="161">
        <f>IFERROR(__xludf.DUMMYFUNCTION("""COMPUTED_VALUE"""),1.0)</f>
        <v>1</v>
      </c>
      <c r="F44" s="154" t="str">
        <f>IFERROR(__xludf.DUMMYFUNCTION("""COMPUTED_VALUE"""),"SI")</f>
        <v>SI</v>
      </c>
      <c r="G44" s="155"/>
      <c r="H44" s="156"/>
    </row>
    <row r="45" ht="26.25" customHeight="1">
      <c r="A45" s="157" t="str">
        <f>IFERROR(__xludf.DUMMYFUNCTION("""COMPUTED_VALUE"""),"GES_043")</f>
        <v>GES_043</v>
      </c>
      <c r="B45" s="158" t="str">
        <f>IFERROR(__xludf.DUMMYFUNCTION("""COMPUTED_VALUE"""),"GESTION")</f>
        <v>GESTION</v>
      </c>
      <c r="C45" s="159" t="str">
        <f>IFERROR(__xludf.DUMMYFUNCTION("""COMPUTED_VALUE"""),"FUNCIONARIO")</f>
        <v>FUNCIONARIO</v>
      </c>
      <c r="D45" s="160" t="str">
        <f>IFERROR(__xludf.DUMMYFUNCTION("""COMPUTED_VALUE"""),"INTEGRANTE CPHS (30 MIN)")</f>
        <v>INTEGRANTE CPHS (30 MIN)</v>
      </c>
      <c r="E45" s="161">
        <f>IFERROR(__xludf.DUMMYFUNCTION("""COMPUTED_VALUE"""),0.5)</f>
        <v>0.5</v>
      </c>
      <c r="F45" s="154" t="str">
        <f>IFERROR(__xludf.DUMMYFUNCTION("""COMPUTED_VALUE"""),"SI")</f>
        <v>SI</v>
      </c>
      <c r="G45" s="155"/>
      <c r="H45" s="156"/>
    </row>
    <row r="46" ht="26.25" customHeight="1">
      <c r="A46" s="157" t="str">
        <f>IFERROR(__xludf.DUMMYFUNCTION("""COMPUTED_VALUE"""),"GES_044")</f>
        <v>GES_044</v>
      </c>
      <c r="B46" s="158" t="str">
        <f>IFERROR(__xludf.DUMMYFUNCTION("""COMPUTED_VALUE"""),"GESTION")</f>
        <v>GESTION</v>
      </c>
      <c r="C46" s="159" t="str">
        <f>IFERROR(__xludf.DUMMYFUNCTION("""COMPUTED_VALUE"""),"GESTION CLINICA")</f>
        <v>GESTION CLINICA</v>
      </c>
      <c r="D46" s="160" t="str">
        <f>IFERROR(__xludf.DUMMYFUNCTION("""COMPUTED_VALUE"""),"CONSOLIDADO CENSO (2 HORAS)")</f>
        <v>CONSOLIDADO CENSO (2 HORAS)</v>
      </c>
      <c r="E46" s="161">
        <f>IFERROR(__xludf.DUMMYFUNCTION("""COMPUTED_VALUE"""),2.0)</f>
        <v>2</v>
      </c>
      <c r="F46" s="154" t="str">
        <f>IFERROR(__xludf.DUMMYFUNCTION("""COMPUTED_VALUE"""),"SI")</f>
        <v>SI</v>
      </c>
      <c r="G46" s="155"/>
      <c r="H46" s="156"/>
    </row>
    <row r="47" ht="26.25" customHeight="1">
      <c r="A47" s="157" t="str">
        <f>IFERROR(__xludf.DUMMYFUNCTION("""COMPUTED_VALUE"""),"GES_045")</f>
        <v>GES_045</v>
      </c>
      <c r="B47" s="158" t="str">
        <f>IFERROR(__xludf.DUMMYFUNCTION("""COMPUTED_VALUE"""),"GESTION")</f>
        <v>GESTION</v>
      </c>
      <c r="C47" s="159" t="str">
        <f>IFERROR(__xludf.DUMMYFUNCTION("""COMPUTED_VALUE"""),"GESTION CLINICA")</f>
        <v>GESTION CLINICA</v>
      </c>
      <c r="D47" s="160" t="str">
        <f>IFERROR(__xludf.DUMMYFUNCTION("""COMPUTED_VALUE"""),"CONTRALOR MEDICO (11 HORAS)")</f>
        <v>CONTRALOR MEDICO (11 HORAS)</v>
      </c>
      <c r="E47" s="161">
        <f>IFERROR(__xludf.DUMMYFUNCTION("""COMPUTED_VALUE"""),11.0)</f>
        <v>11</v>
      </c>
      <c r="F47" s="154" t="str">
        <f>IFERROR(__xludf.DUMMYFUNCTION("""COMPUTED_VALUE"""),"SI")</f>
        <v>SI</v>
      </c>
      <c r="G47" s="155"/>
      <c r="H47" s="156"/>
    </row>
    <row r="48" ht="26.25" customHeight="1">
      <c r="A48" s="157" t="str">
        <f>IFERROR(__xludf.DUMMYFUNCTION("""COMPUTED_VALUE"""),"GES_046")</f>
        <v>GES_046</v>
      </c>
      <c r="B48" s="158" t="str">
        <f>IFERROR(__xludf.DUMMYFUNCTION("""COMPUTED_VALUE"""),"GESTION")</f>
        <v>GESTION</v>
      </c>
      <c r="C48" s="159" t="str">
        <f>IFERROR(__xludf.DUMMYFUNCTION("""COMPUTED_VALUE"""),"GESTION CLINICA")</f>
        <v>GESTION CLINICA</v>
      </c>
      <c r="D48" s="160" t="str">
        <f>IFERROR(__xludf.DUMMYFUNCTION("""COMPUTED_VALUE"""),"CONTRALOR MEDICO (4 HORAS)")</f>
        <v>CONTRALOR MEDICO (4 HORAS)</v>
      </c>
      <c r="E48" s="161">
        <f>IFERROR(__xludf.DUMMYFUNCTION("""COMPUTED_VALUE"""),4.0)</f>
        <v>4</v>
      </c>
      <c r="F48" s="154" t="str">
        <f>IFERROR(__xludf.DUMMYFUNCTION("""COMPUTED_VALUE"""),"SI")</f>
        <v>SI</v>
      </c>
      <c r="G48" s="155"/>
      <c r="H48" s="156"/>
    </row>
    <row r="49" ht="26.25" customHeight="1">
      <c r="A49" s="157" t="str">
        <f>IFERROR(__xludf.DUMMYFUNCTION("""COMPUTED_VALUE"""),"GES_047")</f>
        <v>GES_047</v>
      </c>
      <c r="B49" s="158" t="str">
        <f>IFERROR(__xludf.DUMMYFUNCTION("""COMPUTED_VALUE"""),"GESTION")</f>
        <v>GESTION</v>
      </c>
      <c r="C49" s="159" t="str">
        <f>IFERROR(__xludf.DUMMYFUNCTION("""COMPUTED_VALUE"""),"GESTION CLINICA")</f>
        <v>GESTION CLINICA</v>
      </c>
      <c r="D49" s="160" t="str">
        <f>IFERROR(__xludf.DUMMYFUNCTION("""COMPUTED_VALUE"""),"CONTRALOR MEDICO (5 HORAS)")</f>
        <v>CONTRALOR MEDICO (5 HORAS)</v>
      </c>
      <c r="E49" s="161">
        <f>IFERROR(__xludf.DUMMYFUNCTION("""COMPUTED_VALUE"""),5.0)</f>
        <v>5</v>
      </c>
      <c r="F49" s="154" t="str">
        <f>IFERROR(__xludf.DUMMYFUNCTION("""COMPUTED_VALUE"""),"SI")</f>
        <v>SI</v>
      </c>
      <c r="G49" s="155"/>
      <c r="H49" s="156"/>
    </row>
    <row r="50" ht="26.25" customHeight="1">
      <c r="A50" s="157" t="str">
        <f>IFERROR(__xludf.DUMMYFUNCTION("""COMPUTED_VALUE"""),"GES_048")</f>
        <v>GES_048</v>
      </c>
      <c r="B50" s="158" t="str">
        <f>IFERROR(__xludf.DUMMYFUNCTION("""COMPUTED_VALUE"""),"GESTION")</f>
        <v>GESTION</v>
      </c>
      <c r="C50" s="159" t="str">
        <f>IFERROR(__xludf.DUMMYFUNCTION("""COMPUTED_VALUE"""),"GESTION CLINICA")</f>
        <v>GESTION CLINICA</v>
      </c>
      <c r="D50" s="160" t="str">
        <f>IFERROR(__xludf.DUMMYFUNCTION("""COMPUTED_VALUE"""),"CONTRALOR MEDICO (8 HORAS)")</f>
        <v>CONTRALOR MEDICO (8 HORAS)</v>
      </c>
      <c r="E50" s="161">
        <f>IFERROR(__xludf.DUMMYFUNCTION("""COMPUTED_VALUE"""),8.0)</f>
        <v>8</v>
      </c>
      <c r="F50" s="154" t="str">
        <f>IFERROR(__xludf.DUMMYFUNCTION("""COMPUTED_VALUE"""),"SI")</f>
        <v>SI</v>
      </c>
      <c r="G50" s="155"/>
      <c r="H50" s="156"/>
    </row>
    <row r="51" ht="26.25" customHeight="1">
      <c r="A51" s="157" t="str">
        <f>IFERROR(__xludf.DUMMYFUNCTION("""COMPUTED_VALUE"""),"GES_049")</f>
        <v>GES_049</v>
      </c>
      <c r="B51" s="158" t="str">
        <f>IFERROR(__xludf.DUMMYFUNCTION("""COMPUTED_VALUE"""),"GESTION")</f>
        <v>GESTION</v>
      </c>
      <c r="C51" s="159" t="str">
        <f>IFERROR(__xludf.DUMMYFUNCTION("""COMPUTED_VALUE"""),"GESTION CLINICA")</f>
        <v>GESTION CLINICA</v>
      </c>
      <c r="D51" s="160" t="str">
        <f>IFERROR(__xludf.DUMMYFUNCTION("""COMPUTED_VALUE"""),"CONTRALOR ODONTOLOGICO (2 HORAS)")</f>
        <v>CONTRALOR ODONTOLOGICO (2 HORAS)</v>
      </c>
      <c r="E51" s="161">
        <f>IFERROR(__xludf.DUMMYFUNCTION("""COMPUTED_VALUE"""),2.0)</f>
        <v>2</v>
      </c>
      <c r="F51" s="154" t="str">
        <f>IFERROR(__xludf.DUMMYFUNCTION("""COMPUTED_VALUE"""),"SI")</f>
        <v>SI</v>
      </c>
      <c r="G51" s="155"/>
      <c r="H51" s="156"/>
    </row>
    <row r="52" ht="26.25" customHeight="1">
      <c r="A52" s="157" t="str">
        <f>IFERROR(__xludf.DUMMYFUNCTION("""COMPUTED_VALUE"""),"GES_050")</f>
        <v>GES_050</v>
      </c>
      <c r="B52" s="158" t="str">
        <f>IFERROR(__xludf.DUMMYFUNCTION("""COMPUTED_VALUE"""),"GESTION")</f>
        <v>GESTION</v>
      </c>
      <c r="C52" s="159" t="str">
        <f>IFERROR(__xludf.DUMMYFUNCTION("""COMPUTED_VALUE"""),"GESTION CLINICA")</f>
        <v>GESTION CLINICA</v>
      </c>
      <c r="D52" s="160" t="str">
        <f>IFERROR(__xludf.DUMMYFUNCTION("""COMPUTED_VALUE"""),"CONTRALOR ODONTOLOGICO (2 HORAS)")</f>
        <v>CONTRALOR ODONTOLOGICO (2 HORAS)</v>
      </c>
      <c r="E52" s="161">
        <f>IFERROR(__xludf.DUMMYFUNCTION("""COMPUTED_VALUE"""),2.0)</f>
        <v>2</v>
      </c>
      <c r="F52" s="154" t="str">
        <f>IFERROR(__xludf.DUMMYFUNCTION("""COMPUTED_VALUE"""),"SI")</f>
        <v>SI</v>
      </c>
      <c r="G52" s="155"/>
      <c r="H52" s="156"/>
    </row>
    <row r="53" ht="26.25" customHeight="1">
      <c r="A53" s="157" t="str">
        <f>IFERROR(__xludf.DUMMYFUNCTION("""COMPUTED_VALUE"""),"GES_051")</f>
        <v>GES_051</v>
      </c>
      <c r="B53" s="158" t="str">
        <f>IFERROR(__xludf.DUMMYFUNCTION("""COMPUTED_VALUE"""),"GESTION")</f>
        <v>GESTION</v>
      </c>
      <c r="C53" s="159" t="str">
        <f>IFERROR(__xludf.DUMMYFUNCTION("""COMPUTED_VALUE"""),"GESTION CLINICA")</f>
        <v>GESTION CLINICA</v>
      </c>
      <c r="D53" s="160" t="str">
        <f>IFERROR(__xludf.DUMMYFUNCTION("""COMPUTED_VALUE"""),"ENCARGAD@ CLIMATERIO")</f>
        <v>ENCARGAD@ CLIMATERIO</v>
      </c>
      <c r="E53" s="161">
        <f>IFERROR(__xludf.DUMMYFUNCTION("""COMPUTED_VALUE"""),2.0)</f>
        <v>2</v>
      </c>
      <c r="F53" s="154" t="str">
        <f>IFERROR(__xludf.DUMMYFUNCTION("""COMPUTED_VALUE"""),"SI")</f>
        <v>SI</v>
      </c>
      <c r="G53" s="155"/>
      <c r="H53" s="156"/>
    </row>
    <row r="54" ht="26.25" customHeight="1">
      <c r="A54" s="157" t="str">
        <f>IFERROR(__xludf.DUMMYFUNCTION("""COMPUTED_VALUE"""),"GES_052")</f>
        <v>GES_052</v>
      </c>
      <c r="B54" s="158" t="str">
        <f>IFERROR(__xludf.DUMMYFUNCTION("""COMPUTED_VALUE"""),"GESTION")</f>
        <v>GESTION</v>
      </c>
      <c r="C54" s="159" t="str">
        <f>IFERROR(__xludf.DUMMYFUNCTION("""COMPUTED_VALUE"""),"GESTION CLINICA")</f>
        <v>GESTION CLINICA</v>
      </c>
      <c r="D54" s="160" t="str">
        <f>IFERROR(__xludf.DUMMYFUNCTION("""COMPUTED_VALUE"""),"ENCARGAD@ COORDINACION MEDICA (MEDICAM CONTROLADOS)")</f>
        <v>ENCARGAD@ COORDINACION MEDICA (MEDICAM CONTROLADOS)</v>
      </c>
      <c r="E54" s="161">
        <f>IFERROR(__xludf.DUMMYFUNCTION("""COMPUTED_VALUE"""),2.0)</f>
        <v>2</v>
      </c>
      <c r="F54" s="154" t="str">
        <f>IFERROR(__xludf.DUMMYFUNCTION("""COMPUTED_VALUE"""),"SI")</f>
        <v>SI</v>
      </c>
      <c r="G54" s="155"/>
      <c r="H54" s="156"/>
    </row>
    <row r="55" ht="26.25" customHeight="1">
      <c r="A55" s="157" t="str">
        <f>IFERROR(__xludf.DUMMYFUNCTION("""COMPUTED_VALUE"""),"GES_053")</f>
        <v>GES_053</v>
      </c>
      <c r="B55" s="158" t="str">
        <f>IFERROR(__xludf.DUMMYFUNCTION("""COMPUTED_VALUE"""),"GESTION")</f>
        <v>GESTION</v>
      </c>
      <c r="C55" s="159" t="str">
        <f>IFERROR(__xludf.DUMMYFUNCTION("""COMPUTED_VALUE"""),"GESTION CLINICA")</f>
        <v>GESTION CLINICA</v>
      </c>
      <c r="D55" s="160" t="str">
        <f>IFERROR(__xludf.DUMMYFUNCTION("""COMPUTED_VALUE"""),"ENCARGAD@ GESTION DEMANDA + LISTA ESPERA")</f>
        <v>ENCARGAD@ GESTION DEMANDA + LISTA ESPERA</v>
      </c>
      <c r="E55" s="161">
        <f>IFERROR(__xludf.DUMMYFUNCTION("""COMPUTED_VALUE"""),44.0)</f>
        <v>44</v>
      </c>
      <c r="F55" s="154" t="str">
        <f>IFERROR(__xludf.DUMMYFUNCTION("""COMPUTED_VALUE"""),"SI")</f>
        <v>SI</v>
      </c>
      <c r="G55" s="155"/>
      <c r="H55" s="156"/>
    </row>
    <row r="56" ht="26.25" customHeight="1">
      <c r="A56" s="157" t="str">
        <f>IFERROR(__xludf.DUMMYFUNCTION("""COMPUTED_VALUE"""),"GES_054")</f>
        <v>GES_054</v>
      </c>
      <c r="B56" s="158" t="str">
        <f>IFERROR(__xludf.DUMMYFUNCTION("""COMPUTED_VALUE"""),"GESTION")</f>
        <v>GESTION</v>
      </c>
      <c r="C56" s="159" t="str">
        <f>IFERROR(__xludf.DUMMYFUNCTION("""COMPUTED_VALUE"""),"GESTION CLINICA")</f>
        <v>GESTION CLINICA</v>
      </c>
      <c r="D56" s="160" t="str">
        <f>IFERROR(__xludf.DUMMYFUNCTION("""COMPUTED_VALUE"""),"ENCARGAD@ HOSPITAL DIGITAL (2 HRS)")</f>
        <v>ENCARGAD@ HOSPITAL DIGITAL (2 HRS)</v>
      </c>
      <c r="E56" s="161">
        <f>IFERROR(__xludf.DUMMYFUNCTION("""COMPUTED_VALUE"""),2.0)</f>
        <v>2</v>
      </c>
      <c r="F56" s="154" t="str">
        <f>IFERROR(__xludf.DUMMYFUNCTION("""COMPUTED_VALUE"""),"SI")</f>
        <v>SI</v>
      </c>
      <c r="G56" s="155"/>
      <c r="H56" s="156"/>
    </row>
    <row r="57" ht="26.25" customHeight="1">
      <c r="A57" s="157" t="str">
        <f>IFERROR(__xludf.DUMMYFUNCTION("""COMPUTED_VALUE"""),"GES_055")</f>
        <v>GES_055</v>
      </c>
      <c r="B57" s="158" t="str">
        <f>IFERROR(__xludf.DUMMYFUNCTION("""COMPUTED_VALUE"""),"GESTION")</f>
        <v>GESTION</v>
      </c>
      <c r="C57" s="159" t="str">
        <f>IFERROR(__xludf.DUMMYFUNCTION("""COMPUTED_VALUE"""),"GESTION CLINICA")</f>
        <v>GESTION CLINICA</v>
      </c>
      <c r="D57" s="160" t="str">
        <f>IFERROR(__xludf.DUMMYFUNCTION("""COMPUTED_VALUE"""),"ENCARGAD@ HOSPITAL DIGITAL (3 HRS)")</f>
        <v>ENCARGAD@ HOSPITAL DIGITAL (3 HRS)</v>
      </c>
      <c r="E57" s="161">
        <f>IFERROR(__xludf.DUMMYFUNCTION("""COMPUTED_VALUE"""),3.0)</f>
        <v>3</v>
      </c>
      <c r="F57" s="154" t="str">
        <f>IFERROR(__xludf.DUMMYFUNCTION("""COMPUTED_VALUE"""),"SI")</f>
        <v>SI</v>
      </c>
      <c r="G57" s="155"/>
      <c r="H57" s="156"/>
    </row>
    <row r="58" ht="26.25" customHeight="1">
      <c r="A58" s="157" t="str">
        <f>IFERROR(__xludf.DUMMYFUNCTION("""COMPUTED_VALUE"""),"GES_056")</f>
        <v>GES_056</v>
      </c>
      <c r="B58" s="158" t="str">
        <f>IFERROR(__xludf.DUMMYFUNCTION("""COMPUTED_VALUE"""),"GESTION")</f>
        <v>GESTION</v>
      </c>
      <c r="C58" s="159" t="str">
        <f>IFERROR(__xludf.DUMMYFUNCTION("""COMPUTED_VALUE"""),"GESTION CLINICA")</f>
        <v>GESTION CLINICA</v>
      </c>
      <c r="D58" s="160" t="str">
        <f>IFERROR(__xludf.DUMMYFUNCTION("""COMPUTED_VALUE"""),"ENCARGAD@ HOSPITAL DIGITAL (44 HRS)")</f>
        <v>ENCARGAD@ HOSPITAL DIGITAL (44 HRS)</v>
      </c>
      <c r="E58" s="161">
        <f>IFERROR(__xludf.DUMMYFUNCTION("""COMPUTED_VALUE"""),44.0)</f>
        <v>44</v>
      </c>
      <c r="F58" s="154" t="str">
        <f>IFERROR(__xludf.DUMMYFUNCTION("""COMPUTED_VALUE"""),"SI")</f>
        <v>SI</v>
      </c>
      <c r="G58" s="155"/>
      <c r="H58" s="156"/>
    </row>
    <row r="59" ht="26.25" customHeight="1">
      <c r="A59" s="157" t="str">
        <f>IFERROR(__xludf.DUMMYFUNCTION("""COMPUTED_VALUE"""),"GES_057")</f>
        <v>GES_057</v>
      </c>
      <c r="B59" s="158" t="str">
        <f>IFERROR(__xludf.DUMMYFUNCTION("""COMPUTED_VALUE"""),"GESTION")</f>
        <v>GESTION</v>
      </c>
      <c r="C59" s="159" t="str">
        <f>IFERROR(__xludf.DUMMYFUNCTION("""COMPUTED_VALUE"""),"GESTION CLINICA")</f>
        <v>GESTION CLINICA</v>
      </c>
      <c r="D59" s="160" t="str">
        <f>IFERROR(__xludf.DUMMYFUNCTION("""COMPUTED_VALUE"""),"ENCARGAD@ MONITOR GES (11 HORAS)")</f>
        <v>ENCARGAD@ MONITOR GES (11 HORAS)</v>
      </c>
      <c r="E59" s="161">
        <f>IFERROR(__xludf.DUMMYFUNCTION("""COMPUTED_VALUE"""),11.0)</f>
        <v>11</v>
      </c>
      <c r="F59" s="154" t="str">
        <f>IFERROR(__xludf.DUMMYFUNCTION("""COMPUTED_VALUE"""),"SI")</f>
        <v>SI</v>
      </c>
      <c r="G59" s="155"/>
      <c r="H59" s="156"/>
    </row>
    <row r="60" ht="26.25" customHeight="1">
      <c r="A60" s="157" t="str">
        <f>IFERROR(__xludf.DUMMYFUNCTION("""COMPUTED_VALUE"""),"GES_058")</f>
        <v>GES_058</v>
      </c>
      <c r="B60" s="158" t="str">
        <f>IFERROR(__xludf.DUMMYFUNCTION("""COMPUTED_VALUE"""),"GESTION")</f>
        <v>GESTION</v>
      </c>
      <c r="C60" s="159" t="str">
        <f>IFERROR(__xludf.DUMMYFUNCTION("""COMPUTED_VALUE"""),"GESTION CLINICA")</f>
        <v>GESTION CLINICA</v>
      </c>
      <c r="D60" s="160" t="str">
        <f>IFERROR(__xludf.DUMMYFUNCTION("""COMPUTED_VALUE"""),"ENCARGAD@ MONITOR GES (22 HORAS)")</f>
        <v>ENCARGAD@ MONITOR GES (22 HORAS)</v>
      </c>
      <c r="E60" s="161">
        <f>IFERROR(__xludf.DUMMYFUNCTION("""COMPUTED_VALUE"""),22.0)</f>
        <v>22</v>
      </c>
      <c r="F60" s="154" t="str">
        <f>IFERROR(__xludf.DUMMYFUNCTION("""COMPUTED_VALUE"""),"SI")</f>
        <v>SI</v>
      </c>
      <c r="G60" s="155"/>
      <c r="H60" s="156"/>
    </row>
    <row r="61" ht="26.25" customHeight="1">
      <c r="A61" s="157" t="str">
        <f>IFERROR(__xludf.DUMMYFUNCTION("""COMPUTED_VALUE"""),"GES_059")</f>
        <v>GES_059</v>
      </c>
      <c r="B61" s="158" t="str">
        <f>IFERROR(__xludf.DUMMYFUNCTION("""COMPUTED_VALUE"""),"GESTION")</f>
        <v>GESTION</v>
      </c>
      <c r="C61" s="159" t="str">
        <f>IFERROR(__xludf.DUMMYFUNCTION("""COMPUTED_VALUE"""),"GESTION CLINICA")</f>
        <v>GESTION CLINICA</v>
      </c>
      <c r="D61" s="160" t="str">
        <f>IFERROR(__xludf.DUMMYFUNCTION("""COMPUTED_VALUE"""),"ENCARGAD@ MONITOR GES (5 HORAS)")</f>
        <v>ENCARGAD@ MONITOR GES (5 HORAS)</v>
      </c>
      <c r="E61" s="161">
        <f>IFERROR(__xludf.DUMMYFUNCTION("""COMPUTED_VALUE"""),5.0)</f>
        <v>5</v>
      </c>
      <c r="F61" s="154" t="str">
        <f>IFERROR(__xludf.DUMMYFUNCTION("""COMPUTED_VALUE"""),"SI")</f>
        <v>SI</v>
      </c>
      <c r="G61" s="155"/>
      <c r="H61" s="156"/>
    </row>
    <row r="62" ht="26.25" customHeight="1">
      <c r="A62" s="157" t="str">
        <f>IFERROR(__xludf.DUMMYFUNCTION("""COMPUTED_VALUE"""),"GES_060")</f>
        <v>GES_060</v>
      </c>
      <c r="B62" s="158" t="str">
        <f>IFERROR(__xludf.DUMMYFUNCTION("""COMPUTED_VALUE"""),"GESTION")</f>
        <v>GESTION</v>
      </c>
      <c r="C62" s="159" t="str">
        <f>IFERROR(__xludf.DUMMYFUNCTION("""COMPUTED_VALUE"""),"GESTION CLINICA")</f>
        <v>GESTION CLINICA</v>
      </c>
      <c r="D62" s="160" t="str">
        <f>IFERROR(__xludf.DUMMYFUNCTION("""COMPUTED_VALUE"""),"ENCARGAD@ PROGRAMA CALIDAD (16 HORAS)")</f>
        <v>ENCARGAD@ PROGRAMA CALIDAD (16 HORAS)</v>
      </c>
      <c r="E62" s="161">
        <f>IFERROR(__xludf.DUMMYFUNCTION("""COMPUTED_VALUE"""),16.0)</f>
        <v>16</v>
      </c>
      <c r="F62" s="154" t="str">
        <f>IFERROR(__xludf.DUMMYFUNCTION("""COMPUTED_VALUE"""),"SI")</f>
        <v>SI</v>
      </c>
      <c r="G62" s="155"/>
      <c r="H62" s="156"/>
    </row>
    <row r="63" ht="26.25" customHeight="1">
      <c r="A63" s="157" t="str">
        <f>IFERROR(__xludf.DUMMYFUNCTION("""COMPUTED_VALUE"""),"GES_061")</f>
        <v>GES_061</v>
      </c>
      <c r="B63" s="158" t="str">
        <f>IFERROR(__xludf.DUMMYFUNCTION("""COMPUTED_VALUE"""),"GESTION")</f>
        <v>GESTION</v>
      </c>
      <c r="C63" s="159" t="str">
        <f>IFERROR(__xludf.DUMMYFUNCTION("""COMPUTED_VALUE"""),"GESTION CLINICA")</f>
        <v>GESTION CLINICA</v>
      </c>
      <c r="D63" s="160" t="str">
        <f>IFERROR(__xludf.DUMMYFUNCTION("""COMPUTED_VALUE"""),"ENCARGAD@ PROGRAMA CALIDAD (21 HORAS)")</f>
        <v>ENCARGAD@ PROGRAMA CALIDAD (21 HORAS)</v>
      </c>
      <c r="E63" s="161">
        <f>IFERROR(__xludf.DUMMYFUNCTION("""COMPUTED_VALUE"""),21.0)</f>
        <v>21</v>
      </c>
      <c r="F63" s="154" t="str">
        <f>IFERROR(__xludf.DUMMYFUNCTION("""COMPUTED_VALUE"""),"SI")</f>
        <v>SI</v>
      </c>
      <c r="G63" s="155"/>
      <c r="H63" s="156"/>
    </row>
    <row r="64" ht="26.25" customHeight="1">
      <c r="A64" s="157" t="str">
        <f>IFERROR(__xludf.DUMMYFUNCTION("""COMPUTED_VALUE"""),"GES_062")</f>
        <v>GES_062</v>
      </c>
      <c r="B64" s="158" t="str">
        <f>IFERROR(__xludf.DUMMYFUNCTION("""COMPUTED_VALUE"""),"GESTION")</f>
        <v>GESTION</v>
      </c>
      <c r="C64" s="159" t="str">
        <f>IFERROR(__xludf.DUMMYFUNCTION("""COMPUTED_VALUE"""),"GESTION CLINICA")</f>
        <v>GESTION CLINICA</v>
      </c>
      <c r="D64" s="160" t="str">
        <f>IFERROR(__xludf.DUMMYFUNCTION("""COMPUTED_VALUE"""),"ENCARGAD@ PROGRAMA CALIDAD (22 HORAS)")</f>
        <v>ENCARGAD@ PROGRAMA CALIDAD (22 HORAS)</v>
      </c>
      <c r="E64" s="161">
        <f>IFERROR(__xludf.DUMMYFUNCTION("""COMPUTED_VALUE"""),22.0)</f>
        <v>22</v>
      </c>
      <c r="F64" s="154" t="str">
        <f>IFERROR(__xludf.DUMMYFUNCTION("""COMPUTED_VALUE"""),"SI")</f>
        <v>SI</v>
      </c>
      <c r="G64" s="155"/>
      <c r="H64" s="156"/>
    </row>
    <row r="65" ht="26.25" customHeight="1">
      <c r="A65" s="157" t="str">
        <f>IFERROR(__xludf.DUMMYFUNCTION("""COMPUTED_VALUE"""),"GES_063")</f>
        <v>GES_063</v>
      </c>
      <c r="B65" s="158" t="str">
        <f>IFERROR(__xludf.DUMMYFUNCTION("""COMPUTED_VALUE"""),"GESTION")</f>
        <v>GESTION</v>
      </c>
      <c r="C65" s="159" t="str">
        <f>IFERROR(__xludf.DUMMYFUNCTION("""COMPUTED_VALUE"""),"GESTION CLINICA")</f>
        <v>GESTION CLINICA</v>
      </c>
      <c r="D65" s="160" t="str">
        <f>IFERROR(__xludf.DUMMYFUNCTION("""COMPUTED_VALUE"""),"ENCARGAD@ PROGRAMA CALIDAD (33 HORAS)")</f>
        <v>ENCARGAD@ PROGRAMA CALIDAD (33 HORAS)</v>
      </c>
      <c r="E65" s="161">
        <f>IFERROR(__xludf.DUMMYFUNCTION("""COMPUTED_VALUE"""),33.0)</f>
        <v>33</v>
      </c>
      <c r="F65" s="154" t="str">
        <f>IFERROR(__xludf.DUMMYFUNCTION("""COMPUTED_VALUE"""),"SI")</f>
        <v>SI</v>
      </c>
      <c r="G65" s="155"/>
      <c r="H65" s="156"/>
    </row>
    <row r="66" ht="26.25" customHeight="1">
      <c r="A66" s="157" t="str">
        <f>IFERROR(__xludf.DUMMYFUNCTION("""COMPUTED_VALUE"""),"GES_064")</f>
        <v>GES_064</v>
      </c>
      <c r="B66" s="158" t="str">
        <f>IFERROR(__xludf.DUMMYFUNCTION("""COMPUTED_VALUE"""),"GESTION")</f>
        <v>GESTION</v>
      </c>
      <c r="C66" s="159" t="str">
        <f>IFERROR(__xludf.DUMMYFUNCTION("""COMPUTED_VALUE"""),"GESTION CLINICA")</f>
        <v>GESTION CLINICA</v>
      </c>
      <c r="D66" s="160" t="str">
        <f>IFERROR(__xludf.DUMMYFUNCTION("""COMPUTED_VALUE"""),"ENCARGAD@ PROGRAMA CALIDAD (36 HORAS)")</f>
        <v>ENCARGAD@ PROGRAMA CALIDAD (36 HORAS)</v>
      </c>
      <c r="E66" s="161">
        <f>IFERROR(__xludf.DUMMYFUNCTION("""COMPUTED_VALUE"""),36.0)</f>
        <v>36</v>
      </c>
      <c r="F66" s="154" t="str">
        <f>IFERROR(__xludf.DUMMYFUNCTION("""COMPUTED_VALUE"""),"SI")</f>
        <v>SI</v>
      </c>
      <c r="G66" s="155"/>
      <c r="H66" s="156"/>
    </row>
    <row r="67" ht="26.25" customHeight="1">
      <c r="A67" s="157" t="str">
        <f>IFERROR(__xludf.DUMMYFUNCTION("""COMPUTED_VALUE"""),"GES_065")</f>
        <v>GES_065</v>
      </c>
      <c r="B67" s="158" t="str">
        <f>IFERROR(__xludf.DUMMYFUNCTION("""COMPUTED_VALUE"""),"GESTION")</f>
        <v>GESTION</v>
      </c>
      <c r="C67" s="159" t="str">
        <f>IFERROR(__xludf.DUMMYFUNCTION("""COMPUTED_VALUE"""),"GESTION CLINICA")</f>
        <v>GESTION CLINICA</v>
      </c>
      <c r="D67" s="160" t="str">
        <f>IFERROR(__xludf.DUMMYFUNCTION("""COMPUTED_VALUE"""),"ENCARGAD@ PROGRAMA CALIDAD (44 HORAS)")</f>
        <v>ENCARGAD@ PROGRAMA CALIDAD (44 HORAS)</v>
      </c>
      <c r="E67" s="161">
        <f>IFERROR(__xludf.DUMMYFUNCTION("""COMPUTED_VALUE"""),44.0)</f>
        <v>44</v>
      </c>
      <c r="F67" s="154" t="str">
        <f>IFERROR(__xludf.DUMMYFUNCTION("""COMPUTED_VALUE"""),"SI")</f>
        <v>SI</v>
      </c>
      <c r="G67" s="155"/>
      <c r="H67" s="156"/>
    </row>
    <row r="68" ht="26.25" customHeight="1">
      <c r="A68" s="157" t="str">
        <f>IFERROR(__xludf.DUMMYFUNCTION("""COMPUTED_VALUE"""),"GES_066")</f>
        <v>GES_066</v>
      </c>
      <c r="B68" s="158" t="str">
        <f>IFERROR(__xludf.DUMMYFUNCTION("""COMPUTED_VALUE"""),"GESTION")</f>
        <v>GESTION</v>
      </c>
      <c r="C68" s="159" t="str">
        <f>IFERROR(__xludf.DUMMYFUNCTION("""COMPUTED_VALUE"""),"GESTION CLINICA")</f>
        <v>GESTION CLINICA</v>
      </c>
      <c r="D68" s="160" t="str">
        <f>IFERROR(__xludf.DUMMYFUNCTION("""COMPUTED_VALUE"""),"GES 6 AÑOS (1 HR)")</f>
        <v>GES 6 AÑOS (1 HR)</v>
      </c>
      <c r="E68" s="161">
        <f>IFERROR(__xludf.DUMMYFUNCTION("""COMPUTED_VALUE"""),1.0)</f>
        <v>1</v>
      </c>
      <c r="F68" s="154" t="str">
        <f>IFERROR(__xludf.DUMMYFUNCTION("""COMPUTED_VALUE"""),"SI")</f>
        <v>SI</v>
      </c>
      <c r="G68" s="155"/>
      <c r="H68" s="156"/>
    </row>
    <row r="69" ht="26.25" customHeight="1">
      <c r="A69" s="157" t="str">
        <f>IFERROR(__xludf.DUMMYFUNCTION("""COMPUTED_VALUE"""),"GES_067")</f>
        <v>GES_067</v>
      </c>
      <c r="B69" s="158" t="str">
        <f>IFERROR(__xludf.DUMMYFUNCTION("""COMPUTED_VALUE"""),"GESTION")</f>
        <v>GESTION</v>
      </c>
      <c r="C69" s="159" t="str">
        <f>IFERROR(__xludf.DUMMYFUNCTION("""COMPUTED_VALUE"""),"GESTION CLINICA")</f>
        <v>GESTION CLINICA</v>
      </c>
      <c r="D69" s="160" t="str">
        <f>IFERROR(__xludf.DUMMYFUNCTION("""COMPUTED_VALUE"""),"GESTION DE REGISTROS (1 dia)")</f>
        <v>GESTION DE REGISTROS (1 dia)</v>
      </c>
      <c r="E69" s="161">
        <f>IFERROR(__xludf.DUMMYFUNCTION("""COMPUTED_VALUE"""),0.5)</f>
        <v>0.5</v>
      </c>
      <c r="F69" s="154" t="str">
        <f>IFERROR(__xludf.DUMMYFUNCTION("""COMPUTED_VALUE"""),"SI")</f>
        <v>SI</v>
      </c>
      <c r="G69" s="155"/>
      <c r="H69" s="156"/>
    </row>
    <row r="70" ht="26.25" customHeight="1">
      <c r="A70" s="157" t="str">
        <f>IFERROR(__xludf.DUMMYFUNCTION("""COMPUTED_VALUE"""),"GES_068")</f>
        <v>GES_068</v>
      </c>
      <c r="B70" s="158" t="str">
        <f>IFERROR(__xludf.DUMMYFUNCTION("""COMPUTED_VALUE"""),"GESTION")</f>
        <v>GESTION</v>
      </c>
      <c r="C70" s="159" t="str">
        <f>IFERROR(__xludf.DUMMYFUNCTION("""COMPUTED_VALUE"""),"GESTION CLINICA")</f>
        <v>GESTION CLINICA</v>
      </c>
      <c r="D70" s="160" t="str">
        <f>IFERROR(__xludf.DUMMYFUNCTION("""COMPUTED_VALUE"""),"GESTION DE REGISTROS (15 MIN)")</f>
        <v>GESTION DE REGISTROS (15 MIN)</v>
      </c>
      <c r="E70" s="161">
        <f>IFERROR(__xludf.DUMMYFUNCTION("""COMPUTED_VALUE"""),0.25)</f>
        <v>0.25</v>
      </c>
      <c r="F70" s="154" t="str">
        <f>IFERROR(__xludf.DUMMYFUNCTION("""COMPUTED_VALUE"""),"SI")</f>
        <v>SI</v>
      </c>
      <c r="G70" s="155"/>
      <c r="H70" s="156"/>
    </row>
    <row r="71" ht="26.25" customHeight="1">
      <c r="A71" s="157" t="str">
        <f>IFERROR(__xludf.DUMMYFUNCTION("""COMPUTED_VALUE"""),"GES_069")</f>
        <v>GES_069</v>
      </c>
      <c r="B71" s="158" t="str">
        <f>IFERROR(__xludf.DUMMYFUNCTION("""COMPUTED_VALUE"""),"GESTION")</f>
        <v>GESTION</v>
      </c>
      <c r="C71" s="159" t="str">
        <f>IFERROR(__xludf.DUMMYFUNCTION("""COMPUTED_VALUE"""),"GESTION CLINICA")</f>
        <v>GESTION CLINICA</v>
      </c>
      <c r="D71" s="160" t="str">
        <f>IFERROR(__xludf.DUMMYFUNCTION("""COMPUTED_VALUE"""),"GESTION DE REGISTROS (2 dias)")</f>
        <v>GESTION DE REGISTROS (2 dias)</v>
      </c>
      <c r="E71" s="161">
        <f>IFERROR(__xludf.DUMMYFUNCTION("""COMPUTED_VALUE"""),1.0)</f>
        <v>1</v>
      </c>
      <c r="F71" s="154" t="str">
        <f>IFERROR(__xludf.DUMMYFUNCTION("""COMPUTED_VALUE"""),"SI")</f>
        <v>SI</v>
      </c>
      <c r="G71" s="155"/>
      <c r="H71" s="156"/>
    </row>
    <row r="72" ht="26.25" customHeight="1">
      <c r="A72" s="157" t="str">
        <f>IFERROR(__xludf.DUMMYFUNCTION("""COMPUTED_VALUE"""),"GES_070")</f>
        <v>GES_070</v>
      </c>
      <c r="B72" s="158" t="str">
        <f>IFERROR(__xludf.DUMMYFUNCTION("""COMPUTED_VALUE"""),"GESTION")</f>
        <v>GESTION</v>
      </c>
      <c r="C72" s="159" t="str">
        <f>IFERROR(__xludf.DUMMYFUNCTION("""COMPUTED_VALUE"""),"GESTION CLINICA")</f>
        <v>GESTION CLINICA</v>
      </c>
      <c r="D72" s="160" t="str">
        <f>IFERROR(__xludf.DUMMYFUNCTION("""COMPUTED_VALUE"""),"GESTION DE REGISTROS (3 dias)")</f>
        <v>GESTION DE REGISTROS (3 dias)</v>
      </c>
      <c r="E72" s="161">
        <f>IFERROR(__xludf.DUMMYFUNCTION("""COMPUTED_VALUE"""),1.5)</f>
        <v>1.5</v>
      </c>
      <c r="F72" s="154" t="str">
        <f>IFERROR(__xludf.DUMMYFUNCTION("""COMPUTED_VALUE"""),"SI")</f>
        <v>SI</v>
      </c>
      <c r="G72" s="155"/>
      <c r="H72" s="156"/>
    </row>
    <row r="73" ht="26.25" customHeight="1">
      <c r="A73" s="157" t="str">
        <f>IFERROR(__xludf.DUMMYFUNCTION("""COMPUTED_VALUE"""),"GES_071")</f>
        <v>GES_071</v>
      </c>
      <c r="B73" s="158" t="str">
        <f>IFERROR(__xludf.DUMMYFUNCTION("""COMPUTED_VALUE"""),"GESTION")</f>
        <v>GESTION</v>
      </c>
      <c r="C73" s="159" t="str">
        <f>IFERROR(__xludf.DUMMYFUNCTION("""COMPUTED_VALUE"""),"GESTION CLINICA")</f>
        <v>GESTION CLINICA</v>
      </c>
      <c r="D73" s="160" t="str">
        <f>IFERROR(__xludf.DUMMYFUNCTION("""COMPUTED_VALUE"""),"GESTION DE REGISTROS (4 dias)")</f>
        <v>GESTION DE REGISTROS (4 dias)</v>
      </c>
      <c r="E73" s="161">
        <f>IFERROR(__xludf.DUMMYFUNCTION("""COMPUTED_VALUE"""),2.0)</f>
        <v>2</v>
      </c>
      <c r="F73" s="154" t="str">
        <f>IFERROR(__xludf.DUMMYFUNCTION("""COMPUTED_VALUE"""),"SI")</f>
        <v>SI</v>
      </c>
      <c r="G73" s="155"/>
      <c r="H73" s="156"/>
    </row>
    <row r="74" ht="26.25" customHeight="1">
      <c r="A74" s="157" t="str">
        <f>IFERROR(__xludf.DUMMYFUNCTION("""COMPUTED_VALUE"""),"GES_072")</f>
        <v>GES_072</v>
      </c>
      <c r="B74" s="158" t="str">
        <f>IFERROR(__xludf.DUMMYFUNCTION("""COMPUTED_VALUE"""),"GESTION")</f>
        <v>GESTION</v>
      </c>
      <c r="C74" s="159" t="str">
        <f>IFERROR(__xludf.DUMMYFUNCTION("""COMPUTED_VALUE"""),"GESTION CLINICA")</f>
        <v>GESTION CLINICA</v>
      </c>
      <c r="D74" s="160" t="str">
        <f>IFERROR(__xludf.DUMMYFUNCTION("""COMPUTED_VALUE"""),"GESTION DE REGISTROS (5 dias)")</f>
        <v>GESTION DE REGISTROS (5 dias)</v>
      </c>
      <c r="E74" s="161">
        <f>IFERROR(__xludf.DUMMYFUNCTION("""COMPUTED_VALUE"""),2.5)</f>
        <v>2.5</v>
      </c>
      <c r="F74" s="154" t="str">
        <f>IFERROR(__xludf.DUMMYFUNCTION("""COMPUTED_VALUE"""),"SI")</f>
        <v>SI</v>
      </c>
      <c r="G74" s="155"/>
      <c r="H74" s="156"/>
    </row>
    <row r="75" ht="26.25" customHeight="1">
      <c r="A75" s="157" t="str">
        <f>IFERROR(__xludf.DUMMYFUNCTION("""COMPUTED_VALUE"""),"GES_073")</f>
        <v>GES_073</v>
      </c>
      <c r="B75" s="158" t="str">
        <f>IFERROR(__xludf.DUMMYFUNCTION("""COMPUTED_VALUE"""),"GESTION")</f>
        <v>GESTION</v>
      </c>
      <c r="C75" s="159" t="str">
        <f>IFERROR(__xludf.DUMMYFUNCTION("""COMPUTED_VALUE"""),"GESTION CLINICA")</f>
        <v>GESTION CLINICA</v>
      </c>
      <c r="D75" s="160" t="str">
        <f>IFERROR(__xludf.DUMMYFUNCTION("""COMPUTED_VALUE"""),"GESTION EMBARAZADAS (2 HORAS)")</f>
        <v>GESTION EMBARAZADAS (2 HORAS)</v>
      </c>
      <c r="E75" s="161">
        <f>IFERROR(__xludf.DUMMYFUNCTION("""COMPUTED_VALUE"""),2.0)</f>
        <v>2</v>
      </c>
      <c r="F75" s="154" t="str">
        <f>IFERROR(__xludf.DUMMYFUNCTION("""COMPUTED_VALUE"""),"SI")</f>
        <v>SI</v>
      </c>
      <c r="G75" s="155"/>
      <c r="H75" s="156"/>
    </row>
    <row r="76" ht="26.25" customHeight="1">
      <c r="A76" s="157" t="str">
        <f>IFERROR(__xludf.DUMMYFUNCTION("""COMPUTED_VALUE"""),"GES_074")</f>
        <v>GES_074</v>
      </c>
      <c r="B76" s="158" t="str">
        <f>IFERROR(__xludf.DUMMYFUNCTION("""COMPUTED_VALUE"""),"GESTION")</f>
        <v>GESTION</v>
      </c>
      <c r="C76" s="159" t="str">
        <f>IFERROR(__xludf.DUMMYFUNCTION("""COMPUTED_VALUE"""),"GESTION CLINICA")</f>
        <v>GESTION CLINICA</v>
      </c>
      <c r="D76" s="160" t="str">
        <f>IFERROR(__xludf.DUMMYFUNCTION("""COMPUTED_VALUE"""),"GESTION URGENCIAS (1 HR)")</f>
        <v>GESTION URGENCIAS (1 HR)</v>
      </c>
      <c r="E76" s="161">
        <f>IFERROR(__xludf.DUMMYFUNCTION("""COMPUTED_VALUE"""),1.0)</f>
        <v>1</v>
      </c>
      <c r="F76" s="154" t="str">
        <f>IFERROR(__xludf.DUMMYFUNCTION("""COMPUTED_VALUE"""),"SI")</f>
        <v>SI</v>
      </c>
      <c r="G76" s="155"/>
      <c r="H76" s="156"/>
    </row>
    <row r="77" ht="26.25" customHeight="1">
      <c r="A77" s="157" t="str">
        <f>IFERROR(__xludf.DUMMYFUNCTION("""COMPUTED_VALUE"""),"GES_075")</f>
        <v>GES_075</v>
      </c>
      <c r="B77" s="158" t="str">
        <f>IFERROR(__xludf.DUMMYFUNCTION("""COMPUTED_VALUE"""),"GESTION")</f>
        <v>GESTION</v>
      </c>
      <c r="C77" s="159" t="str">
        <f>IFERROR(__xludf.DUMMYFUNCTION("""COMPUTED_VALUE"""),"GESTION CLINICA")</f>
        <v>GESTION CLINICA</v>
      </c>
      <c r="D77" s="160" t="str">
        <f>IFERROR(__xludf.DUMMYFUNCTION("""COMPUTED_VALUE"""),"INTEGRANTE COMITE CALIDAD ")</f>
        <v>INTEGRANTE COMITE CALIDAD </v>
      </c>
      <c r="E77" s="161">
        <f>IFERROR(__xludf.DUMMYFUNCTION("""COMPUTED_VALUE"""),6.0)</f>
        <v>6</v>
      </c>
      <c r="F77" s="154" t="str">
        <f>IFERROR(__xludf.DUMMYFUNCTION("""COMPUTED_VALUE"""),"SI")</f>
        <v>SI</v>
      </c>
      <c r="G77" s="155"/>
      <c r="H77" s="156"/>
    </row>
    <row r="78" ht="26.25" customHeight="1">
      <c r="A78" s="157" t="str">
        <f>IFERROR(__xludf.DUMMYFUNCTION("""COMPUTED_VALUE"""),"GES_076")</f>
        <v>GES_076</v>
      </c>
      <c r="B78" s="158" t="str">
        <f>IFERROR(__xludf.DUMMYFUNCTION("""COMPUTED_VALUE"""),"GESTION")</f>
        <v>GESTION</v>
      </c>
      <c r="C78" s="159" t="str">
        <f>IFERROR(__xludf.DUMMYFUNCTION("""COMPUTED_VALUE"""),"GESTION CLINICA")</f>
        <v>GESTION CLINICA</v>
      </c>
      <c r="D78" s="160" t="str">
        <f>IFERROR(__xludf.DUMMYFUNCTION("""COMPUTED_VALUE"""),"INTEGRANTE COMITE CALIDAD (3 HRS)")</f>
        <v>INTEGRANTE COMITE CALIDAD (3 HRS)</v>
      </c>
      <c r="E78" s="161">
        <f>IFERROR(__xludf.DUMMYFUNCTION("""COMPUTED_VALUE"""),3.0)</f>
        <v>3</v>
      </c>
      <c r="F78" s="154" t="str">
        <f>IFERROR(__xludf.DUMMYFUNCTION("""COMPUTED_VALUE"""),"SI")</f>
        <v>SI</v>
      </c>
      <c r="G78" s="155"/>
      <c r="H78" s="156"/>
    </row>
    <row r="79" ht="26.25" customHeight="1">
      <c r="A79" s="157" t="str">
        <f>IFERROR(__xludf.DUMMYFUNCTION("""COMPUTED_VALUE"""),"GES_077")</f>
        <v>GES_077</v>
      </c>
      <c r="B79" s="158" t="str">
        <f>IFERROR(__xludf.DUMMYFUNCTION("""COMPUTED_VALUE"""),"GESTION")</f>
        <v>GESTION</v>
      </c>
      <c r="C79" s="159" t="str">
        <f>IFERROR(__xludf.DUMMYFUNCTION("""COMPUTED_VALUE"""),"GESTION CLINICA")</f>
        <v>GESTION CLINICA</v>
      </c>
      <c r="D79" s="160" t="str">
        <f>IFERROR(__xludf.DUMMYFUNCTION("""COMPUTED_VALUE"""),"INTEGRANTE COMITE CALIDAD (5 HRS)")</f>
        <v>INTEGRANTE COMITE CALIDAD (5 HRS)</v>
      </c>
      <c r="E79" s="161">
        <f>IFERROR(__xludf.DUMMYFUNCTION("""COMPUTED_VALUE"""),5.0)</f>
        <v>5</v>
      </c>
      <c r="F79" s="154" t="str">
        <f>IFERROR(__xludf.DUMMYFUNCTION("""COMPUTED_VALUE"""),"SI")</f>
        <v>SI</v>
      </c>
      <c r="G79" s="155"/>
      <c r="H79" s="156"/>
    </row>
    <row r="80" ht="26.25" customHeight="1">
      <c r="A80" s="157" t="str">
        <f>IFERROR(__xludf.DUMMYFUNCTION("""COMPUTED_VALUE"""),"GES_078")</f>
        <v>GES_078</v>
      </c>
      <c r="B80" s="158" t="str">
        <f>IFERROR(__xludf.DUMMYFUNCTION("""COMPUTED_VALUE"""),"GESTION")</f>
        <v>GESTION</v>
      </c>
      <c r="C80" s="159" t="str">
        <f>IFERROR(__xludf.DUMMYFUNCTION("""COMPUTED_VALUE"""),"GESTION CLINICA")</f>
        <v>GESTION CLINICA</v>
      </c>
      <c r="D80" s="160" t="str">
        <f>IFERROR(__xludf.DUMMYFUNCTION("""COMPUTED_VALUE"""),"MONITOREO DE AGENDAS Y METAS")</f>
        <v>MONITOREO DE AGENDAS Y METAS</v>
      </c>
      <c r="E80" s="161">
        <f>IFERROR(__xludf.DUMMYFUNCTION("""COMPUTED_VALUE"""),22.0)</f>
        <v>22</v>
      </c>
      <c r="F80" s="154" t="str">
        <f>IFERROR(__xludf.DUMMYFUNCTION("""COMPUTED_VALUE"""),"SI")</f>
        <v>SI</v>
      </c>
      <c r="G80" s="155"/>
      <c r="H80" s="156"/>
    </row>
    <row r="81" ht="26.25" customHeight="1">
      <c r="A81" s="157" t="str">
        <f>IFERROR(__xludf.DUMMYFUNCTION("""COMPUTED_VALUE"""),"GES_079")</f>
        <v>GES_079</v>
      </c>
      <c r="B81" s="158" t="str">
        <f>IFERROR(__xludf.DUMMYFUNCTION("""COMPUTED_VALUE"""),"GESTION")</f>
        <v>GESTION</v>
      </c>
      <c r="C81" s="159" t="str">
        <f>IFERROR(__xludf.DUMMYFUNCTION("""COMPUTED_VALUE"""),"GESTION CLINICA")</f>
        <v>GESTION CLINICA</v>
      </c>
      <c r="D81" s="160" t="str">
        <f>IFERROR(__xludf.DUMMYFUNCTION("""COMPUTED_VALUE"""),"MONITOREO DE AGENDAS Y METAS (10 HRS)")</f>
        <v>MONITOREO DE AGENDAS Y METAS (10 HRS)</v>
      </c>
      <c r="E81" s="161">
        <f>IFERROR(__xludf.DUMMYFUNCTION("""COMPUTED_VALUE"""),10.0)</f>
        <v>10</v>
      </c>
      <c r="F81" s="154" t="str">
        <f>IFERROR(__xludf.DUMMYFUNCTION("""COMPUTED_VALUE"""),"SI")</f>
        <v>SI</v>
      </c>
      <c r="G81" s="155"/>
      <c r="H81" s="156"/>
    </row>
    <row r="82" ht="26.25" customHeight="1">
      <c r="A82" s="157" t="str">
        <f>IFERROR(__xludf.DUMMYFUNCTION("""COMPUTED_VALUE"""),"GES_080")</f>
        <v>GES_080</v>
      </c>
      <c r="B82" s="158" t="str">
        <f>IFERROR(__xludf.DUMMYFUNCTION("""COMPUTED_VALUE"""),"GESTION")</f>
        <v>GESTION</v>
      </c>
      <c r="C82" s="159" t="str">
        <f>IFERROR(__xludf.DUMMYFUNCTION("""COMPUTED_VALUE"""),"GESTION CLINICA")</f>
        <v>GESTION CLINICA</v>
      </c>
      <c r="D82" s="160" t="str">
        <f>IFERROR(__xludf.DUMMYFUNCTION("""COMPUTED_VALUE"""),"MONITOREO DE AGENDAS Y METAS (5 HRS)")</f>
        <v>MONITOREO DE AGENDAS Y METAS (5 HRS)</v>
      </c>
      <c r="E82" s="161">
        <f>IFERROR(__xludf.DUMMYFUNCTION("""COMPUTED_VALUE"""),5.0)</f>
        <v>5</v>
      </c>
      <c r="F82" s="154" t="str">
        <f>IFERROR(__xludf.DUMMYFUNCTION("""COMPUTED_VALUE"""),"SI")</f>
        <v>SI</v>
      </c>
      <c r="G82" s="155"/>
      <c r="H82" s="156"/>
    </row>
    <row r="83" ht="26.25" customHeight="1">
      <c r="A83" s="157" t="str">
        <f>IFERROR(__xludf.DUMMYFUNCTION("""COMPUTED_VALUE"""),"GES_081")</f>
        <v>GES_081</v>
      </c>
      <c r="B83" s="158" t="str">
        <f>IFERROR(__xludf.DUMMYFUNCTION("""COMPUTED_VALUE"""),"GESTION")</f>
        <v>GESTION</v>
      </c>
      <c r="C83" s="159" t="str">
        <f>IFERROR(__xludf.DUMMYFUNCTION("""COMPUTED_VALUE"""),"GESTION CLINICA")</f>
        <v>GESTION CLINICA</v>
      </c>
      <c r="D83" s="160" t="str">
        <f>IFERROR(__xludf.DUMMYFUNCTION("""COMPUTED_VALUE"""),"OPI (2 HRS)")</f>
        <v>OPI (2 HRS)</v>
      </c>
      <c r="E83" s="162">
        <f>IFERROR(__xludf.DUMMYFUNCTION("""COMPUTED_VALUE"""),2.0)</f>
        <v>2</v>
      </c>
      <c r="F83" s="154" t="str">
        <f>IFERROR(__xludf.DUMMYFUNCTION("""COMPUTED_VALUE"""),"SI")</f>
        <v>SI</v>
      </c>
      <c r="G83" s="155"/>
      <c r="H83" s="156"/>
    </row>
    <row r="84" ht="26.25" customHeight="1">
      <c r="A84" s="157" t="str">
        <f>IFERROR(__xludf.DUMMYFUNCTION("""COMPUTED_VALUE"""),"GES_082")</f>
        <v>GES_082</v>
      </c>
      <c r="B84" s="158" t="str">
        <f>IFERROR(__xludf.DUMMYFUNCTION("""COMPUTED_VALUE"""),"GESTION")</f>
        <v>GESTION</v>
      </c>
      <c r="C84" s="159" t="str">
        <f>IFERROR(__xludf.DUMMYFUNCTION("""COMPUTED_VALUE"""),"GESTION CLINICA")</f>
        <v>GESTION CLINICA</v>
      </c>
      <c r="D84" s="160" t="str">
        <f>IFERROR(__xludf.DUMMYFUNCTION("""COMPUTED_VALUE"""),"ORTODONCIA Y ORTOPEDIA (5 HRS)")</f>
        <v>ORTODONCIA Y ORTOPEDIA (5 HRS)</v>
      </c>
      <c r="E84" s="162">
        <f>IFERROR(__xludf.DUMMYFUNCTION("""COMPUTED_VALUE"""),5.0)</f>
        <v>5</v>
      </c>
      <c r="F84" s="154" t="str">
        <f>IFERROR(__xludf.DUMMYFUNCTION("""COMPUTED_VALUE"""),"SI")</f>
        <v>SI</v>
      </c>
      <c r="G84" s="155"/>
      <c r="H84" s="156"/>
    </row>
    <row r="85" ht="26.25" customHeight="1">
      <c r="A85" s="157" t="str">
        <f>IFERROR(__xludf.DUMMYFUNCTION("""COMPUTED_VALUE"""),"GES_083")</f>
        <v>GES_083</v>
      </c>
      <c r="B85" s="158" t="str">
        <f>IFERROR(__xludf.DUMMYFUNCTION("""COMPUTED_VALUE"""),"GESTION")</f>
        <v>GESTION</v>
      </c>
      <c r="C85" s="159" t="str">
        <f>IFERROR(__xludf.DUMMYFUNCTION("""COMPUTED_VALUE"""),"GESTION CLINICA")</f>
        <v>GESTION CLINICA</v>
      </c>
      <c r="D85" s="160" t="str">
        <f>IFERROR(__xludf.DUMMYFUNCTION("""COMPUTED_VALUE"""),"PRAPS DENTAL (1 HR)")</f>
        <v>PRAPS DENTAL (1 HR)</v>
      </c>
      <c r="E85" s="162">
        <f>IFERROR(__xludf.DUMMYFUNCTION("""COMPUTED_VALUE"""),1.0)</f>
        <v>1</v>
      </c>
      <c r="F85" s="154" t="str">
        <f>IFERROR(__xludf.DUMMYFUNCTION("""COMPUTED_VALUE"""),"SI")</f>
        <v>SI</v>
      </c>
      <c r="G85" s="155"/>
      <c r="H85" s="156"/>
    </row>
    <row r="86" ht="26.25" customHeight="1">
      <c r="A86" s="157" t="str">
        <f>IFERROR(__xludf.DUMMYFUNCTION("""COMPUTED_VALUE"""),"GES_084")</f>
        <v>GES_084</v>
      </c>
      <c r="B86" s="158" t="str">
        <f>IFERROR(__xludf.DUMMYFUNCTION("""COMPUTED_VALUE"""),"GESTION")</f>
        <v>GESTION</v>
      </c>
      <c r="C86" s="159" t="str">
        <f>IFERROR(__xludf.DUMMYFUNCTION("""COMPUTED_VALUE"""),"GESTION CLINICA")</f>
        <v>GESTION CLINICA</v>
      </c>
      <c r="D86" s="160" t="str">
        <f>IFERROR(__xludf.DUMMYFUNCTION("""COMPUTED_VALUE"""),"REFERENTE MEDICO ECICEP (2 HORAS)")</f>
        <v>REFERENTE MEDICO ECICEP (2 HORAS)</v>
      </c>
      <c r="E86" s="162">
        <f>IFERROR(__xludf.DUMMYFUNCTION("""COMPUTED_VALUE"""),2.0)</f>
        <v>2</v>
      </c>
      <c r="F86" s="154" t="str">
        <f>IFERROR(__xludf.DUMMYFUNCTION("""COMPUTED_VALUE"""),"SI")</f>
        <v>SI</v>
      </c>
      <c r="G86" s="155"/>
      <c r="H86" s="156"/>
    </row>
    <row r="87" ht="26.25" customHeight="1">
      <c r="A87" s="157" t="str">
        <f>IFERROR(__xludf.DUMMYFUNCTION("""COMPUTED_VALUE"""),"GES_085")</f>
        <v>GES_085</v>
      </c>
      <c r="B87" s="158" t="str">
        <f>IFERROR(__xludf.DUMMYFUNCTION("""COMPUTED_VALUE"""),"GESTION")</f>
        <v>GESTION</v>
      </c>
      <c r="C87" s="159" t="str">
        <f>IFERROR(__xludf.DUMMYFUNCTION("""COMPUTED_VALUE"""),"GESTION CLINICA")</f>
        <v>GESTION CLINICA</v>
      </c>
      <c r="D87" s="160" t="str">
        <f>IFERROR(__xludf.DUMMYFUNCTION("""COMPUTED_VALUE"""),"REVISION EXAMENES (2 HRS)")</f>
        <v>REVISION EXAMENES (2 HRS)</v>
      </c>
      <c r="E87" s="162">
        <f>IFERROR(__xludf.DUMMYFUNCTION("""COMPUTED_VALUE"""),2.0)</f>
        <v>2</v>
      </c>
      <c r="F87" s="154" t="str">
        <f>IFERROR(__xludf.DUMMYFUNCTION("""COMPUTED_VALUE"""),"SI")</f>
        <v>SI</v>
      </c>
      <c r="G87" s="155"/>
      <c r="H87" s="156"/>
    </row>
    <row r="88" ht="26.25" customHeight="1">
      <c r="A88" s="157" t="str">
        <f>IFERROR(__xludf.DUMMYFUNCTION("""COMPUTED_VALUE"""),"GES_086")</f>
        <v>GES_086</v>
      </c>
      <c r="B88" s="158" t="str">
        <f>IFERROR(__xludf.DUMMYFUNCTION("""COMPUTED_VALUE"""),"GESTION")</f>
        <v>GESTION</v>
      </c>
      <c r="C88" s="159" t="str">
        <f>IFERROR(__xludf.DUMMYFUNCTION("""COMPUTED_VALUE"""),"GESTION CLINICA")</f>
        <v>GESTION CLINICA</v>
      </c>
      <c r="D88" s="160" t="str">
        <f>IFERROR(__xludf.DUMMYFUNCTION("""COMPUTED_VALUE"""),"SELECTOR DE LA DEMANDA MORBILIDAD MEDICA")</f>
        <v>SELECTOR DE LA DEMANDA MORBILIDAD MEDICA</v>
      </c>
      <c r="E88" s="162">
        <f>IFERROR(__xludf.DUMMYFUNCTION("""COMPUTED_VALUE"""),10.0)</f>
        <v>10</v>
      </c>
      <c r="F88" s="154" t="str">
        <f>IFERROR(__xludf.DUMMYFUNCTION("""COMPUTED_VALUE"""),"SI")</f>
        <v>SI</v>
      </c>
      <c r="G88" s="155"/>
      <c r="H88" s="156"/>
    </row>
    <row r="89" ht="26.25" customHeight="1">
      <c r="A89" s="157" t="str">
        <f>IFERROR(__xludf.DUMMYFUNCTION("""COMPUTED_VALUE"""),"GES_087")</f>
        <v>GES_087</v>
      </c>
      <c r="B89" s="158" t="str">
        <f>IFERROR(__xludf.DUMMYFUNCTION("""COMPUTED_VALUE"""),"GESTION")</f>
        <v>GESTION</v>
      </c>
      <c r="C89" s="159" t="str">
        <f>IFERROR(__xludf.DUMMYFUNCTION("""COMPUTED_VALUE"""),"GESTION CLINICA")</f>
        <v>GESTION CLINICA</v>
      </c>
      <c r="D89" s="160" t="str">
        <f>IFERROR(__xludf.DUMMYFUNCTION("""COMPUTED_VALUE"""),"SELECTOR DE LA DEMANDA MORBILIDAD ODONTOLOGICA")</f>
        <v>SELECTOR DE LA DEMANDA MORBILIDAD ODONTOLOGICA</v>
      </c>
      <c r="E89" s="162">
        <f>IFERROR(__xludf.DUMMYFUNCTION("""COMPUTED_VALUE"""),5.0)</f>
        <v>5</v>
      </c>
      <c r="F89" s="154" t="str">
        <f>IFERROR(__xludf.DUMMYFUNCTION("""COMPUTED_VALUE"""),"SI")</f>
        <v>SI</v>
      </c>
      <c r="G89" s="155"/>
      <c r="H89" s="156"/>
    </row>
    <row r="90" ht="26.25" customHeight="1">
      <c r="A90" s="157" t="str">
        <f>IFERROR(__xludf.DUMMYFUNCTION("""COMPUTED_VALUE"""),"GES_088")</f>
        <v>GES_088</v>
      </c>
      <c r="B90" s="158" t="str">
        <f>IFERROR(__xludf.DUMMYFUNCTION("""COMPUTED_VALUE"""),"GESTION")</f>
        <v>GESTION</v>
      </c>
      <c r="C90" s="159" t="str">
        <f>IFERROR(__xludf.DUMMYFUNCTION("""COMPUTED_VALUE"""),"GESTION CLINICA")</f>
        <v>GESTION CLINICA</v>
      </c>
      <c r="D90" s="160" t="str">
        <f>IFERROR(__xludf.DUMMYFUNCTION("""COMPUTED_VALUE"""),"SELECTOR DE LA DEMANDA MORBILIDAD ODONTOLOGICA (10 HRS)")</f>
        <v>SELECTOR DE LA DEMANDA MORBILIDAD ODONTOLOGICA (10 HRS)</v>
      </c>
      <c r="E90" s="162">
        <f>IFERROR(__xludf.DUMMYFUNCTION("""COMPUTED_VALUE"""),10.0)</f>
        <v>10</v>
      </c>
      <c r="F90" s="154" t="str">
        <f>IFERROR(__xludf.DUMMYFUNCTION("""COMPUTED_VALUE"""),"SI")</f>
        <v>SI</v>
      </c>
      <c r="G90" s="155"/>
      <c r="H90" s="156"/>
    </row>
    <row r="91" ht="26.25" customHeight="1">
      <c r="A91" s="157" t="str">
        <f>IFERROR(__xludf.DUMMYFUNCTION("""COMPUTED_VALUE"""),"GES_089")</f>
        <v>GES_089</v>
      </c>
      <c r="B91" s="158" t="str">
        <f>IFERROR(__xludf.DUMMYFUNCTION("""COMPUTED_VALUE"""),"GESTION")</f>
        <v>GESTION</v>
      </c>
      <c r="C91" s="159" t="str">
        <f>IFERROR(__xludf.DUMMYFUNCTION("""COMPUTED_VALUE"""),"GESTION CLINICA")</f>
        <v>GESTION CLINICA</v>
      </c>
      <c r="D91" s="160" t="str">
        <f>IFERROR(__xludf.DUMMYFUNCTION("""COMPUTED_VALUE"""),"TRIAGISTA TELESALUD (18HR)")</f>
        <v>TRIAGISTA TELESALUD (18HR)</v>
      </c>
      <c r="E91" s="162">
        <f>IFERROR(__xludf.DUMMYFUNCTION("""COMPUTED_VALUE"""),18.0)</f>
        <v>18</v>
      </c>
      <c r="F91" s="154" t="str">
        <f>IFERROR(__xludf.DUMMYFUNCTION("""COMPUTED_VALUE"""),"SI")</f>
        <v>SI</v>
      </c>
      <c r="G91" s="155"/>
      <c r="H91" s="156"/>
    </row>
    <row r="92" ht="26.25" customHeight="1">
      <c r="A92" s="157" t="str">
        <f>IFERROR(__xludf.DUMMYFUNCTION("""COMPUTED_VALUE"""),"GES_090")</f>
        <v>GES_090</v>
      </c>
      <c r="B92" s="158" t="str">
        <f>IFERROR(__xludf.DUMMYFUNCTION("""COMPUTED_VALUE"""),"GESTION")</f>
        <v>GESTION</v>
      </c>
      <c r="C92" s="159" t="str">
        <f>IFERROR(__xludf.DUMMYFUNCTION("""COMPUTED_VALUE"""),"GESTION CLINICA")</f>
        <v>GESTION CLINICA</v>
      </c>
      <c r="D92" s="160" t="str">
        <f>IFERROR(__xludf.DUMMYFUNCTION("""COMPUTED_VALUE"""),"TRIAGISTA TELESALUD (22 HR)")</f>
        <v>TRIAGISTA TELESALUD (22 HR)</v>
      </c>
      <c r="E92" s="162">
        <f>IFERROR(__xludf.DUMMYFUNCTION("""COMPUTED_VALUE"""),22.0)</f>
        <v>22</v>
      </c>
      <c r="F92" s="154" t="str">
        <f>IFERROR(__xludf.DUMMYFUNCTION("""COMPUTED_VALUE"""),"SI")</f>
        <v>SI</v>
      </c>
      <c r="G92" s="155"/>
      <c r="H92" s="156"/>
    </row>
    <row r="93" ht="26.25" customHeight="1">
      <c r="A93" s="157" t="str">
        <f>IFERROR(__xludf.DUMMYFUNCTION("""COMPUTED_VALUE"""),"GES_091")</f>
        <v>GES_091</v>
      </c>
      <c r="B93" s="158" t="str">
        <f>IFERROR(__xludf.DUMMYFUNCTION("""COMPUTED_VALUE"""),"GESTION")</f>
        <v>GESTION</v>
      </c>
      <c r="C93" s="159" t="str">
        <f>IFERROR(__xludf.DUMMYFUNCTION("""COMPUTED_VALUE"""),"GESTION CLINICA")</f>
        <v>GESTION CLINICA</v>
      </c>
      <c r="D93" s="160" t="str">
        <f>IFERROR(__xludf.DUMMYFUNCTION("""COMPUTED_VALUE"""),"TRIAGISTA TELESALUD (4 HR)")</f>
        <v>TRIAGISTA TELESALUD (4 HR)</v>
      </c>
      <c r="E93" s="162">
        <f>IFERROR(__xludf.DUMMYFUNCTION("""COMPUTED_VALUE"""),4.0)</f>
        <v>4</v>
      </c>
      <c r="F93" s="154" t="str">
        <f>IFERROR(__xludf.DUMMYFUNCTION("""COMPUTED_VALUE"""),"SI")</f>
        <v>SI</v>
      </c>
      <c r="G93" s="155"/>
      <c r="H93" s="156"/>
    </row>
    <row r="94" ht="26.25" customHeight="1">
      <c r="A94" s="157" t="str">
        <f>IFERROR(__xludf.DUMMYFUNCTION("""COMPUTED_VALUE"""),"GES_092")</f>
        <v>GES_092</v>
      </c>
      <c r="B94" s="158" t="str">
        <f>IFERROR(__xludf.DUMMYFUNCTION("""COMPUTED_VALUE"""),"GESTION")</f>
        <v>GESTION</v>
      </c>
      <c r="C94" s="159" t="str">
        <f>IFERROR(__xludf.DUMMYFUNCTION("""COMPUTED_VALUE"""),"GESTION CLINICA")</f>
        <v>GESTION CLINICA</v>
      </c>
      <c r="D94" s="160" t="str">
        <f>IFERROR(__xludf.DUMMYFUNCTION("""COMPUTED_VALUE"""),"TRIAGISTA TELESALUD (6 HR)")</f>
        <v>TRIAGISTA TELESALUD (6 HR)</v>
      </c>
      <c r="E94" s="162">
        <f>IFERROR(__xludf.DUMMYFUNCTION("""COMPUTED_VALUE"""),6.0)</f>
        <v>6</v>
      </c>
      <c r="F94" s="154" t="str">
        <f>IFERROR(__xludf.DUMMYFUNCTION("""COMPUTED_VALUE"""),"SI")</f>
        <v>SI</v>
      </c>
      <c r="G94" s="155"/>
      <c r="H94" s="156"/>
    </row>
    <row r="95" ht="26.25" customHeight="1">
      <c r="A95" s="157" t="str">
        <f>IFERROR(__xludf.DUMMYFUNCTION("""COMPUTED_VALUE"""),"GES_309")</f>
        <v>GES_309</v>
      </c>
      <c r="B95" s="158" t="str">
        <f>IFERROR(__xludf.DUMMYFUNCTION("""COMPUTED_VALUE"""),"GESTION")</f>
        <v>GESTION</v>
      </c>
      <c r="C95" s="159" t="str">
        <f>IFERROR(__xludf.DUMMYFUNCTION("""COMPUTED_VALUE"""),"GESTION CLINICA")</f>
        <v>GESTION CLINICA</v>
      </c>
      <c r="D95" s="160" t="str">
        <f>IFERROR(__xludf.DUMMYFUNCTION("""COMPUTED_VALUE"""),"TRAZABILIDAD DE PAP Y MAMOGRAFIA (3 HRS)")</f>
        <v>TRAZABILIDAD DE PAP Y MAMOGRAFIA (3 HRS)</v>
      </c>
      <c r="E95" s="162">
        <f>IFERROR(__xludf.DUMMYFUNCTION("""COMPUTED_VALUE"""),3.0)</f>
        <v>3</v>
      </c>
      <c r="F95" s="154" t="str">
        <f>IFERROR(__xludf.DUMMYFUNCTION("""COMPUTED_VALUE"""),"SI")</f>
        <v>SI</v>
      </c>
      <c r="G95" s="155"/>
      <c r="H95" s="156"/>
    </row>
    <row r="96" ht="26.25" customHeight="1">
      <c r="A96" s="157" t="str">
        <f>IFERROR(__xludf.DUMMYFUNCTION("""COMPUTED_VALUE"""),"GES_326")</f>
        <v>GES_326</v>
      </c>
      <c r="B96" s="158" t="str">
        <f>IFERROR(__xludf.DUMMYFUNCTION("""COMPUTED_VALUE"""),"GESTION")</f>
        <v>GESTION</v>
      </c>
      <c r="C96" s="159" t="str">
        <f>IFERROR(__xludf.DUMMYFUNCTION("""COMPUTED_VALUE"""),"GESTION CLINICA")</f>
        <v>GESTION CLINICA</v>
      </c>
      <c r="D96" s="160" t="str">
        <f>IFERROR(__xludf.DUMMYFUNCTION("""COMPUTED_VALUE"""),"ENCARGAD@ MONITOR GES (9 HORAS)")</f>
        <v>ENCARGAD@ MONITOR GES (9 HORAS)</v>
      </c>
      <c r="E96" s="162">
        <f>IFERROR(__xludf.DUMMYFUNCTION("""COMPUTED_VALUE"""),9.0)</f>
        <v>9</v>
      </c>
      <c r="F96" s="154" t="str">
        <f>IFERROR(__xludf.DUMMYFUNCTION("""COMPUTED_VALUE"""),"SI")</f>
        <v>SI</v>
      </c>
      <c r="G96" s="155"/>
      <c r="H96" s="156"/>
    </row>
    <row r="97" ht="26.25" customHeight="1">
      <c r="A97" s="157" t="str">
        <f>IFERROR(__xludf.DUMMYFUNCTION("""COMPUTED_VALUE"""),"GES_327")</f>
        <v>GES_327</v>
      </c>
      <c r="B97" s="158" t="str">
        <f>IFERROR(__xludf.DUMMYFUNCTION("""COMPUTED_VALUE"""),"GESTION")</f>
        <v>GESTION</v>
      </c>
      <c r="C97" s="159" t="str">
        <f>IFERROR(__xludf.DUMMYFUNCTION("""COMPUTED_VALUE"""),"GESTION CLINICA")</f>
        <v>GESTION CLINICA</v>
      </c>
      <c r="D97" s="160" t="str">
        <f>IFERROR(__xludf.DUMMYFUNCTION("""COMPUTED_VALUE"""),"ENCARGAD@ MONITOR GES (6 HORAS)")</f>
        <v>ENCARGAD@ MONITOR GES (6 HORAS)</v>
      </c>
      <c r="E97" s="162">
        <f>IFERROR(__xludf.DUMMYFUNCTION("""COMPUTED_VALUE"""),6.0)</f>
        <v>6</v>
      </c>
      <c r="F97" s="154" t="str">
        <f>IFERROR(__xludf.DUMMYFUNCTION("""COMPUTED_VALUE"""),"SI")</f>
        <v>SI</v>
      </c>
      <c r="G97" s="155"/>
      <c r="H97" s="156"/>
    </row>
    <row r="98" ht="26.25" customHeight="1">
      <c r="A98" s="157" t="str">
        <f>IFERROR(__xludf.DUMMYFUNCTION("""COMPUTED_VALUE"""),"GES_328")</f>
        <v>GES_328</v>
      </c>
      <c r="B98" s="158" t="str">
        <f>IFERROR(__xludf.DUMMYFUNCTION("""COMPUTED_VALUE"""),"GESTION")</f>
        <v>GESTION</v>
      </c>
      <c r="C98" s="159" t="str">
        <f>IFERROR(__xludf.DUMMYFUNCTION("""COMPUTED_VALUE"""),"GESTION CLINICA")</f>
        <v>GESTION CLINICA</v>
      </c>
      <c r="D98" s="160" t="str">
        <f>IFERROR(__xludf.DUMMYFUNCTION("""COMPUTED_VALUE"""),"SEGUIMIENTO CAUSAS JUDICIALES ( 2 HORAS)")</f>
        <v>SEGUIMIENTO CAUSAS JUDICIALES ( 2 HORAS)</v>
      </c>
      <c r="E98" s="162">
        <f>IFERROR(__xludf.DUMMYFUNCTION("""COMPUTED_VALUE"""),2.0)</f>
        <v>2</v>
      </c>
      <c r="F98" s="154" t="str">
        <f>IFERROR(__xludf.DUMMYFUNCTION("""COMPUTED_VALUE"""),"SI")</f>
        <v>SI</v>
      </c>
      <c r="G98" s="155"/>
      <c r="H98" s="156"/>
    </row>
    <row r="99" ht="26.25" customHeight="1">
      <c r="A99" s="157" t="str">
        <f>IFERROR(__xludf.DUMMYFUNCTION("""COMPUTED_VALUE"""),"GES_329")</f>
        <v>GES_329</v>
      </c>
      <c r="B99" s="158" t="str">
        <f>IFERROR(__xludf.DUMMYFUNCTION("""COMPUTED_VALUE"""),"GESTION")</f>
        <v>GESTION</v>
      </c>
      <c r="C99" s="159" t="str">
        <f>IFERROR(__xludf.DUMMYFUNCTION("""COMPUTED_VALUE"""),"GESTION CLINICA")</f>
        <v>GESTION CLINICA</v>
      </c>
      <c r="D99" s="160" t="str">
        <f>IFERROR(__xludf.DUMMYFUNCTION("""COMPUTED_VALUE"""),"ENCARGAD@ PROGRAMA CALIDAD (11 HORAS)")</f>
        <v>ENCARGAD@ PROGRAMA CALIDAD (11 HORAS)</v>
      </c>
      <c r="E99" s="162">
        <f>IFERROR(__xludf.DUMMYFUNCTION("""COMPUTED_VALUE"""),11.0)</f>
        <v>11</v>
      </c>
      <c r="F99" s="154" t="str">
        <f>IFERROR(__xludf.DUMMYFUNCTION("""COMPUTED_VALUE"""),"SI")</f>
        <v>SI</v>
      </c>
      <c r="G99" s="155"/>
      <c r="H99" s="156"/>
    </row>
    <row r="100" ht="26.25" customHeight="1">
      <c r="A100" s="157" t="str">
        <f>IFERROR(__xludf.DUMMYFUNCTION("""COMPUTED_VALUE"""),"GES_330")</f>
        <v>GES_330</v>
      </c>
      <c r="B100" s="158" t="str">
        <f>IFERROR(__xludf.DUMMYFUNCTION("""COMPUTED_VALUE"""),"GESTION")</f>
        <v>GESTION</v>
      </c>
      <c r="C100" s="159" t="str">
        <f>IFERROR(__xludf.DUMMYFUNCTION("""COMPUTED_VALUE"""),"GESTION CLINICA")</f>
        <v>GESTION CLINICA</v>
      </c>
      <c r="D100" s="160" t="str">
        <f>IFERROR(__xludf.DUMMYFUNCTION("""COMPUTED_VALUE"""),"CONTRALOR MEDICO ( 7 HORAS)")</f>
        <v>CONTRALOR MEDICO ( 7 HORAS)</v>
      </c>
      <c r="E100" s="162">
        <f>IFERROR(__xludf.DUMMYFUNCTION("""COMPUTED_VALUE"""),7.0)</f>
        <v>7</v>
      </c>
      <c r="F100" s="154" t="str">
        <f>IFERROR(__xludf.DUMMYFUNCTION("""COMPUTED_VALUE"""),"SI")</f>
        <v>SI</v>
      </c>
      <c r="G100" s="155"/>
      <c r="H100" s="156"/>
    </row>
    <row r="101" ht="26.25" customHeight="1">
      <c r="A101" s="157" t="str">
        <f>IFERROR(__xludf.DUMMYFUNCTION("""COMPUTED_VALUE"""),"GES_331")</f>
        <v>GES_331</v>
      </c>
      <c r="B101" s="158" t="str">
        <f>IFERROR(__xludf.DUMMYFUNCTION("""COMPUTED_VALUE"""),"GESTION")</f>
        <v>GESTION</v>
      </c>
      <c r="C101" s="159" t="str">
        <f>IFERROR(__xludf.DUMMYFUNCTION("""COMPUTED_VALUE"""),"GESTION CLINICA")</f>
        <v>GESTION CLINICA</v>
      </c>
      <c r="D101" s="160" t="str">
        <f>IFERROR(__xludf.DUMMYFUNCTION("""COMPUTED_VALUE"""),"CONTRALOR MEDICO ( 12 HORAS)")</f>
        <v>CONTRALOR MEDICO ( 12 HORAS)</v>
      </c>
      <c r="E101" s="162">
        <f>IFERROR(__xludf.DUMMYFUNCTION("""COMPUTED_VALUE"""),12.0)</f>
        <v>12</v>
      </c>
      <c r="F101" s="154" t="str">
        <f>IFERROR(__xludf.DUMMYFUNCTION("""COMPUTED_VALUE"""),"SI")</f>
        <v>SI</v>
      </c>
      <c r="G101" s="155"/>
      <c r="H101" s="156"/>
    </row>
    <row r="102" ht="26.25" customHeight="1">
      <c r="A102" s="157" t="str">
        <f>IFERROR(__xludf.DUMMYFUNCTION("""COMPUTED_VALUE"""),"GES_332")</f>
        <v>GES_332</v>
      </c>
      <c r="B102" s="158" t="str">
        <f>IFERROR(__xludf.DUMMYFUNCTION("""COMPUTED_VALUE"""),"GESTION")</f>
        <v>GESTION</v>
      </c>
      <c r="C102" s="159" t="str">
        <f>IFERROR(__xludf.DUMMYFUNCTION("""COMPUTED_VALUE"""),"GESTION CLINICA")</f>
        <v>GESTION CLINICA</v>
      </c>
      <c r="D102" s="160" t="str">
        <f>IFERROR(__xludf.DUMMYFUNCTION("""COMPUTED_VALUE"""),"CONTRALOR MEDICO ( 15 HORAS)")</f>
        <v>CONTRALOR MEDICO ( 15 HORAS)</v>
      </c>
      <c r="E102" s="162">
        <f>IFERROR(__xludf.DUMMYFUNCTION("""COMPUTED_VALUE"""),15.0)</f>
        <v>15</v>
      </c>
      <c r="F102" s="154" t="str">
        <f>IFERROR(__xludf.DUMMYFUNCTION("""COMPUTED_VALUE"""),"SI")</f>
        <v>SI</v>
      </c>
      <c r="G102" s="155"/>
      <c r="H102" s="156"/>
    </row>
    <row r="103" ht="26.25" customHeight="1">
      <c r="A103" s="157" t="str">
        <f>IFERROR(__xludf.DUMMYFUNCTION("""COMPUTED_VALUE"""),"GES_093")</f>
        <v>GES_093</v>
      </c>
      <c r="B103" s="158" t="str">
        <f>IFERROR(__xludf.DUMMYFUNCTION("""COMPUTED_VALUE"""),"GESTION")</f>
        <v>GESTION</v>
      </c>
      <c r="C103" s="159" t="str">
        <f>IFERROR(__xludf.DUMMYFUNCTION("""COMPUTED_VALUE"""),"MAISFC")</f>
        <v>MAISFC</v>
      </c>
      <c r="D103" s="160" t="str">
        <f>IFERROR(__xludf.DUMMYFUNCTION("""COMPUTED_VALUE"""),"DIRECTOR TECNICO (44 HRS)")</f>
        <v>DIRECTOR TECNICO (44 HRS)</v>
      </c>
      <c r="E103" s="162">
        <f>IFERROR(__xludf.DUMMYFUNCTION("""COMPUTED_VALUE"""),2.0)</f>
        <v>2</v>
      </c>
      <c r="F103" s="154" t="str">
        <f>IFERROR(__xludf.DUMMYFUNCTION("""COMPUTED_VALUE"""),"SI")</f>
        <v>SI</v>
      </c>
      <c r="G103" s="155"/>
      <c r="H103" s="156"/>
    </row>
    <row r="104" ht="26.25" customHeight="1">
      <c r="A104" s="157" t="str">
        <f>IFERROR(__xludf.DUMMYFUNCTION("""COMPUTED_VALUE"""),"GES_094")</f>
        <v>GES_094</v>
      </c>
      <c r="B104" s="158" t="str">
        <f>IFERROR(__xludf.DUMMYFUNCTION("""COMPUTED_VALUE"""),"GESTION")</f>
        <v>GESTION</v>
      </c>
      <c r="C104" s="159" t="str">
        <f>IFERROR(__xludf.DUMMYFUNCTION("""COMPUTED_VALUE"""),"MAISFC")</f>
        <v>MAISFC</v>
      </c>
      <c r="D104" s="160" t="str">
        <f>IFERROR(__xludf.DUMMYFUNCTION("""COMPUTED_VALUE"""),"ENCARGAD@ ECICEP (11 HRS)")</f>
        <v>ENCARGAD@ ECICEP (11 HRS)</v>
      </c>
      <c r="E104" s="162">
        <f>IFERROR(__xludf.DUMMYFUNCTION("""COMPUTED_VALUE"""),11.0)</f>
        <v>11</v>
      </c>
      <c r="F104" s="154" t="str">
        <f>IFERROR(__xludf.DUMMYFUNCTION("""COMPUTED_VALUE"""),"SI")</f>
        <v>SI</v>
      </c>
      <c r="G104" s="155"/>
      <c r="H104" s="156"/>
    </row>
    <row r="105" ht="26.25" customHeight="1">
      <c r="A105" s="157" t="str">
        <f>IFERROR(__xludf.DUMMYFUNCTION("""COMPUTED_VALUE"""),"GES_095")</f>
        <v>GES_095</v>
      </c>
      <c r="B105" s="158" t="str">
        <f>IFERROR(__xludf.DUMMYFUNCTION("""COMPUTED_VALUE"""),"GESTION")</f>
        <v>GESTION</v>
      </c>
      <c r="C105" s="159" t="str">
        <f>IFERROR(__xludf.DUMMYFUNCTION("""COMPUTED_VALUE"""),"MAISFC")</f>
        <v>MAISFC</v>
      </c>
      <c r="D105" s="160" t="str">
        <f>IFERROR(__xludf.DUMMYFUNCTION("""COMPUTED_VALUE"""),"ENCARGAD@ ECICEP (2 HRS)")</f>
        <v>ENCARGAD@ ECICEP (2 HRS)</v>
      </c>
      <c r="E105" s="162">
        <f>IFERROR(__xludf.DUMMYFUNCTION("""COMPUTED_VALUE"""),2.0)</f>
        <v>2</v>
      </c>
      <c r="F105" s="154" t="str">
        <f>IFERROR(__xludf.DUMMYFUNCTION("""COMPUTED_VALUE"""),"SI")</f>
        <v>SI</v>
      </c>
      <c r="G105" s="155"/>
      <c r="H105" s="156"/>
    </row>
    <row r="106" ht="26.25" customHeight="1">
      <c r="A106" s="157" t="str">
        <f>IFERROR(__xludf.DUMMYFUNCTION("""COMPUTED_VALUE"""),"GES_096")</f>
        <v>GES_096</v>
      </c>
      <c r="B106" s="158" t="str">
        <f>IFERROR(__xludf.DUMMYFUNCTION("""COMPUTED_VALUE"""),"GESTION")</f>
        <v>GESTION</v>
      </c>
      <c r="C106" s="159" t="str">
        <f>IFERROR(__xludf.DUMMYFUNCTION("""COMPUTED_VALUE"""),"MAISFC")</f>
        <v>MAISFC</v>
      </c>
      <c r="D106" s="160" t="str">
        <f>IFERROR(__xludf.DUMMYFUNCTION("""COMPUTED_VALUE"""),"ENCARGAD@ ECICEP (22 HRS)")</f>
        <v>ENCARGAD@ ECICEP (22 HRS)</v>
      </c>
      <c r="E106" s="162">
        <f>IFERROR(__xludf.DUMMYFUNCTION("""COMPUTED_VALUE"""),22.0)</f>
        <v>22</v>
      </c>
      <c r="F106" s="154" t="str">
        <f>IFERROR(__xludf.DUMMYFUNCTION("""COMPUTED_VALUE"""),"SI")</f>
        <v>SI</v>
      </c>
      <c r="G106" s="155"/>
      <c r="H106" s="156"/>
    </row>
    <row r="107" ht="26.25" customHeight="1">
      <c r="A107" s="157" t="str">
        <f>IFERROR(__xludf.DUMMYFUNCTION("""COMPUTED_VALUE"""),"GES_097")</f>
        <v>GES_097</v>
      </c>
      <c r="B107" s="158" t="str">
        <f>IFERROR(__xludf.DUMMYFUNCTION("""COMPUTED_VALUE"""),"GESTION")</f>
        <v>GESTION</v>
      </c>
      <c r="C107" s="159" t="str">
        <f>IFERROR(__xludf.DUMMYFUNCTION("""COMPUTED_VALUE"""),"MAISFC")</f>
        <v>MAISFC</v>
      </c>
      <c r="D107" s="160" t="str">
        <f>IFERROR(__xludf.DUMMYFUNCTION("""COMPUTED_VALUE"""),"ENCARGAD@ ECICEP (8 HRS)")</f>
        <v>ENCARGAD@ ECICEP (8 HRS)</v>
      </c>
      <c r="E107" s="162">
        <f>IFERROR(__xludf.DUMMYFUNCTION("""COMPUTED_VALUE"""),8.0)</f>
        <v>8</v>
      </c>
      <c r="F107" s="154" t="str">
        <f>IFERROR(__xludf.DUMMYFUNCTION("""COMPUTED_VALUE"""),"SI")</f>
        <v>SI</v>
      </c>
      <c r="G107" s="155"/>
      <c r="H107" s="156"/>
    </row>
    <row r="108" ht="26.25" customHeight="1">
      <c r="A108" s="157" t="str">
        <f>IFERROR(__xludf.DUMMYFUNCTION("""COMPUTED_VALUE"""),"GES_098")</f>
        <v>GES_098</v>
      </c>
      <c r="B108" s="158" t="str">
        <f>IFERROR(__xludf.DUMMYFUNCTION("""COMPUTED_VALUE"""),"GESTION")</f>
        <v>GESTION</v>
      </c>
      <c r="C108" s="159" t="str">
        <f>IFERROR(__xludf.DUMMYFUNCTION("""COMPUTED_VALUE"""),"MAISFC")</f>
        <v>MAISFC</v>
      </c>
      <c r="D108" s="160" t="str">
        <f>IFERROR(__xludf.DUMMYFUNCTION("""COMPUTED_VALUE"""),"ENCARGAD@ EQUIDAD RURAL")</f>
        <v>ENCARGAD@ EQUIDAD RURAL</v>
      </c>
      <c r="E108" s="162">
        <f>IFERROR(__xludf.DUMMYFUNCTION("""COMPUTED_VALUE"""),22.0)</f>
        <v>22</v>
      </c>
      <c r="F108" s="154" t="str">
        <f>IFERROR(__xludf.DUMMYFUNCTION("""COMPUTED_VALUE"""),"SI")</f>
        <v>SI</v>
      </c>
      <c r="G108" s="155"/>
      <c r="H108" s="156"/>
    </row>
    <row r="109" ht="26.25" customHeight="1">
      <c r="A109" s="157" t="str">
        <f>IFERROR(__xludf.DUMMYFUNCTION("""COMPUTED_VALUE"""),"GES_099")</f>
        <v>GES_099</v>
      </c>
      <c r="B109" s="158" t="str">
        <f>IFERROR(__xludf.DUMMYFUNCTION("""COMPUTED_VALUE"""),"GESTION")</f>
        <v>GESTION</v>
      </c>
      <c r="C109" s="159" t="str">
        <f>IFERROR(__xludf.DUMMYFUNCTION("""COMPUTED_VALUE"""),"MAISFC")</f>
        <v>MAISFC</v>
      </c>
      <c r="D109" s="160" t="str">
        <f>IFERROR(__xludf.DUMMYFUNCTION("""COMPUTED_VALUE"""),"ENCARGAD@ SALUD FAMILIAR")</f>
        <v>ENCARGAD@ SALUD FAMILIAR</v>
      </c>
      <c r="E109" s="162">
        <f>IFERROR(__xludf.DUMMYFUNCTION("""COMPUTED_VALUE"""),11.0)</f>
        <v>11</v>
      </c>
      <c r="F109" s="154" t="str">
        <f>IFERROR(__xludf.DUMMYFUNCTION("""COMPUTED_VALUE"""),"SI")</f>
        <v>SI</v>
      </c>
      <c r="G109" s="155"/>
      <c r="H109" s="156"/>
    </row>
    <row r="110" ht="26.25" customHeight="1">
      <c r="A110" s="157" t="str">
        <f>IFERROR(__xludf.DUMMYFUNCTION("""COMPUTED_VALUE"""),"GES_100")</f>
        <v>GES_100</v>
      </c>
      <c r="B110" s="158" t="str">
        <f>IFERROR(__xludf.DUMMYFUNCTION("""COMPUTED_VALUE"""),"GESTION")</f>
        <v>GESTION</v>
      </c>
      <c r="C110" s="159" t="str">
        <f>IFERROR(__xludf.DUMMYFUNCTION("""COMPUTED_VALUE"""),"MAISFC")</f>
        <v>MAISFC</v>
      </c>
      <c r="D110" s="160" t="str">
        <f>IFERROR(__xludf.DUMMYFUNCTION("""COMPUTED_VALUE"""),"GESTION DE CASOS ( 3 HRS)")</f>
        <v>GESTION DE CASOS ( 3 HRS)</v>
      </c>
      <c r="E110" s="162">
        <f>IFERROR(__xludf.DUMMYFUNCTION("""COMPUTED_VALUE"""),3.0)</f>
        <v>3</v>
      </c>
      <c r="F110" s="154" t="str">
        <f>IFERROR(__xludf.DUMMYFUNCTION("""COMPUTED_VALUE"""),"SI")</f>
        <v>SI</v>
      </c>
      <c r="G110" s="155"/>
      <c r="H110" s="156"/>
    </row>
    <row r="111" ht="26.25" customHeight="1">
      <c r="A111" s="157" t="str">
        <f>IFERROR(__xludf.DUMMYFUNCTION("""COMPUTED_VALUE"""),"GES_101")</f>
        <v>GES_101</v>
      </c>
      <c r="B111" s="158" t="str">
        <f>IFERROR(__xludf.DUMMYFUNCTION("""COMPUTED_VALUE"""),"GESTION")</f>
        <v>GESTION</v>
      </c>
      <c r="C111" s="159" t="str">
        <f>IFERROR(__xludf.DUMMYFUNCTION("""COMPUTED_VALUE"""),"MAISFC")</f>
        <v>MAISFC</v>
      </c>
      <c r="D111" s="160" t="str">
        <f>IFERROR(__xludf.DUMMYFUNCTION("""COMPUTED_VALUE"""),"GESTION DE CASOS (0,5)")</f>
        <v>GESTION DE CASOS (0,5)</v>
      </c>
      <c r="E111" s="162">
        <f>IFERROR(__xludf.DUMMYFUNCTION("""COMPUTED_VALUE"""),0.5)</f>
        <v>0.5</v>
      </c>
      <c r="F111" s="154" t="str">
        <f>IFERROR(__xludf.DUMMYFUNCTION("""COMPUTED_VALUE"""),"SI")</f>
        <v>SI</v>
      </c>
      <c r="G111" s="155"/>
      <c r="H111" s="156"/>
    </row>
    <row r="112" ht="26.25" customHeight="1">
      <c r="A112" s="157" t="str">
        <f>IFERROR(__xludf.DUMMYFUNCTION("""COMPUTED_VALUE"""),"GES_102")</f>
        <v>GES_102</v>
      </c>
      <c r="B112" s="158" t="str">
        <f>IFERROR(__xludf.DUMMYFUNCTION("""COMPUTED_VALUE"""),"GESTION")</f>
        <v>GESTION</v>
      </c>
      <c r="C112" s="159" t="str">
        <f>IFERROR(__xludf.DUMMYFUNCTION("""COMPUTED_VALUE"""),"MAISFC")</f>
        <v>MAISFC</v>
      </c>
      <c r="D112" s="160" t="str">
        <f>IFERROR(__xludf.DUMMYFUNCTION("""COMPUTED_VALUE"""),"GESTION DE CASOS (4 hrs/semana)")</f>
        <v>GESTION DE CASOS (4 hrs/semana)</v>
      </c>
      <c r="E112" s="162">
        <f>IFERROR(__xludf.DUMMYFUNCTION("""COMPUTED_VALUE"""),4.0)</f>
        <v>4</v>
      </c>
      <c r="F112" s="154" t="str">
        <f>IFERROR(__xludf.DUMMYFUNCTION("""COMPUTED_VALUE"""),"SI")</f>
        <v>SI</v>
      </c>
      <c r="G112" s="155"/>
      <c r="H112" s="156"/>
    </row>
    <row r="113" ht="26.25" customHeight="1">
      <c r="A113" s="157" t="str">
        <f>IFERROR(__xludf.DUMMYFUNCTION("""COMPUTED_VALUE"""),"GES_103")</f>
        <v>GES_103</v>
      </c>
      <c r="B113" s="158" t="str">
        <f>IFERROR(__xludf.DUMMYFUNCTION("""COMPUTED_VALUE"""),"GESTION")</f>
        <v>GESTION</v>
      </c>
      <c r="C113" s="159" t="str">
        <f>IFERROR(__xludf.DUMMYFUNCTION("""COMPUTED_VALUE"""),"MAISFC")</f>
        <v>MAISFC</v>
      </c>
      <c r="D113" s="160" t="str">
        <f>IFERROR(__xludf.DUMMYFUNCTION("""COMPUTED_VALUE"""),"GESTION DE CASOS (6 hrs/semana)")</f>
        <v>GESTION DE CASOS (6 hrs/semana)</v>
      </c>
      <c r="E113" s="162">
        <f>IFERROR(__xludf.DUMMYFUNCTION("""COMPUTED_VALUE"""),6.0)</f>
        <v>6</v>
      </c>
      <c r="F113" s="154" t="str">
        <f>IFERROR(__xludf.DUMMYFUNCTION("""COMPUTED_VALUE"""),"SI")</f>
        <v>SI</v>
      </c>
      <c r="G113" s="155"/>
      <c r="H113" s="156"/>
    </row>
    <row r="114" ht="26.25" customHeight="1">
      <c r="A114" s="157" t="str">
        <f>IFERROR(__xludf.DUMMYFUNCTION("""COMPUTED_VALUE"""),"GES_104")</f>
        <v>GES_104</v>
      </c>
      <c r="B114" s="158" t="str">
        <f>IFERROR(__xludf.DUMMYFUNCTION("""COMPUTED_VALUE"""),"GESTION")</f>
        <v>GESTION</v>
      </c>
      <c r="C114" s="159" t="str">
        <f>IFERROR(__xludf.DUMMYFUNCTION("""COMPUTED_VALUE"""),"MAISFC")</f>
        <v>MAISFC</v>
      </c>
      <c r="D114" s="160" t="str">
        <f>IFERROR(__xludf.DUMMYFUNCTION("""COMPUTED_VALUE"""),"GESTION DE CASOS (8 hrs/semana)")</f>
        <v>GESTION DE CASOS (8 hrs/semana)</v>
      </c>
      <c r="E114" s="162">
        <f>IFERROR(__xludf.DUMMYFUNCTION("""COMPUTED_VALUE"""),8.0)</f>
        <v>8</v>
      </c>
      <c r="F114" s="154" t="str">
        <f>IFERROR(__xludf.DUMMYFUNCTION("""COMPUTED_VALUE"""),"SI")</f>
        <v>SI</v>
      </c>
      <c r="G114" s="155"/>
      <c r="H114" s="156"/>
    </row>
    <row r="115" ht="26.25" customHeight="1">
      <c r="A115" s="157" t="str">
        <f>IFERROR(__xludf.DUMMYFUNCTION("""COMPUTED_VALUE"""),"GES_105")</f>
        <v>GES_105</v>
      </c>
      <c r="B115" s="158" t="str">
        <f>IFERROR(__xludf.DUMMYFUNCTION("""COMPUTED_VALUE"""),"GESTION")</f>
        <v>GESTION</v>
      </c>
      <c r="C115" s="159" t="str">
        <f>IFERROR(__xludf.DUMMYFUNCTION("""COMPUTED_VALUE"""),"MAISFC")</f>
        <v>MAISFC</v>
      </c>
      <c r="D115" s="160" t="str">
        <f>IFERROR(__xludf.DUMMYFUNCTION("""COMPUTED_VALUE"""),"JEFE SECTOR (11 HORAS)")</f>
        <v>JEFE SECTOR (11 HORAS)</v>
      </c>
      <c r="E115" s="162">
        <f>IFERROR(__xludf.DUMMYFUNCTION("""COMPUTED_VALUE"""),11.0)</f>
        <v>11</v>
      </c>
      <c r="F115" s="154" t="str">
        <f>IFERROR(__xludf.DUMMYFUNCTION("""COMPUTED_VALUE"""),"SI")</f>
        <v>SI</v>
      </c>
      <c r="G115" s="155"/>
      <c r="H115" s="156"/>
    </row>
    <row r="116" ht="26.25" customHeight="1">
      <c r="A116" s="157" t="str">
        <f>IFERROR(__xludf.DUMMYFUNCTION("""COMPUTED_VALUE"""),"GES_106")</f>
        <v>GES_106</v>
      </c>
      <c r="B116" s="158" t="str">
        <f>IFERROR(__xludf.DUMMYFUNCTION("""COMPUTED_VALUE"""),"GESTION")</f>
        <v>GESTION</v>
      </c>
      <c r="C116" s="159" t="str">
        <f>IFERROR(__xludf.DUMMYFUNCTION("""COMPUTED_VALUE"""),"MAISFC")</f>
        <v>MAISFC</v>
      </c>
      <c r="D116" s="160" t="str">
        <f>IFERROR(__xludf.DUMMYFUNCTION("""COMPUTED_VALUE"""),"JEFE SECTOR (2 HORAS)")</f>
        <v>JEFE SECTOR (2 HORAS)</v>
      </c>
      <c r="E116" s="162">
        <f>IFERROR(__xludf.DUMMYFUNCTION("""COMPUTED_VALUE"""),2.0)</f>
        <v>2</v>
      </c>
      <c r="F116" s="154" t="str">
        <f>IFERROR(__xludf.DUMMYFUNCTION("""COMPUTED_VALUE"""),"SI")</f>
        <v>SI</v>
      </c>
      <c r="G116" s="155"/>
      <c r="H116" s="156"/>
    </row>
    <row r="117" ht="26.25" customHeight="1">
      <c r="A117" s="157" t="str">
        <f>IFERROR(__xludf.DUMMYFUNCTION("""COMPUTED_VALUE"""),"GES_107")</f>
        <v>GES_107</v>
      </c>
      <c r="B117" s="158" t="str">
        <f>IFERROR(__xludf.DUMMYFUNCTION("""COMPUTED_VALUE"""),"GESTION")</f>
        <v>GESTION</v>
      </c>
      <c r="C117" s="159" t="str">
        <f>IFERROR(__xludf.DUMMYFUNCTION("""COMPUTED_VALUE"""),"MAISFC")</f>
        <v>MAISFC</v>
      </c>
      <c r="D117" s="160" t="str">
        <f>IFERROR(__xludf.DUMMYFUNCTION("""COMPUTED_VALUE"""),"JEFE SECTOR (22HORAS)")</f>
        <v>JEFE SECTOR (22HORAS)</v>
      </c>
      <c r="E117" s="162">
        <f>IFERROR(__xludf.DUMMYFUNCTION("""COMPUTED_VALUE"""),22.0)</f>
        <v>22</v>
      </c>
      <c r="F117" s="154" t="str">
        <f>IFERROR(__xludf.DUMMYFUNCTION("""COMPUTED_VALUE"""),"SI")</f>
        <v>SI</v>
      </c>
      <c r="G117" s="155"/>
      <c r="H117" s="156"/>
    </row>
    <row r="118" ht="26.25" customHeight="1">
      <c r="A118" s="157" t="str">
        <f>IFERROR(__xludf.DUMMYFUNCTION("""COMPUTED_VALUE"""),"GES_108")</f>
        <v>GES_108</v>
      </c>
      <c r="B118" s="158" t="str">
        <f>IFERROR(__xludf.DUMMYFUNCTION("""COMPUTED_VALUE"""),"GESTION")</f>
        <v>GESTION</v>
      </c>
      <c r="C118" s="159" t="str">
        <f>IFERROR(__xludf.DUMMYFUNCTION("""COMPUTED_VALUE"""),"MAISFC")</f>
        <v>MAISFC</v>
      </c>
      <c r="D118" s="160" t="str">
        <f>IFERROR(__xludf.DUMMYFUNCTION("""COMPUTED_VALUE"""),"JEFE SECTOR (44 HORAS)")</f>
        <v>JEFE SECTOR (44 HORAS)</v>
      </c>
      <c r="E118" s="162">
        <f>IFERROR(__xludf.DUMMYFUNCTION("""COMPUTED_VALUE"""),44.0)</f>
        <v>44</v>
      </c>
      <c r="F118" s="154" t="str">
        <f>IFERROR(__xludf.DUMMYFUNCTION("""COMPUTED_VALUE"""),"SI")</f>
        <v>SI</v>
      </c>
      <c r="G118" s="155"/>
      <c r="H118" s="156"/>
    </row>
    <row r="119" ht="26.25" customHeight="1">
      <c r="A119" s="157" t="str">
        <f>IFERROR(__xludf.DUMMYFUNCTION("""COMPUTED_VALUE"""),"GES_109")</f>
        <v>GES_109</v>
      </c>
      <c r="B119" s="158" t="str">
        <f>IFERROR(__xludf.DUMMYFUNCTION("""COMPUTED_VALUE"""),"GESTION")</f>
        <v>GESTION</v>
      </c>
      <c r="C119" s="159" t="str">
        <f>IFERROR(__xludf.DUMMYFUNCTION("""COMPUTED_VALUE"""),"MAISFC")</f>
        <v>MAISFC</v>
      </c>
      <c r="D119" s="160" t="str">
        <f>IFERROR(__xludf.DUMMYFUNCTION("""COMPUTED_VALUE"""),"JEFE SECTOR (5 HORAS)")</f>
        <v>JEFE SECTOR (5 HORAS)</v>
      </c>
      <c r="E119" s="162">
        <f>IFERROR(__xludf.DUMMYFUNCTION("""COMPUTED_VALUE"""),5.0)</f>
        <v>5</v>
      </c>
      <c r="F119" s="154" t="str">
        <f>IFERROR(__xludf.DUMMYFUNCTION("""COMPUTED_VALUE"""),"SI")</f>
        <v>SI</v>
      </c>
      <c r="G119" s="155"/>
      <c r="H119" s="156"/>
    </row>
    <row r="120" ht="26.25" customHeight="1">
      <c r="A120" s="157" t="str">
        <f>IFERROR(__xludf.DUMMYFUNCTION("""COMPUTED_VALUE"""),"GES_110")</f>
        <v>GES_110</v>
      </c>
      <c r="B120" s="158" t="str">
        <f>IFERROR(__xludf.DUMMYFUNCTION("""COMPUTED_VALUE"""),"GESTION")</f>
        <v>GESTION</v>
      </c>
      <c r="C120" s="159" t="str">
        <f>IFERROR(__xludf.DUMMYFUNCTION("""COMPUTED_VALUE"""),"MAISFC")</f>
        <v>MAISFC</v>
      </c>
      <c r="D120" s="160" t="str">
        <f>IFERROR(__xludf.DUMMYFUNCTION("""COMPUTED_VALUE"""),"JEFE SECTOR (7 HORAS)")</f>
        <v>JEFE SECTOR (7 HORAS)</v>
      </c>
      <c r="E120" s="162">
        <f>IFERROR(__xludf.DUMMYFUNCTION("""COMPUTED_VALUE"""),7.0)</f>
        <v>7</v>
      </c>
      <c r="F120" s="154" t="str">
        <f>IFERROR(__xludf.DUMMYFUNCTION("""COMPUTED_VALUE"""),"SI")</f>
        <v>SI</v>
      </c>
      <c r="G120" s="155"/>
      <c r="H120" s="156"/>
    </row>
    <row r="121" ht="26.25" customHeight="1">
      <c r="A121" s="157" t="str">
        <f>IFERROR(__xludf.DUMMYFUNCTION("""COMPUTED_VALUE"""),"GES_308")</f>
        <v>GES_308</v>
      </c>
      <c r="B121" s="158" t="str">
        <f>IFERROR(__xludf.DUMMYFUNCTION("""COMPUTED_VALUE"""),"GESTION")</f>
        <v>GESTION</v>
      </c>
      <c r="C121" s="159" t="str">
        <f>IFERROR(__xludf.DUMMYFUNCTION("""COMPUTED_VALUE"""),"MAISFC")</f>
        <v>MAISFC</v>
      </c>
      <c r="D121" s="160" t="str">
        <f>IFERROR(__xludf.DUMMYFUNCTION("""COMPUTED_VALUE"""),"JEFE SECTOR (7,5 HORAS)")</f>
        <v>JEFE SECTOR (7,5 HORAS)</v>
      </c>
      <c r="E121" s="162">
        <f>IFERROR(__xludf.DUMMYFUNCTION("""COMPUTED_VALUE"""),7.5)</f>
        <v>7.5</v>
      </c>
      <c r="F121" s="154" t="str">
        <f>IFERROR(__xludf.DUMMYFUNCTION("""COMPUTED_VALUE"""),"SI")</f>
        <v>SI</v>
      </c>
      <c r="G121" s="155"/>
      <c r="H121" s="156"/>
    </row>
    <row r="122" ht="26.25" customHeight="1">
      <c r="A122" s="157" t="str">
        <f>IFERROR(__xludf.DUMMYFUNCTION("""COMPUTED_VALUE"""),"GES_310")</f>
        <v>GES_310</v>
      </c>
      <c r="B122" s="158" t="str">
        <f>IFERROR(__xludf.DUMMYFUNCTION("""COMPUTED_VALUE"""),"GESTION")</f>
        <v>GESTION</v>
      </c>
      <c r="C122" s="159" t="str">
        <f>IFERROR(__xludf.DUMMYFUNCTION("""COMPUTED_VALUE"""),"MAISFC")</f>
        <v>MAISFC</v>
      </c>
      <c r="D122" s="160" t="str">
        <f>IFERROR(__xludf.DUMMYFUNCTION("""COMPUTED_VALUE"""),"ENCARGAD@ ECICEP (3 HRS)")</f>
        <v>ENCARGAD@ ECICEP (3 HRS)</v>
      </c>
      <c r="E122" s="162">
        <f>IFERROR(__xludf.DUMMYFUNCTION("""COMPUTED_VALUE"""),3.0)</f>
        <v>3</v>
      </c>
      <c r="F122" s="154" t="str">
        <f>IFERROR(__xludf.DUMMYFUNCTION("""COMPUTED_VALUE"""),"SI")</f>
        <v>SI</v>
      </c>
      <c r="G122" s="155"/>
      <c r="H122" s="156"/>
    </row>
    <row r="123" ht="26.25" customHeight="1">
      <c r="A123" s="157" t="str">
        <f>IFERROR(__xludf.DUMMYFUNCTION("""COMPUTED_VALUE"""),"GES_111")</f>
        <v>GES_111</v>
      </c>
      <c r="B123" s="158" t="str">
        <f>IFERROR(__xludf.DUMMYFUNCTION("""COMPUTED_VALUE"""),"GESTION")</f>
        <v>GESTION</v>
      </c>
      <c r="C123" s="159" t="str">
        <f>IFERROR(__xludf.DUMMYFUNCTION("""COMPUTED_VALUE"""),"PROGRAMA - CICLO VITAL")</f>
        <v>PROGRAMA - CICLO VITAL</v>
      </c>
      <c r="D123" s="160" t="str">
        <f>IFERROR(__xludf.DUMMYFUNCTION("""COMPUTED_VALUE"""),"ENCARGAD@ MEJOR NIÑEZ")</f>
        <v>ENCARGAD@ MEJOR NIÑEZ</v>
      </c>
      <c r="E123" s="162">
        <f>IFERROR(__xludf.DUMMYFUNCTION("""COMPUTED_VALUE"""),3.0)</f>
        <v>3</v>
      </c>
      <c r="F123" s="154" t="str">
        <f>IFERROR(__xludf.DUMMYFUNCTION("""COMPUTED_VALUE"""),"SI")</f>
        <v>SI</v>
      </c>
      <c r="G123" s="155"/>
      <c r="H123" s="156"/>
    </row>
    <row r="124" ht="26.25" customHeight="1">
      <c r="A124" s="157" t="str">
        <f>IFERROR(__xludf.DUMMYFUNCTION("""COMPUTED_VALUE"""),"GES_112")</f>
        <v>GES_112</v>
      </c>
      <c r="B124" s="158" t="str">
        <f>IFERROR(__xludf.DUMMYFUNCTION("""COMPUTED_VALUE"""),"GESTION")</f>
        <v>GESTION</v>
      </c>
      <c r="C124" s="159" t="str">
        <f>IFERROR(__xludf.DUMMYFUNCTION("""COMPUTED_VALUE"""),"PROGRAMA - CICLO VITAL")</f>
        <v>PROGRAMA - CICLO VITAL</v>
      </c>
      <c r="D124" s="160" t="str">
        <f>IFERROR(__xludf.DUMMYFUNCTION("""COMPUTED_VALUE"""),"ENCARGAD@ MEJOR NIÑEZ (2 HRS)")</f>
        <v>ENCARGAD@ MEJOR NIÑEZ (2 HRS)</v>
      </c>
      <c r="E124" s="162">
        <f>IFERROR(__xludf.DUMMYFUNCTION("""COMPUTED_VALUE"""),2.0)</f>
        <v>2</v>
      </c>
      <c r="F124" s="154" t="str">
        <f>IFERROR(__xludf.DUMMYFUNCTION("""COMPUTED_VALUE"""),"SI")</f>
        <v>SI</v>
      </c>
      <c r="G124" s="155"/>
      <c r="H124" s="156"/>
    </row>
    <row r="125" ht="26.25" customHeight="1">
      <c r="A125" s="157" t="str">
        <f>IFERROR(__xludf.DUMMYFUNCTION("""COMPUTED_VALUE"""),"GES_113")</f>
        <v>GES_113</v>
      </c>
      <c r="B125" s="158" t="str">
        <f>IFERROR(__xludf.DUMMYFUNCTION("""COMPUTED_VALUE"""),"GESTION")</f>
        <v>GESTION</v>
      </c>
      <c r="C125" s="159" t="str">
        <f>IFERROR(__xludf.DUMMYFUNCTION("""COMPUTED_VALUE"""),"PROGRAMA - CICLO VITAL")</f>
        <v>PROGRAMA - CICLO VITAL</v>
      </c>
      <c r="D125" s="160" t="str">
        <f>IFERROR(__xludf.DUMMYFUNCTION("""COMPUTED_VALUE"""),"ENCARGAD@ MEJOR NIÑEZ (3 HRS)")</f>
        <v>ENCARGAD@ MEJOR NIÑEZ (3 HRS)</v>
      </c>
      <c r="E125" s="162">
        <f>IFERROR(__xludf.DUMMYFUNCTION("""COMPUTED_VALUE"""),3.0)</f>
        <v>3</v>
      </c>
      <c r="F125" s="154" t="str">
        <f>IFERROR(__xludf.DUMMYFUNCTION("""COMPUTED_VALUE"""),"SI")</f>
        <v>SI</v>
      </c>
      <c r="G125" s="155"/>
      <c r="H125" s="156"/>
    </row>
    <row r="126" ht="26.25" customHeight="1">
      <c r="A126" s="157" t="str">
        <f>IFERROR(__xludf.DUMMYFUNCTION("""COMPUTED_VALUE"""),"GES_114")</f>
        <v>GES_114</v>
      </c>
      <c r="B126" s="158" t="str">
        <f>IFERROR(__xludf.DUMMYFUNCTION("""COMPUTED_VALUE"""),"GESTION")</f>
        <v>GESTION</v>
      </c>
      <c r="C126" s="159" t="str">
        <f>IFERROR(__xludf.DUMMYFUNCTION("""COMPUTED_VALUE"""),"PROGRAMA - CICLO VITAL")</f>
        <v>PROGRAMA - CICLO VITAL</v>
      </c>
      <c r="D126" s="160" t="str">
        <f>IFERROR(__xludf.DUMMYFUNCTION("""COMPUTED_VALUE"""),"ENCARGAD@ MEJOR NIÑEZ (5 HRS)")</f>
        <v>ENCARGAD@ MEJOR NIÑEZ (5 HRS)</v>
      </c>
      <c r="E126" s="162">
        <f>IFERROR(__xludf.DUMMYFUNCTION("""COMPUTED_VALUE"""),5.0)</f>
        <v>5</v>
      </c>
      <c r="F126" s="154" t="str">
        <f>IFERROR(__xludf.DUMMYFUNCTION("""COMPUTED_VALUE"""),"SI")</f>
        <v>SI</v>
      </c>
      <c r="G126" s="155"/>
      <c r="H126" s="156"/>
    </row>
    <row r="127" ht="26.25" customHeight="1">
      <c r="A127" s="157" t="str">
        <f>IFERROR(__xludf.DUMMYFUNCTION("""COMPUTED_VALUE"""),"GES_115")</f>
        <v>GES_115</v>
      </c>
      <c r="B127" s="158" t="str">
        <f>IFERROR(__xludf.DUMMYFUNCTION("""COMPUTED_VALUE"""),"GESTION")</f>
        <v>GESTION</v>
      </c>
      <c r="C127" s="159" t="str">
        <f>IFERROR(__xludf.DUMMYFUNCTION("""COMPUTED_VALUE"""),"PROGRAMA - CICLO VITAL")</f>
        <v>PROGRAMA - CICLO VITAL</v>
      </c>
      <c r="D127" s="160" t="str">
        <f>IFERROR(__xludf.DUMMYFUNCTION("""COMPUTED_VALUE"""),"ENCARGAD@ PROGRAMA ADULTO Y ADULTO MAYOR (PSCV)")</f>
        <v>ENCARGAD@ PROGRAMA ADULTO Y ADULTO MAYOR (PSCV)</v>
      </c>
      <c r="E127" s="162">
        <f>IFERROR(__xludf.DUMMYFUNCTION("""COMPUTED_VALUE"""),11.0)</f>
        <v>11</v>
      </c>
      <c r="F127" s="154" t="str">
        <f>IFERROR(__xludf.DUMMYFUNCTION("""COMPUTED_VALUE"""),"SI")</f>
        <v>SI</v>
      </c>
      <c r="G127" s="155"/>
      <c r="H127" s="156"/>
    </row>
    <row r="128" ht="33.75" customHeight="1">
      <c r="A128" s="157" t="str">
        <f>IFERROR(__xludf.DUMMYFUNCTION("""COMPUTED_VALUE"""),"GES_116")</f>
        <v>GES_116</v>
      </c>
      <c r="B128" s="158" t="str">
        <f>IFERROR(__xludf.DUMMYFUNCTION("""COMPUTED_VALUE"""),"GESTION")</f>
        <v>GESTION</v>
      </c>
      <c r="C128" s="159" t="str">
        <f>IFERROR(__xludf.DUMMYFUNCTION("""COMPUTED_VALUE"""),"PROGRAMA - CICLO VITAL")</f>
        <v>PROGRAMA - CICLO VITAL</v>
      </c>
      <c r="D128" s="160" t="str">
        <f>IFERROR(__xludf.DUMMYFUNCTION("""COMPUTED_VALUE"""),"ENCARGAD@ PROGRAMA ADULTO Y ADULTO MAYOR (PSCV) (22 HRS)")</f>
        <v>ENCARGAD@ PROGRAMA ADULTO Y ADULTO MAYOR (PSCV) (22 HRS)</v>
      </c>
      <c r="E128" s="162">
        <f>IFERROR(__xludf.DUMMYFUNCTION("""COMPUTED_VALUE"""),22.0)</f>
        <v>22</v>
      </c>
      <c r="F128" s="154" t="str">
        <f>IFERROR(__xludf.DUMMYFUNCTION("""COMPUTED_VALUE"""),"SI")</f>
        <v>SI</v>
      </c>
      <c r="G128" s="155"/>
      <c r="H128" s="156"/>
    </row>
    <row r="129" ht="26.25" customHeight="1">
      <c r="A129" s="157" t="str">
        <f>IFERROR(__xludf.DUMMYFUNCTION("""COMPUTED_VALUE"""),"GES_117")</f>
        <v>GES_117</v>
      </c>
      <c r="B129" s="158" t="str">
        <f>IFERROR(__xludf.DUMMYFUNCTION("""COMPUTED_VALUE"""),"GESTION")</f>
        <v>GESTION</v>
      </c>
      <c r="C129" s="159" t="str">
        <f>IFERROR(__xludf.DUMMYFUNCTION("""COMPUTED_VALUE"""),"PROGRAMA - CICLO VITAL")</f>
        <v>PROGRAMA - CICLO VITAL</v>
      </c>
      <c r="D129" s="160" t="str">
        <f>IFERROR(__xludf.DUMMYFUNCTION("""COMPUTED_VALUE"""),"ENCARGAD@ PROGRAMA CHCC (2 HRS)")</f>
        <v>ENCARGAD@ PROGRAMA CHCC (2 HRS)</v>
      </c>
      <c r="E129" s="162">
        <f>IFERROR(__xludf.DUMMYFUNCTION("""COMPUTED_VALUE"""),2.0)</f>
        <v>2</v>
      </c>
      <c r="F129" s="154" t="str">
        <f>IFERROR(__xludf.DUMMYFUNCTION("""COMPUTED_VALUE"""),"SI")</f>
        <v>SI</v>
      </c>
      <c r="G129" s="155"/>
      <c r="H129" s="156"/>
    </row>
    <row r="130" ht="26.25" customHeight="1">
      <c r="A130" s="157" t="str">
        <f>IFERROR(__xludf.DUMMYFUNCTION("""COMPUTED_VALUE"""),"GES_118")</f>
        <v>GES_118</v>
      </c>
      <c r="B130" s="158" t="str">
        <f>IFERROR(__xludf.DUMMYFUNCTION("""COMPUTED_VALUE"""),"GESTION")</f>
        <v>GESTION</v>
      </c>
      <c r="C130" s="159" t="str">
        <f>IFERROR(__xludf.DUMMYFUNCTION("""COMPUTED_VALUE"""),"PROGRAMA - CICLO VITAL")</f>
        <v>PROGRAMA - CICLO VITAL</v>
      </c>
      <c r="D130" s="160" t="str">
        <f>IFERROR(__xludf.DUMMYFUNCTION("""COMPUTED_VALUE"""),"ENCARGAD@ PROGRAMA INFANCIA - ADOLESCENCIA - CHCC")</f>
        <v>ENCARGAD@ PROGRAMA INFANCIA - ADOLESCENCIA - CHCC</v>
      </c>
      <c r="E130" s="162">
        <f>IFERROR(__xludf.DUMMYFUNCTION("""COMPUTED_VALUE"""),11.0)</f>
        <v>11</v>
      </c>
      <c r="F130" s="154" t="str">
        <f>IFERROR(__xludf.DUMMYFUNCTION("""COMPUTED_VALUE"""),"SI")</f>
        <v>SI</v>
      </c>
      <c r="G130" s="155"/>
      <c r="H130" s="156"/>
    </row>
    <row r="131" ht="26.25" customHeight="1">
      <c r="A131" s="157" t="str">
        <f>IFERROR(__xludf.DUMMYFUNCTION("""COMPUTED_VALUE"""),"GES_119")</f>
        <v>GES_119</v>
      </c>
      <c r="B131" s="158" t="str">
        <f>IFERROR(__xludf.DUMMYFUNCTION("""COMPUTED_VALUE"""),"GESTION")</f>
        <v>GESTION</v>
      </c>
      <c r="C131" s="159" t="str">
        <f>IFERROR(__xludf.DUMMYFUNCTION("""COMPUTED_VALUE"""),"PROGRAMA - CICLO VITAL")</f>
        <v>PROGRAMA - CICLO VITAL</v>
      </c>
      <c r="D131" s="160" t="str">
        <f>IFERROR(__xludf.DUMMYFUNCTION("""COMPUTED_VALUE"""),"ENCARGAD@ PROGRAMA INFANCIA - ADOLESCENCIA - CHCC (22HRS)")</f>
        <v>ENCARGAD@ PROGRAMA INFANCIA - ADOLESCENCIA - CHCC (22HRS)</v>
      </c>
      <c r="E131" s="162">
        <f>IFERROR(__xludf.DUMMYFUNCTION("""COMPUTED_VALUE"""),22.0)</f>
        <v>22</v>
      </c>
      <c r="F131" s="154" t="str">
        <f>IFERROR(__xludf.DUMMYFUNCTION("""COMPUTED_VALUE"""),"SI")</f>
        <v>SI</v>
      </c>
      <c r="G131" s="155"/>
      <c r="H131" s="156"/>
    </row>
    <row r="132" ht="26.25" customHeight="1">
      <c r="A132" s="157" t="str">
        <f>IFERROR(__xludf.DUMMYFUNCTION("""COMPUTED_VALUE"""),"GES_120")</f>
        <v>GES_120</v>
      </c>
      <c r="B132" s="158" t="str">
        <f>IFERROR(__xludf.DUMMYFUNCTION("""COMPUTED_VALUE"""),"GESTION")</f>
        <v>GESTION</v>
      </c>
      <c r="C132" s="159" t="str">
        <f>IFERROR(__xludf.DUMMYFUNCTION("""COMPUTED_VALUE"""),"PROGRAMA - CICLO VITAL")</f>
        <v>PROGRAMA - CICLO VITAL</v>
      </c>
      <c r="D132" s="160" t="str">
        <f>IFERROR(__xludf.DUMMYFUNCTION("""COMPUTED_VALUE"""),"ENCARGAD@ SALA ESTIMULACION")</f>
        <v>ENCARGAD@ SALA ESTIMULACION</v>
      </c>
      <c r="E132" s="162">
        <f>IFERROR(__xludf.DUMMYFUNCTION("""COMPUTED_VALUE"""),2.0)</f>
        <v>2</v>
      </c>
      <c r="F132" s="154" t="str">
        <f>IFERROR(__xludf.DUMMYFUNCTION("""COMPUTED_VALUE"""),"SI")</f>
        <v>SI</v>
      </c>
      <c r="G132" s="155"/>
      <c r="H132" s="156"/>
    </row>
    <row r="133" ht="26.25" customHeight="1">
      <c r="A133" s="157" t="str">
        <f>IFERROR(__xludf.DUMMYFUNCTION("""COMPUTED_VALUE"""),"GES_121")</f>
        <v>GES_121</v>
      </c>
      <c r="B133" s="158" t="str">
        <f>IFERROR(__xludf.DUMMYFUNCTION("""COMPUTED_VALUE"""),"GESTION")</f>
        <v>GESTION</v>
      </c>
      <c r="C133" s="159" t="str">
        <f>IFERROR(__xludf.DUMMYFUNCTION("""COMPUTED_VALUE"""),"PROGRAMA - CICLO VITAL")</f>
        <v>PROGRAMA - CICLO VITAL</v>
      </c>
      <c r="D133" s="160" t="str">
        <f>IFERROR(__xludf.DUMMYFUNCTION("""COMPUTED_VALUE"""),"ENCARGAD@ SECTORIALISTA CHCC")</f>
        <v>ENCARGAD@ SECTORIALISTA CHCC</v>
      </c>
      <c r="E133" s="162">
        <f>IFERROR(__xludf.DUMMYFUNCTION("""COMPUTED_VALUE"""),2.5)</f>
        <v>2.5</v>
      </c>
      <c r="F133" s="154" t="str">
        <f>IFERROR(__xludf.DUMMYFUNCTION("""COMPUTED_VALUE"""),"SI")</f>
        <v>SI</v>
      </c>
      <c r="G133" s="155"/>
      <c r="H133" s="156"/>
    </row>
    <row r="134" ht="26.25" customHeight="1">
      <c r="A134" s="157" t="str">
        <f>IFERROR(__xludf.DUMMYFUNCTION("""COMPUTED_VALUE"""),"GES_122")</f>
        <v>GES_122</v>
      </c>
      <c r="B134" s="158" t="str">
        <f>IFERROR(__xludf.DUMMYFUNCTION("""COMPUTED_VALUE"""),"GESTION")</f>
        <v>GESTION</v>
      </c>
      <c r="C134" s="159" t="str">
        <f>IFERROR(__xludf.DUMMYFUNCTION("""COMPUTED_VALUE"""),"PROGRAMA - CICLO VITAL")</f>
        <v>PROGRAMA - CICLO VITAL</v>
      </c>
      <c r="D134" s="160" t="str">
        <f>IFERROR(__xludf.DUMMYFUNCTION("""COMPUTED_VALUE"""),"ENCARGAD@ SECTORIALISTA SECTOR")</f>
        <v>ENCARGAD@ SECTORIALISTA SECTOR</v>
      </c>
      <c r="E134" s="162">
        <f>IFERROR(__xludf.DUMMYFUNCTION("""COMPUTED_VALUE"""),2.0)</f>
        <v>2</v>
      </c>
      <c r="F134" s="154" t="str">
        <f>IFERROR(__xludf.DUMMYFUNCTION("""COMPUTED_VALUE"""),"SI")</f>
        <v>SI</v>
      </c>
      <c r="G134" s="155"/>
      <c r="H134" s="156"/>
    </row>
    <row r="135" ht="26.25" customHeight="1">
      <c r="A135" s="157" t="str">
        <f>IFERROR(__xludf.DUMMYFUNCTION("""COMPUTED_VALUE"""),"GES_123")</f>
        <v>GES_123</v>
      </c>
      <c r="B135" s="158" t="str">
        <f>IFERROR(__xludf.DUMMYFUNCTION("""COMPUTED_VALUE"""),"GESTION")</f>
        <v>GESTION</v>
      </c>
      <c r="C135" s="159" t="str">
        <f>IFERROR(__xludf.DUMMYFUNCTION("""COMPUTED_VALUE"""),"PROGRAMA - CICLO VITAL")</f>
        <v>PROGRAMA - CICLO VITAL</v>
      </c>
      <c r="D135" s="160" t="str">
        <f>IFERROR(__xludf.DUMMYFUNCTION("""COMPUTED_VALUE"""),"ENCARGADO COMUNAL COMITÉ ELEAM")</f>
        <v>ENCARGADO COMUNAL COMITÉ ELEAM</v>
      </c>
      <c r="E135" s="162">
        <f>IFERROR(__xludf.DUMMYFUNCTION("""COMPUTED_VALUE"""),5.0)</f>
        <v>5</v>
      </c>
      <c r="F135" s="154" t="str">
        <f>IFERROR(__xludf.DUMMYFUNCTION("""COMPUTED_VALUE"""),"SI")</f>
        <v>SI</v>
      </c>
      <c r="G135" s="155"/>
      <c r="H135" s="156"/>
    </row>
    <row r="136" ht="26.25" customHeight="1">
      <c r="A136" s="157" t="str">
        <f>IFERROR(__xludf.DUMMYFUNCTION("""COMPUTED_VALUE"""),"GES_124")</f>
        <v>GES_124</v>
      </c>
      <c r="B136" s="158" t="str">
        <f>IFERROR(__xludf.DUMMYFUNCTION("""COMPUTED_VALUE"""),"GESTION")</f>
        <v>GESTION</v>
      </c>
      <c r="C136" s="159" t="str">
        <f>IFERROR(__xludf.DUMMYFUNCTION("""COMPUTED_VALUE"""),"PROGRAMA - TRANSVERSAL")</f>
        <v>PROGRAMA - TRANSVERSAL</v>
      </c>
      <c r="D136" s="160" t="str">
        <f>IFERROR(__xludf.DUMMYFUNCTION("""COMPUTED_VALUE"""),"ACTIVIDAD FISICA PILOTO (1 HRS)")</f>
        <v>ACTIVIDAD FISICA PILOTO (1 HRS)</v>
      </c>
      <c r="E136" s="162">
        <f>IFERROR(__xludf.DUMMYFUNCTION("""COMPUTED_VALUE"""),1.0)</f>
        <v>1</v>
      </c>
      <c r="F136" s="154" t="str">
        <f>IFERROR(__xludf.DUMMYFUNCTION("""COMPUTED_VALUE"""),"SI")</f>
        <v>SI</v>
      </c>
      <c r="G136" s="155"/>
      <c r="H136" s="156"/>
    </row>
    <row r="137" ht="26.25" customHeight="1">
      <c r="A137" s="157" t="str">
        <f>IFERROR(__xludf.DUMMYFUNCTION("""COMPUTED_VALUE"""),"GES_125")</f>
        <v>GES_125</v>
      </c>
      <c r="B137" s="158" t="str">
        <f>IFERROR(__xludf.DUMMYFUNCTION("""COMPUTED_VALUE"""),"GESTION")</f>
        <v>GESTION</v>
      </c>
      <c r="C137" s="159" t="str">
        <f>IFERROR(__xludf.DUMMYFUNCTION("""COMPUTED_VALUE"""),"PROGRAMA - TRANSVERSAL")</f>
        <v>PROGRAMA - TRANSVERSAL</v>
      </c>
      <c r="D137" s="160" t="str">
        <f>IFERROR(__xludf.DUMMYFUNCTION("""COMPUTED_VALUE"""),"ACTIVIDADES DE MICROGESTIÓN SALUD MENTAL (10 MIN)")</f>
        <v>ACTIVIDADES DE MICROGESTIÓN SALUD MENTAL (10 MIN)</v>
      </c>
      <c r="E137" s="162">
        <f>IFERROR(__xludf.DUMMYFUNCTION("""COMPUTED_VALUE"""),0.16)</f>
        <v>0.16</v>
      </c>
      <c r="F137" s="154" t="str">
        <f>IFERROR(__xludf.DUMMYFUNCTION("""COMPUTED_VALUE"""),"SI")</f>
        <v>SI</v>
      </c>
      <c r="G137" s="155"/>
      <c r="H137" s="156"/>
    </row>
    <row r="138" ht="26.25" customHeight="1">
      <c r="A138" s="157" t="str">
        <f>IFERROR(__xludf.DUMMYFUNCTION("""COMPUTED_VALUE"""),"GES_126")</f>
        <v>GES_126</v>
      </c>
      <c r="B138" s="158" t="str">
        <f>IFERROR(__xludf.DUMMYFUNCTION("""COMPUTED_VALUE"""),"GESTION")</f>
        <v>GESTION</v>
      </c>
      <c r="C138" s="159" t="str">
        <f>IFERROR(__xludf.DUMMYFUNCTION("""COMPUTED_VALUE"""),"PROGRAMA - TRANSVERSAL")</f>
        <v>PROGRAMA - TRANSVERSAL</v>
      </c>
      <c r="D138" s="160" t="str">
        <f>IFERROR(__xludf.DUMMYFUNCTION("""COMPUTED_VALUE"""),"ACTIVIDADES DE MICROGESTIÓN SALUD MENTAL (15 MIN)")</f>
        <v>ACTIVIDADES DE MICROGESTIÓN SALUD MENTAL (15 MIN)</v>
      </c>
      <c r="E138" s="162">
        <f>IFERROR(__xludf.DUMMYFUNCTION("""COMPUTED_VALUE"""),0.25)</f>
        <v>0.25</v>
      </c>
      <c r="F138" s="154" t="str">
        <f>IFERROR(__xludf.DUMMYFUNCTION("""COMPUTED_VALUE"""),"SI")</f>
        <v>SI</v>
      </c>
      <c r="G138" s="155"/>
      <c r="H138" s="156"/>
    </row>
    <row r="139" ht="26.25" customHeight="1">
      <c r="A139" s="157" t="str">
        <f>IFERROR(__xludf.DUMMYFUNCTION("""COMPUTED_VALUE"""),"GES_127")</f>
        <v>GES_127</v>
      </c>
      <c r="B139" s="158" t="str">
        <f>IFERROR(__xludf.DUMMYFUNCTION("""COMPUTED_VALUE"""),"GESTION")</f>
        <v>GESTION</v>
      </c>
      <c r="C139" s="159" t="str">
        <f>IFERROR(__xludf.DUMMYFUNCTION("""COMPUTED_VALUE"""),"PROGRAMA - TRANSVERSAL")</f>
        <v>PROGRAMA - TRANSVERSAL</v>
      </c>
      <c r="D139" s="160" t="str">
        <f>IFERROR(__xludf.DUMMYFUNCTION("""COMPUTED_VALUE"""),"ACTIVIDADES DE MICROGESTIÓN SALUD MENTAL (25 MIN)")</f>
        <v>ACTIVIDADES DE MICROGESTIÓN SALUD MENTAL (25 MIN)</v>
      </c>
      <c r="E139" s="162">
        <f>IFERROR(__xludf.DUMMYFUNCTION("""COMPUTED_VALUE"""),0.42)</f>
        <v>0.42</v>
      </c>
      <c r="F139" s="154" t="str">
        <f>IFERROR(__xludf.DUMMYFUNCTION("""COMPUTED_VALUE"""),"SI")</f>
        <v>SI</v>
      </c>
      <c r="G139" s="155"/>
      <c r="H139" s="156"/>
    </row>
    <row r="140" ht="26.25" customHeight="1">
      <c r="A140" s="157" t="str">
        <f>IFERROR(__xludf.DUMMYFUNCTION("""COMPUTED_VALUE"""),"GES_128")</f>
        <v>GES_128</v>
      </c>
      <c r="B140" s="158" t="str">
        <f>IFERROR(__xludf.DUMMYFUNCTION("""COMPUTED_VALUE"""),"GESTION")</f>
        <v>GESTION</v>
      </c>
      <c r="C140" s="159" t="str">
        <f>IFERROR(__xludf.DUMMYFUNCTION("""COMPUTED_VALUE"""),"PROGRAMA - TRANSVERSAL")</f>
        <v>PROGRAMA - TRANSVERSAL</v>
      </c>
      <c r="D140" s="160" t="str">
        <f>IFERROR(__xludf.DUMMYFUNCTION("""COMPUTED_VALUE"""),"APOYO PSCV (2 HRS)")</f>
        <v>APOYO PSCV (2 HRS)</v>
      </c>
      <c r="E140" s="162">
        <f>IFERROR(__xludf.DUMMYFUNCTION("""COMPUTED_VALUE"""),2.0)</f>
        <v>2</v>
      </c>
      <c r="F140" s="154" t="str">
        <f>IFERROR(__xludf.DUMMYFUNCTION("""COMPUTED_VALUE"""),"SI")</f>
        <v>SI</v>
      </c>
      <c r="G140" s="155"/>
      <c r="H140" s="156"/>
    </row>
    <row r="141" ht="26.25" customHeight="1">
      <c r="A141" s="157" t="str">
        <f>IFERROR(__xludf.DUMMYFUNCTION("""COMPUTED_VALUE"""),"GES_129")</f>
        <v>GES_129</v>
      </c>
      <c r="B141" s="158" t="str">
        <f>IFERROR(__xludf.DUMMYFUNCTION("""COMPUTED_VALUE"""),"GESTION")</f>
        <v>GESTION</v>
      </c>
      <c r="C141" s="159" t="str">
        <f>IFERROR(__xludf.DUMMYFUNCTION("""COMPUTED_VALUE"""),"PROGRAMA - TRANSVERSAL")</f>
        <v>PROGRAMA - TRANSVERSAL</v>
      </c>
      <c r="D141" s="160" t="str">
        <f>IFERROR(__xludf.DUMMYFUNCTION("""COMPUTED_VALUE"""),"CONTRALOR MATRONA (5 HRS)")</f>
        <v>CONTRALOR MATRONA (5 HRS)</v>
      </c>
      <c r="E141" s="162">
        <f>IFERROR(__xludf.DUMMYFUNCTION("""COMPUTED_VALUE"""),5.0)</f>
        <v>5</v>
      </c>
      <c r="F141" s="154" t="str">
        <f>IFERROR(__xludf.DUMMYFUNCTION("""COMPUTED_VALUE"""),"SI")</f>
        <v>SI</v>
      </c>
      <c r="G141" s="155"/>
      <c r="H141" s="156"/>
    </row>
    <row r="142" ht="26.25" customHeight="1">
      <c r="A142" s="157" t="str">
        <f>IFERROR(__xludf.DUMMYFUNCTION("""COMPUTED_VALUE"""),"GES_130")</f>
        <v>GES_130</v>
      </c>
      <c r="B142" s="158" t="str">
        <f>IFERROR(__xludf.DUMMYFUNCTION("""COMPUTED_VALUE"""),"GESTION")</f>
        <v>GESTION</v>
      </c>
      <c r="C142" s="159" t="str">
        <f>IFERROR(__xludf.DUMMYFUNCTION("""COMPUTED_VALUE"""),"PROGRAMA - TRANSVERSAL")</f>
        <v>PROGRAMA - TRANSVERSAL</v>
      </c>
      <c r="D142" s="160" t="str">
        <f>IFERROR(__xludf.DUMMYFUNCTION("""COMPUTED_VALUE"""),"CONTRALOR SALUD ORAL (1 HR)")</f>
        <v>CONTRALOR SALUD ORAL (1 HR)</v>
      </c>
      <c r="E142" s="162">
        <f>IFERROR(__xludf.DUMMYFUNCTION("""COMPUTED_VALUE"""),1.0)</f>
        <v>1</v>
      </c>
      <c r="F142" s="154" t="str">
        <f>IFERROR(__xludf.DUMMYFUNCTION("""COMPUTED_VALUE"""),"SI")</f>
        <v>SI</v>
      </c>
      <c r="G142" s="155"/>
      <c r="H142" s="156"/>
    </row>
    <row r="143" ht="26.25" customHeight="1">
      <c r="A143" s="157" t="str">
        <f>IFERROR(__xludf.DUMMYFUNCTION("""COMPUTED_VALUE"""),"GES_131")</f>
        <v>GES_131</v>
      </c>
      <c r="B143" s="158" t="str">
        <f>IFERROR(__xludf.DUMMYFUNCTION("""COMPUTED_VALUE"""),"GESTION")</f>
        <v>GESTION</v>
      </c>
      <c r="C143" s="159" t="str">
        <f>IFERROR(__xludf.DUMMYFUNCTION("""COMPUTED_VALUE"""),"PROGRAMA - TRANSVERSAL")</f>
        <v>PROGRAMA - TRANSVERSAL</v>
      </c>
      <c r="D143" s="160" t="str">
        <f>IFERROR(__xludf.DUMMYFUNCTION("""COMPUTED_VALUE"""),"CONTRALOR SALUD ORAL (2 HRS)")</f>
        <v>CONTRALOR SALUD ORAL (2 HRS)</v>
      </c>
      <c r="E143" s="162">
        <f>IFERROR(__xludf.DUMMYFUNCTION("""COMPUTED_VALUE"""),2.0)</f>
        <v>2</v>
      </c>
      <c r="F143" s="154" t="str">
        <f>IFERROR(__xludf.DUMMYFUNCTION("""COMPUTED_VALUE"""),"SI")</f>
        <v>SI</v>
      </c>
      <c r="G143" s="155"/>
      <c r="H143" s="156"/>
    </row>
    <row r="144" ht="26.25" customHeight="1">
      <c r="A144" s="157" t="str">
        <f>IFERROR(__xludf.DUMMYFUNCTION("""COMPUTED_VALUE"""),"GES_132")</f>
        <v>GES_132</v>
      </c>
      <c r="B144" s="158" t="str">
        <f>IFERROR(__xludf.DUMMYFUNCTION("""COMPUTED_VALUE"""),"GESTION")</f>
        <v>GESTION</v>
      </c>
      <c r="C144" s="159" t="str">
        <f>IFERROR(__xludf.DUMMYFUNCTION("""COMPUTED_VALUE"""),"PROGRAMA - TRANSVERSAL")</f>
        <v>PROGRAMA - TRANSVERSAL</v>
      </c>
      <c r="D144" s="160" t="str">
        <f>IFERROR(__xludf.DUMMYFUNCTION("""COMPUTED_VALUE"""),"CONTRALOR SALUD ORAL (3 HRS)")</f>
        <v>CONTRALOR SALUD ORAL (3 HRS)</v>
      </c>
      <c r="E144" s="162">
        <f>IFERROR(__xludf.DUMMYFUNCTION("""COMPUTED_VALUE"""),3.0)</f>
        <v>3</v>
      </c>
      <c r="F144" s="154" t="str">
        <f>IFERROR(__xludf.DUMMYFUNCTION("""COMPUTED_VALUE"""),"SI")</f>
        <v>SI</v>
      </c>
      <c r="G144" s="155"/>
      <c r="H144" s="156"/>
    </row>
    <row r="145" ht="26.25" customHeight="1">
      <c r="A145" s="157" t="str">
        <f>IFERROR(__xludf.DUMMYFUNCTION("""COMPUTED_VALUE"""),"GES_133")</f>
        <v>GES_133</v>
      </c>
      <c r="B145" s="158" t="str">
        <f>IFERROR(__xludf.DUMMYFUNCTION("""COMPUTED_VALUE"""),"GESTION")</f>
        <v>GESTION</v>
      </c>
      <c r="C145" s="159" t="str">
        <f>IFERROR(__xludf.DUMMYFUNCTION("""COMPUTED_VALUE"""),"PROGRAMA - TRANSVERSAL")</f>
        <v>PROGRAMA - TRANSVERSAL</v>
      </c>
      <c r="D145" s="160" t="str">
        <f>IFERROR(__xludf.DUMMYFUNCTION("""COMPUTED_VALUE"""),"CONTRALOR SALUD ORAL (4 HRS)")</f>
        <v>CONTRALOR SALUD ORAL (4 HRS)</v>
      </c>
      <c r="E145" s="162">
        <f>IFERROR(__xludf.DUMMYFUNCTION("""COMPUTED_VALUE"""),4.0)</f>
        <v>4</v>
      </c>
      <c r="F145" s="154" t="str">
        <f>IFERROR(__xludf.DUMMYFUNCTION("""COMPUTED_VALUE"""),"SI")</f>
        <v>SI</v>
      </c>
      <c r="G145" s="155"/>
      <c r="H145" s="156"/>
    </row>
    <row r="146" ht="26.25" customHeight="1">
      <c r="A146" s="157" t="str">
        <f>IFERROR(__xludf.DUMMYFUNCTION("""COMPUTED_VALUE"""),"GES_134")</f>
        <v>GES_134</v>
      </c>
      <c r="B146" s="158" t="str">
        <f>IFERROR(__xludf.DUMMYFUNCTION("""COMPUTED_VALUE"""),"GESTION")</f>
        <v>GESTION</v>
      </c>
      <c r="C146" s="159" t="str">
        <f>IFERROR(__xludf.DUMMYFUNCTION("""COMPUTED_VALUE"""),"PROGRAMA - TRANSVERSAL")</f>
        <v>PROGRAMA - TRANSVERSAL</v>
      </c>
      <c r="D146" s="160" t="str">
        <f>IFERROR(__xludf.DUMMYFUNCTION("""COMPUTED_VALUE"""),"CONTRALOR SALUD SEXUAL Y REPRODUCTIVA (2 HRS)")</f>
        <v>CONTRALOR SALUD SEXUAL Y REPRODUCTIVA (2 HRS)</v>
      </c>
      <c r="E146" s="162">
        <f>IFERROR(__xludf.DUMMYFUNCTION("""COMPUTED_VALUE"""),2.0)</f>
        <v>2</v>
      </c>
      <c r="F146" s="154" t="str">
        <f>IFERROR(__xludf.DUMMYFUNCTION("""COMPUTED_VALUE"""),"SI")</f>
        <v>SI</v>
      </c>
      <c r="G146" s="155"/>
      <c r="H146" s="156"/>
    </row>
    <row r="147" ht="26.25" customHeight="1">
      <c r="A147" s="157" t="str">
        <f>IFERROR(__xludf.DUMMYFUNCTION("""COMPUTED_VALUE"""),"GES_135")</f>
        <v>GES_135</v>
      </c>
      <c r="B147" s="158" t="str">
        <f>IFERROR(__xludf.DUMMYFUNCTION("""COMPUTED_VALUE"""),"GESTION")</f>
        <v>GESTION</v>
      </c>
      <c r="C147" s="159" t="str">
        <f>IFERROR(__xludf.DUMMYFUNCTION("""COMPUTED_VALUE"""),"PROGRAMA - TRANSVERSAL")</f>
        <v>PROGRAMA - TRANSVERSAL</v>
      </c>
      <c r="D147" s="163" t="str">
        <f>IFERROR(__xludf.DUMMYFUNCTION("""COMPUTED_VALUE"""),"CONTRALOR SALUD SEXUAL Y REPRODUCTIVA (3 HRS)")</f>
        <v>CONTRALOR SALUD SEXUAL Y REPRODUCTIVA (3 HRS)</v>
      </c>
      <c r="E147" s="162">
        <f>IFERROR(__xludf.DUMMYFUNCTION("""COMPUTED_VALUE"""),3.0)</f>
        <v>3</v>
      </c>
      <c r="F147" s="154" t="str">
        <f>IFERROR(__xludf.DUMMYFUNCTION("""COMPUTED_VALUE"""),"SI")</f>
        <v>SI</v>
      </c>
      <c r="G147" s="155"/>
      <c r="H147" s="156"/>
    </row>
    <row r="148" ht="26.25" customHeight="1">
      <c r="A148" s="157" t="str">
        <f>IFERROR(__xludf.DUMMYFUNCTION("""COMPUTED_VALUE"""),"GES_136")</f>
        <v>GES_136</v>
      </c>
      <c r="B148" s="158" t="str">
        <f>IFERROR(__xludf.DUMMYFUNCTION("""COMPUTED_VALUE"""),"GESTION")</f>
        <v>GESTION</v>
      </c>
      <c r="C148" s="159" t="str">
        <f>IFERROR(__xludf.DUMMYFUNCTION("""COMPUTED_VALUE"""),"PROGRAMA - TRANSVERSAL")</f>
        <v>PROGRAMA - TRANSVERSAL</v>
      </c>
      <c r="D148" s="163" t="str">
        <f>IFERROR(__xludf.DUMMYFUNCTION("""COMPUTED_VALUE"""),"CONTRALOR SALUD SEXUAL Y REPRODUCTIVA (4 HRS)")</f>
        <v>CONTRALOR SALUD SEXUAL Y REPRODUCTIVA (4 HRS)</v>
      </c>
      <c r="E148" s="162">
        <f>IFERROR(__xludf.DUMMYFUNCTION("""COMPUTED_VALUE"""),4.0)</f>
        <v>4</v>
      </c>
      <c r="F148" s="154" t="str">
        <f>IFERROR(__xludf.DUMMYFUNCTION("""COMPUTED_VALUE"""),"SI")</f>
        <v>SI</v>
      </c>
      <c r="G148" s="155"/>
      <c r="H148" s="156"/>
    </row>
    <row r="149" ht="26.25" customHeight="1">
      <c r="A149" s="157" t="str">
        <f>IFERROR(__xludf.DUMMYFUNCTION("""COMPUTED_VALUE"""),"GES_137")</f>
        <v>GES_137</v>
      </c>
      <c r="B149" s="158" t="str">
        <f>IFERROR(__xludf.DUMMYFUNCTION("""COMPUTED_VALUE"""),"GESTION")</f>
        <v>GESTION</v>
      </c>
      <c r="C149" s="159" t="str">
        <f>IFERROR(__xludf.DUMMYFUNCTION("""COMPUTED_VALUE"""),"PROGRAMA - TRANSVERSAL")</f>
        <v>PROGRAMA - TRANSVERSAL</v>
      </c>
      <c r="D149" s="163" t="str">
        <f>IFERROR(__xludf.DUMMYFUNCTION("""COMPUTED_VALUE"""),"CONTRALOR SALUD SEXUAL Y REPRODUCTIVA (5 HRS)")</f>
        <v>CONTRALOR SALUD SEXUAL Y REPRODUCTIVA (5 HRS)</v>
      </c>
      <c r="E149" s="162">
        <f>IFERROR(__xludf.DUMMYFUNCTION("""COMPUTED_VALUE"""),5.0)</f>
        <v>5</v>
      </c>
      <c r="F149" s="154" t="str">
        <f>IFERROR(__xludf.DUMMYFUNCTION("""COMPUTED_VALUE"""),"SI")</f>
        <v>SI</v>
      </c>
      <c r="G149" s="155"/>
      <c r="H149" s="156"/>
    </row>
    <row r="150" ht="26.25" customHeight="1">
      <c r="A150" s="157" t="str">
        <f>IFERROR(__xludf.DUMMYFUNCTION("""COMPUTED_VALUE"""),"GES_138")</f>
        <v>GES_138</v>
      </c>
      <c r="B150" s="158" t="str">
        <f>IFERROR(__xludf.DUMMYFUNCTION("""COMPUTED_VALUE"""),"GESTION")</f>
        <v>GESTION</v>
      </c>
      <c r="C150" s="159" t="str">
        <f>IFERROR(__xludf.DUMMYFUNCTION("""COMPUTED_VALUE"""),"PROGRAMA - TRANSVERSAL")</f>
        <v>PROGRAMA - TRANSVERSAL</v>
      </c>
      <c r="D150" s="163" t="str">
        <f>IFERROR(__xludf.DUMMYFUNCTION("""COMPUTED_VALUE"""),"ENCARGAD@ ADOLESCENCIA (2 HRS)")</f>
        <v>ENCARGAD@ ADOLESCENCIA (2 HRS)</v>
      </c>
      <c r="E150" s="162">
        <f>IFERROR(__xludf.DUMMYFUNCTION("""COMPUTED_VALUE"""),2.0)</f>
        <v>2</v>
      </c>
      <c r="F150" s="154" t="str">
        <f>IFERROR(__xludf.DUMMYFUNCTION("""COMPUTED_VALUE"""),"SI")</f>
        <v>SI</v>
      </c>
      <c r="G150" s="155"/>
      <c r="H150" s="156"/>
    </row>
    <row r="151" ht="26.25" customHeight="1">
      <c r="A151" s="157" t="str">
        <f>IFERROR(__xludf.DUMMYFUNCTION("""COMPUTED_VALUE"""),"GES_139")</f>
        <v>GES_139</v>
      </c>
      <c r="B151" s="158" t="str">
        <f>IFERROR(__xludf.DUMMYFUNCTION("""COMPUTED_VALUE"""),"GESTION")</f>
        <v>GESTION</v>
      </c>
      <c r="C151" s="159" t="str">
        <f>IFERROR(__xludf.DUMMYFUNCTION("""COMPUTED_VALUE"""),"PROGRAMA - TRANSVERSAL")</f>
        <v>PROGRAMA - TRANSVERSAL</v>
      </c>
      <c r="D151" s="163" t="str">
        <f>IFERROR(__xludf.DUMMYFUNCTION("""COMPUTED_VALUE"""),"ENCARGAD@ ADOLESCENCIA (3 HRS)")</f>
        <v>ENCARGAD@ ADOLESCENCIA (3 HRS)</v>
      </c>
      <c r="E151" s="162">
        <f>IFERROR(__xludf.DUMMYFUNCTION("""COMPUTED_VALUE"""),3.0)</f>
        <v>3</v>
      </c>
      <c r="F151" s="154" t="str">
        <f>IFERROR(__xludf.DUMMYFUNCTION("""COMPUTED_VALUE"""),"SI")</f>
        <v>SI</v>
      </c>
      <c r="G151" s="155"/>
      <c r="H151" s="156"/>
    </row>
    <row r="152" ht="26.25" customHeight="1">
      <c r="A152" s="157" t="str">
        <f>IFERROR(__xludf.DUMMYFUNCTION("""COMPUTED_VALUE"""),"GES_140")</f>
        <v>GES_140</v>
      </c>
      <c r="B152" s="158" t="str">
        <f>IFERROR(__xludf.DUMMYFUNCTION("""COMPUTED_VALUE"""),"GESTION")</f>
        <v>GESTION</v>
      </c>
      <c r="C152" s="159" t="str">
        <f>IFERROR(__xludf.DUMMYFUNCTION("""COMPUTED_VALUE"""),"PROGRAMA - TRANSVERSAL")</f>
        <v>PROGRAMA - TRANSVERSAL</v>
      </c>
      <c r="D152" s="163" t="str">
        <f>IFERROR(__xludf.DUMMYFUNCTION("""COMPUTED_VALUE"""),"ENCARGAD@ ADOLESCENCIA (8 HRS)")</f>
        <v>ENCARGAD@ ADOLESCENCIA (8 HRS)</v>
      </c>
      <c r="E152" s="162">
        <f>IFERROR(__xludf.DUMMYFUNCTION("""COMPUTED_VALUE"""),8.0)</f>
        <v>8</v>
      </c>
      <c r="F152" s="154" t="str">
        <f>IFERROR(__xludf.DUMMYFUNCTION("""COMPUTED_VALUE"""),"SI")</f>
        <v>SI</v>
      </c>
      <c r="G152" s="155"/>
      <c r="H152" s="156"/>
    </row>
    <row r="153" ht="26.25" customHeight="1">
      <c r="A153" s="157" t="str">
        <f>IFERROR(__xludf.DUMMYFUNCTION("""COMPUTED_VALUE"""),"GES_141")</f>
        <v>GES_141</v>
      </c>
      <c r="B153" s="158" t="str">
        <f>IFERROR(__xludf.DUMMYFUNCTION("""COMPUTED_VALUE"""),"GESTION")</f>
        <v>GESTION</v>
      </c>
      <c r="C153" s="159" t="str">
        <f>IFERROR(__xludf.DUMMYFUNCTION("""COMPUTED_VALUE"""),"PROGRAMA - TRANSVERSAL")</f>
        <v>PROGRAMA - TRANSVERSAL</v>
      </c>
      <c r="D153" s="163" t="str">
        <f>IFERROR(__xludf.DUMMYFUNCTION("""COMPUTED_VALUE"""),"ENCARGAD@ ADOLESCENCIA (9 HRS)")</f>
        <v>ENCARGAD@ ADOLESCENCIA (9 HRS)</v>
      </c>
      <c r="E153" s="162">
        <f>IFERROR(__xludf.DUMMYFUNCTION("""COMPUTED_VALUE"""),9.0)</f>
        <v>9</v>
      </c>
      <c r="F153" s="154" t="str">
        <f>IFERROR(__xludf.DUMMYFUNCTION("""COMPUTED_VALUE"""),"SI")</f>
        <v>SI</v>
      </c>
      <c r="G153" s="155"/>
      <c r="H153" s="156"/>
    </row>
    <row r="154" ht="26.25" customHeight="1">
      <c r="A154" s="157" t="str">
        <f>IFERROR(__xludf.DUMMYFUNCTION("""COMPUTED_VALUE"""),"GES_142")</f>
        <v>GES_142</v>
      </c>
      <c r="B154" s="158" t="str">
        <f>IFERROR(__xludf.DUMMYFUNCTION("""COMPUTED_VALUE"""),"GESTION")</f>
        <v>GESTION</v>
      </c>
      <c r="C154" s="159" t="str">
        <f>IFERROR(__xludf.DUMMYFUNCTION("""COMPUTED_VALUE"""),"PROGRAMA - TRANSVERSAL")</f>
        <v>PROGRAMA - TRANSVERSAL</v>
      </c>
      <c r="D154" s="163" t="str">
        <f>IFERROR(__xludf.DUMMYFUNCTION("""COMPUTED_VALUE"""),"ENCARGAD@ COMUNAL PSM (22 HRS)")</f>
        <v>ENCARGAD@ COMUNAL PSM (22 HRS)</v>
      </c>
      <c r="E154" s="162">
        <f>IFERROR(__xludf.DUMMYFUNCTION("""COMPUTED_VALUE"""),22.0)</f>
        <v>22</v>
      </c>
      <c r="F154" s="154" t="str">
        <f>IFERROR(__xludf.DUMMYFUNCTION("""COMPUTED_VALUE"""),"SI")</f>
        <v>SI</v>
      </c>
      <c r="G154" s="155"/>
      <c r="H154" s="156"/>
    </row>
    <row r="155" ht="26.25" customHeight="1">
      <c r="A155" s="157" t="str">
        <f>IFERROR(__xludf.DUMMYFUNCTION("""COMPUTED_VALUE"""),"GES_143")</f>
        <v>GES_143</v>
      </c>
      <c r="B155" s="158" t="str">
        <f>IFERROR(__xludf.DUMMYFUNCTION("""COMPUTED_VALUE"""),"GESTION")</f>
        <v>GESTION</v>
      </c>
      <c r="C155" s="159" t="str">
        <f>IFERROR(__xludf.DUMMYFUNCTION("""COMPUTED_VALUE"""),"PROGRAMA - TRANSVERSAL")</f>
        <v>PROGRAMA - TRANSVERSAL</v>
      </c>
      <c r="D155" s="163" t="str">
        <f>IFERROR(__xludf.DUMMYFUNCTION("""COMPUTED_VALUE"""),"ENCARGAD@ LACTANCIA MATERNA")</f>
        <v>ENCARGAD@ LACTANCIA MATERNA</v>
      </c>
      <c r="E155" s="162">
        <f>IFERROR(__xludf.DUMMYFUNCTION("""COMPUTED_VALUE"""),3.0)</f>
        <v>3</v>
      </c>
      <c r="F155" s="154" t="str">
        <f>IFERROR(__xludf.DUMMYFUNCTION("""COMPUTED_VALUE"""),"SI")</f>
        <v>SI</v>
      </c>
      <c r="G155" s="155"/>
      <c r="H155" s="156"/>
    </row>
    <row r="156" ht="26.25" customHeight="1">
      <c r="A156" s="157" t="str">
        <f>IFERROR(__xludf.DUMMYFUNCTION("""COMPUTED_VALUE"""),"GES_144")</f>
        <v>GES_144</v>
      </c>
      <c r="B156" s="158" t="str">
        <f>IFERROR(__xludf.DUMMYFUNCTION("""COMPUTED_VALUE"""),"GESTION")</f>
        <v>GESTION</v>
      </c>
      <c r="C156" s="159" t="str">
        <f>IFERROR(__xludf.DUMMYFUNCTION("""COMPUTED_VALUE"""),"PROGRAMA - TRANSVERSAL")</f>
        <v>PROGRAMA - TRANSVERSAL</v>
      </c>
      <c r="D156" s="163" t="str">
        <f>IFERROR(__xludf.DUMMYFUNCTION("""COMPUTED_VALUE"""),"ENCARGAD@ LACTANCIA MATERNA (2 HRS)")</f>
        <v>ENCARGAD@ LACTANCIA MATERNA (2 HRS)</v>
      </c>
      <c r="E156" s="162">
        <f>IFERROR(__xludf.DUMMYFUNCTION("""COMPUTED_VALUE"""),2.0)</f>
        <v>2</v>
      </c>
      <c r="F156" s="154" t="str">
        <f>IFERROR(__xludf.DUMMYFUNCTION("""COMPUTED_VALUE"""),"SI")</f>
        <v>SI</v>
      </c>
      <c r="G156" s="155"/>
      <c r="H156" s="156"/>
    </row>
    <row r="157" ht="26.25" customHeight="1">
      <c r="A157" s="157" t="str">
        <f>IFERROR(__xludf.DUMMYFUNCTION("""COMPUTED_VALUE"""),"GES_145")</f>
        <v>GES_145</v>
      </c>
      <c r="B157" s="158" t="str">
        <f>IFERROR(__xludf.DUMMYFUNCTION("""COMPUTED_VALUE"""),"GESTION")</f>
        <v>GESTION</v>
      </c>
      <c r="C157" s="159" t="str">
        <f>IFERROR(__xludf.DUMMYFUNCTION("""COMPUTED_VALUE"""),"PROGRAMA - TRANSVERSAL")</f>
        <v>PROGRAMA - TRANSVERSAL</v>
      </c>
      <c r="D157" s="163" t="str">
        <f>IFERROR(__xludf.DUMMYFUNCTION("""COMPUTED_VALUE"""),"ENCARGAD@ MONITOR GES (11 HORAS)")</f>
        <v>ENCARGAD@ MONITOR GES (11 HORAS)</v>
      </c>
      <c r="E157" s="162">
        <f>IFERROR(__xludf.DUMMYFUNCTION("""COMPUTED_VALUE"""),2.0)</f>
        <v>2</v>
      </c>
      <c r="F157" s="154" t="str">
        <f>IFERROR(__xludf.DUMMYFUNCTION("""COMPUTED_VALUE"""),"SI")</f>
        <v>SI</v>
      </c>
      <c r="G157" s="155"/>
      <c r="H157" s="156"/>
    </row>
    <row r="158" ht="26.25" customHeight="1">
      <c r="A158" s="157" t="str">
        <f>IFERROR(__xludf.DUMMYFUNCTION("""COMPUTED_VALUE"""),"GES_146")</f>
        <v>GES_146</v>
      </c>
      <c r="B158" s="158" t="str">
        <f>IFERROR(__xludf.DUMMYFUNCTION("""COMPUTED_VALUE"""),"GESTION")</f>
        <v>GESTION</v>
      </c>
      <c r="C158" s="159" t="str">
        <f>IFERROR(__xludf.DUMMYFUNCTION("""COMPUTED_VALUE"""),"PROGRAMA - TRANSVERSAL")</f>
        <v>PROGRAMA - TRANSVERSAL</v>
      </c>
      <c r="D158" s="163" t="str">
        <f>IFERROR(__xludf.DUMMYFUNCTION("""COMPUTED_VALUE"""),"ENCARGAD@ PROGRAMA ADULTO Y ADULTO MAYOR (PSCV) (15 HRS)")</f>
        <v>ENCARGAD@ PROGRAMA ADULTO Y ADULTO MAYOR (PSCV) (15 HRS)</v>
      </c>
      <c r="E158" s="162">
        <f>IFERROR(__xludf.DUMMYFUNCTION("""COMPUTED_VALUE"""),15.0)</f>
        <v>15</v>
      </c>
      <c r="F158" s="154" t="str">
        <f>IFERROR(__xludf.DUMMYFUNCTION("""COMPUTED_VALUE"""),"SI")</f>
        <v>SI</v>
      </c>
      <c r="G158" s="155"/>
      <c r="H158" s="156"/>
    </row>
    <row r="159" ht="26.25" customHeight="1">
      <c r="A159" s="157" t="str">
        <f>IFERROR(__xludf.DUMMYFUNCTION("""COMPUTED_VALUE"""),"GES_147")</f>
        <v>GES_147</v>
      </c>
      <c r="B159" s="158" t="str">
        <f>IFERROR(__xludf.DUMMYFUNCTION("""COMPUTED_VALUE"""),"GESTION")</f>
        <v>GESTION</v>
      </c>
      <c r="C159" s="159" t="str">
        <f>IFERROR(__xludf.DUMMYFUNCTION("""COMPUTED_VALUE"""),"PROGRAMA - TRANSVERSAL")</f>
        <v>PROGRAMA - TRANSVERSAL</v>
      </c>
      <c r="D159" s="163" t="str">
        <f>IFERROR(__xludf.DUMMYFUNCTION("""COMPUTED_VALUE"""),"ENCARGAD@ PROGRAMA ADULTO Y ADULTO MAYOR (PSCV) (22 HRS)")</f>
        <v>ENCARGAD@ PROGRAMA ADULTO Y ADULTO MAYOR (PSCV) (22 HRS)</v>
      </c>
      <c r="E159" s="162">
        <f>IFERROR(__xludf.DUMMYFUNCTION("""COMPUTED_VALUE"""),22.0)</f>
        <v>22</v>
      </c>
      <c r="F159" s="154" t="str">
        <f>IFERROR(__xludf.DUMMYFUNCTION("""COMPUTED_VALUE"""),"SI")</f>
        <v>SI</v>
      </c>
      <c r="G159" s="155"/>
      <c r="H159" s="156"/>
    </row>
    <row r="160" ht="26.25" customHeight="1">
      <c r="A160" s="157" t="str">
        <f>IFERROR(__xludf.DUMMYFUNCTION("""COMPUTED_VALUE"""),"GES_148")</f>
        <v>GES_148</v>
      </c>
      <c r="B160" s="158" t="str">
        <f>IFERROR(__xludf.DUMMYFUNCTION("""COMPUTED_VALUE"""),"GESTION")</f>
        <v>GESTION</v>
      </c>
      <c r="C160" s="159" t="str">
        <f>IFERROR(__xludf.DUMMYFUNCTION("""COMPUTED_VALUE"""),"PROGRAMA - TRANSVERSAL")</f>
        <v>PROGRAMA - TRANSVERSAL</v>
      </c>
      <c r="D160" s="163" t="str">
        <f>IFERROR(__xludf.DUMMYFUNCTION("""COMPUTED_VALUE"""),"ENCARGAD@ PROGRAMA ADULTO Y ADULTO MAYOR (PSCV) (3 HRS)")</f>
        <v>ENCARGAD@ PROGRAMA ADULTO Y ADULTO MAYOR (PSCV) (3 HRS)</v>
      </c>
      <c r="E160" s="162">
        <f>IFERROR(__xludf.DUMMYFUNCTION("""COMPUTED_VALUE"""),3.0)</f>
        <v>3</v>
      </c>
      <c r="F160" s="154" t="str">
        <f>IFERROR(__xludf.DUMMYFUNCTION("""COMPUTED_VALUE"""),"SI")</f>
        <v>SI</v>
      </c>
      <c r="G160" s="155"/>
      <c r="H160" s="156"/>
    </row>
    <row r="161" ht="26.25" customHeight="1">
      <c r="A161" s="157" t="str">
        <f>IFERROR(__xludf.DUMMYFUNCTION("""COMPUTED_VALUE"""),"GES_149")</f>
        <v>GES_149</v>
      </c>
      <c r="B161" s="158" t="str">
        <f>IFERROR(__xludf.DUMMYFUNCTION("""COMPUTED_VALUE"""),"GESTION")</f>
        <v>GESTION</v>
      </c>
      <c r="C161" s="159" t="str">
        <f>IFERROR(__xludf.DUMMYFUNCTION("""COMPUTED_VALUE"""),"PROGRAMA - TRANSVERSAL")</f>
        <v>PROGRAMA - TRANSVERSAL</v>
      </c>
      <c r="D161" s="163" t="str">
        <f>IFERROR(__xludf.DUMMYFUNCTION("""COMPUTED_VALUE"""),"ENCARGAD@ PROGRAMA ADULTO Y ADULTO MAYOR (PSCV) (5 HRS)")</f>
        <v>ENCARGAD@ PROGRAMA ADULTO Y ADULTO MAYOR (PSCV) (5 HRS)</v>
      </c>
      <c r="E161" s="162">
        <f>IFERROR(__xludf.DUMMYFUNCTION("""COMPUTED_VALUE"""),5.0)</f>
        <v>5</v>
      </c>
      <c r="F161" s="154" t="str">
        <f>IFERROR(__xludf.DUMMYFUNCTION("""COMPUTED_VALUE"""),"SI")</f>
        <v>SI</v>
      </c>
      <c r="G161" s="155"/>
      <c r="H161" s="156"/>
    </row>
    <row r="162" ht="26.25" customHeight="1">
      <c r="A162" s="157" t="str">
        <f>IFERROR(__xludf.DUMMYFUNCTION("""COMPUTED_VALUE"""),"GES_150")</f>
        <v>GES_150</v>
      </c>
      <c r="B162" s="158" t="str">
        <f>IFERROR(__xludf.DUMMYFUNCTION("""COMPUTED_VALUE"""),"GESTION")</f>
        <v>GESTION</v>
      </c>
      <c r="C162" s="159" t="str">
        <f>IFERROR(__xludf.DUMMYFUNCTION("""COMPUTED_VALUE"""),"PROGRAMA - TRANSVERSAL")</f>
        <v>PROGRAMA - TRANSVERSAL</v>
      </c>
      <c r="D162" s="163" t="str">
        <f>IFERROR(__xludf.DUMMYFUNCTION("""COMPUTED_VALUE"""),"ENCARGAD@ PROGRAMA ADULTO Y ADULTO MAYOR (PSCV) (6 HRS)")</f>
        <v>ENCARGAD@ PROGRAMA ADULTO Y ADULTO MAYOR (PSCV) (6 HRS)</v>
      </c>
      <c r="E162" s="162">
        <f>IFERROR(__xludf.DUMMYFUNCTION("""COMPUTED_VALUE"""),6.0)</f>
        <v>6</v>
      </c>
      <c r="F162" s="154" t="str">
        <f>IFERROR(__xludf.DUMMYFUNCTION("""COMPUTED_VALUE"""),"SI")</f>
        <v>SI</v>
      </c>
      <c r="G162" s="155"/>
      <c r="H162" s="156"/>
    </row>
    <row r="163" ht="26.25" customHeight="1">
      <c r="A163" s="157" t="str">
        <f>IFERROR(__xludf.DUMMYFUNCTION("""COMPUTED_VALUE"""),"GES_151")</f>
        <v>GES_151</v>
      </c>
      <c r="B163" s="158" t="str">
        <f>IFERROR(__xludf.DUMMYFUNCTION("""COMPUTED_VALUE"""),"GESTION")</f>
        <v>GESTION</v>
      </c>
      <c r="C163" s="159" t="str">
        <f>IFERROR(__xludf.DUMMYFUNCTION("""COMPUTED_VALUE"""),"PROGRAMA - TRANSVERSAL")</f>
        <v>PROGRAMA - TRANSVERSAL</v>
      </c>
      <c r="D163" s="163" t="str">
        <f>IFERROR(__xludf.DUMMYFUNCTION("""COMPUTED_VALUE"""),"ENCARGAD@ PROGRAMA ADULTO Y ADULTO MAYOR (PSCV) (8 HRS)")</f>
        <v>ENCARGAD@ PROGRAMA ADULTO Y ADULTO MAYOR (PSCV) (8 HRS)</v>
      </c>
      <c r="E163" s="162">
        <f>IFERROR(__xludf.DUMMYFUNCTION("""COMPUTED_VALUE"""),8.0)</f>
        <v>8</v>
      </c>
      <c r="F163" s="154" t="str">
        <f>IFERROR(__xludf.DUMMYFUNCTION("""COMPUTED_VALUE"""),"SI")</f>
        <v>SI</v>
      </c>
      <c r="G163" s="155"/>
      <c r="H163" s="156"/>
    </row>
    <row r="164" ht="26.25" customHeight="1">
      <c r="A164" s="157" t="str">
        <f>IFERROR(__xludf.DUMMYFUNCTION("""COMPUTED_VALUE"""),"GES_152")</f>
        <v>GES_152</v>
      </c>
      <c r="B164" s="158" t="str">
        <f>IFERROR(__xludf.DUMMYFUNCTION("""COMPUTED_VALUE"""),"GESTION")</f>
        <v>GESTION</v>
      </c>
      <c r="C164" s="159" t="str">
        <f>IFERROR(__xludf.DUMMYFUNCTION("""COMPUTED_VALUE"""),"PROGRAMA - TRANSVERSAL")</f>
        <v>PROGRAMA - TRANSVERSAL</v>
      </c>
      <c r="D164" s="163" t="str">
        <f>IFERROR(__xludf.DUMMYFUNCTION("""COMPUTED_VALUE"""),"ENCARGAD@ PROGRAMA DEPENDENCIA SEVERA Y CPNO  (11 HORAS)")</f>
        <v>ENCARGAD@ PROGRAMA DEPENDENCIA SEVERA Y CPNO  (11 HORAS)</v>
      </c>
      <c r="E164" s="162">
        <f>IFERROR(__xludf.DUMMYFUNCTION("""COMPUTED_VALUE"""),11.0)</f>
        <v>11</v>
      </c>
      <c r="F164" s="154" t="str">
        <f>IFERROR(__xludf.DUMMYFUNCTION("""COMPUTED_VALUE"""),"SI")</f>
        <v>SI</v>
      </c>
      <c r="G164" s="155"/>
      <c r="H164" s="156"/>
    </row>
    <row r="165" ht="26.25" customHeight="1">
      <c r="A165" s="157" t="str">
        <f>IFERROR(__xludf.DUMMYFUNCTION("""COMPUTED_VALUE"""),"GES_153")</f>
        <v>GES_153</v>
      </c>
      <c r="B165" s="164" t="str">
        <f>IFERROR(__xludf.DUMMYFUNCTION("""COMPUTED_VALUE"""),"GESTION")</f>
        <v>GESTION</v>
      </c>
      <c r="C165" s="159" t="str">
        <f>IFERROR(__xludf.DUMMYFUNCTION("""COMPUTED_VALUE"""),"PROGRAMA - TRANSVERSAL")</f>
        <v>PROGRAMA - TRANSVERSAL</v>
      </c>
      <c r="D165" s="165" t="str">
        <f>IFERROR(__xludf.DUMMYFUNCTION("""COMPUTED_VALUE"""),"ENCARGAD@ PROGRAMA DEPENDENCIA SEVERA Y CPNO  (2 HORAS)")</f>
        <v>ENCARGAD@ PROGRAMA DEPENDENCIA SEVERA Y CPNO  (2 HORAS)</v>
      </c>
      <c r="E165" s="162">
        <f>IFERROR(__xludf.DUMMYFUNCTION("""COMPUTED_VALUE"""),2.0)</f>
        <v>2</v>
      </c>
      <c r="F165" s="154" t="str">
        <f>IFERROR(__xludf.DUMMYFUNCTION("""COMPUTED_VALUE"""),"SI")</f>
        <v>SI</v>
      </c>
      <c r="G165" s="155"/>
      <c r="H165" s="156"/>
    </row>
    <row r="166" ht="26.25" customHeight="1">
      <c r="A166" s="157" t="str">
        <f>IFERROR(__xludf.DUMMYFUNCTION("""COMPUTED_VALUE"""),"GES_154")</f>
        <v>GES_154</v>
      </c>
      <c r="B166" s="164" t="str">
        <f>IFERROR(__xludf.DUMMYFUNCTION("""COMPUTED_VALUE"""),"GESTION")</f>
        <v>GESTION</v>
      </c>
      <c r="C166" s="159" t="str">
        <f>IFERROR(__xludf.DUMMYFUNCTION("""COMPUTED_VALUE"""),"PROGRAMA - TRANSVERSAL")</f>
        <v>PROGRAMA - TRANSVERSAL</v>
      </c>
      <c r="D166" s="165" t="str">
        <f>IFERROR(__xludf.DUMMYFUNCTION("""COMPUTED_VALUE"""),"ENCARGAD@ PROGRAMA DEPENDENCIA SEVERA Y CPNO  (22 HORAS)")</f>
        <v>ENCARGAD@ PROGRAMA DEPENDENCIA SEVERA Y CPNO  (22 HORAS)</v>
      </c>
      <c r="E166" s="162">
        <f>IFERROR(__xludf.DUMMYFUNCTION("""COMPUTED_VALUE"""),22.0)</f>
        <v>22</v>
      </c>
      <c r="F166" s="154" t="str">
        <f>IFERROR(__xludf.DUMMYFUNCTION("""COMPUTED_VALUE"""),"SI")</f>
        <v>SI</v>
      </c>
      <c r="G166" s="155"/>
      <c r="H166" s="156"/>
    </row>
    <row r="167" ht="26.25" customHeight="1">
      <c r="A167" s="166" t="str">
        <f>IFERROR(__xludf.DUMMYFUNCTION("""COMPUTED_VALUE"""),"GES_155")</f>
        <v>GES_155</v>
      </c>
      <c r="B167" s="164" t="str">
        <f>IFERROR(__xludf.DUMMYFUNCTION("""COMPUTED_VALUE"""),"GESTION")</f>
        <v>GESTION</v>
      </c>
      <c r="C167" s="154" t="str">
        <f>IFERROR(__xludf.DUMMYFUNCTION("""COMPUTED_VALUE"""),"PROGRAMA - TRANSVERSAL")</f>
        <v>PROGRAMA - TRANSVERSAL</v>
      </c>
      <c r="D167" s="165" t="str">
        <f>IFERROR(__xludf.DUMMYFUNCTION("""COMPUTED_VALUE"""),"ENCARGAD@ PROGRAMA DEPENDENCIA SEVERA Y CPNO  (3 HORAS)")</f>
        <v>ENCARGAD@ PROGRAMA DEPENDENCIA SEVERA Y CPNO  (3 HORAS)</v>
      </c>
      <c r="E167" s="167">
        <f>IFERROR(__xludf.DUMMYFUNCTION("""COMPUTED_VALUE"""),3.0)</f>
        <v>3</v>
      </c>
      <c r="F167" s="154" t="str">
        <f>IFERROR(__xludf.DUMMYFUNCTION("""COMPUTED_VALUE"""),"SI")</f>
        <v>SI</v>
      </c>
      <c r="G167" s="155"/>
      <c r="H167" s="168"/>
    </row>
    <row r="168" ht="26.25" customHeight="1">
      <c r="A168" s="166" t="str">
        <f>IFERROR(__xludf.DUMMYFUNCTION("""COMPUTED_VALUE"""),"GES_156")</f>
        <v>GES_156</v>
      </c>
      <c r="B168" s="164" t="str">
        <f>IFERROR(__xludf.DUMMYFUNCTION("""COMPUTED_VALUE"""),"GESTION")</f>
        <v>GESTION</v>
      </c>
      <c r="C168" s="154" t="str">
        <f>IFERROR(__xludf.DUMMYFUNCTION("""COMPUTED_VALUE"""),"PROGRAMA - TRANSVERSAL")</f>
        <v>PROGRAMA - TRANSVERSAL</v>
      </c>
      <c r="D168" s="165" t="str">
        <f>IFERROR(__xludf.DUMMYFUNCTION("""COMPUTED_VALUE"""),"ENCARGAD@ PROGRAMA DEPENDENCIA SEVERA Y CPNO  (5 HORAS)")</f>
        <v>ENCARGAD@ PROGRAMA DEPENDENCIA SEVERA Y CPNO  (5 HORAS)</v>
      </c>
      <c r="E168" s="167">
        <f>IFERROR(__xludf.DUMMYFUNCTION("""COMPUTED_VALUE"""),5.0)</f>
        <v>5</v>
      </c>
      <c r="F168" s="154" t="str">
        <f>IFERROR(__xludf.DUMMYFUNCTION("""COMPUTED_VALUE"""),"SI")</f>
        <v>SI</v>
      </c>
      <c r="G168" s="155"/>
      <c r="H168" s="168"/>
    </row>
    <row r="169" ht="26.25" customHeight="1">
      <c r="A169" s="166" t="str">
        <f>IFERROR(__xludf.DUMMYFUNCTION("""COMPUTED_VALUE"""),"GES_157")</f>
        <v>GES_157</v>
      </c>
      <c r="B169" s="164" t="str">
        <f>IFERROR(__xludf.DUMMYFUNCTION("""COMPUTED_VALUE"""),"GESTION")</f>
        <v>GESTION</v>
      </c>
      <c r="C169" s="154" t="str">
        <f>IFERROR(__xludf.DUMMYFUNCTION("""COMPUTED_VALUE"""),"PROGRAMA - TRANSVERSAL")</f>
        <v>PROGRAMA - TRANSVERSAL</v>
      </c>
      <c r="D169" s="165" t="str">
        <f>IFERROR(__xludf.DUMMYFUNCTION("""COMPUTED_VALUE"""),"ENCARGAD@ PROGRAMA INFANCIA - ADOLESCENCIA ")</f>
        <v>ENCARGAD@ PROGRAMA INFANCIA - ADOLESCENCIA </v>
      </c>
      <c r="E169" s="167">
        <f>IFERROR(__xludf.DUMMYFUNCTION("""COMPUTED_VALUE"""),5.0)</f>
        <v>5</v>
      </c>
      <c r="F169" s="154" t="str">
        <f>IFERROR(__xludf.DUMMYFUNCTION("""COMPUTED_VALUE"""),"SI")</f>
        <v>SI</v>
      </c>
      <c r="G169" s="155"/>
      <c r="H169" s="168"/>
    </row>
    <row r="170" ht="26.25" customHeight="1">
      <c r="A170" s="166" t="str">
        <f>IFERROR(__xludf.DUMMYFUNCTION("""COMPUTED_VALUE"""),"GES_158")</f>
        <v>GES_158</v>
      </c>
      <c r="B170" s="164" t="str">
        <f>IFERROR(__xludf.DUMMYFUNCTION("""COMPUTED_VALUE"""),"GESTION")</f>
        <v>GESTION</v>
      </c>
      <c r="C170" s="154" t="str">
        <f>IFERROR(__xludf.DUMMYFUNCTION("""COMPUTED_VALUE"""),"PROGRAMA - TRANSVERSAL")</f>
        <v>PROGRAMA - TRANSVERSAL</v>
      </c>
      <c r="D170" s="165" t="str">
        <f>IFERROR(__xludf.DUMMYFUNCTION("""COMPUTED_VALUE"""),"ENCARGAD@ PROGRAMA ODONTOLOGICO (11 HRS)")</f>
        <v>ENCARGAD@ PROGRAMA ODONTOLOGICO (11 HRS)</v>
      </c>
      <c r="E170" s="167">
        <f>IFERROR(__xludf.DUMMYFUNCTION("""COMPUTED_VALUE"""),11.0)</f>
        <v>11</v>
      </c>
      <c r="F170" s="154" t="str">
        <f>IFERROR(__xludf.DUMMYFUNCTION("""COMPUTED_VALUE"""),"SI")</f>
        <v>SI</v>
      </c>
      <c r="G170" s="155"/>
      <c r="H170" s="168"/>
    </row>
    <row r="171" ht="26.25" customHeight="1">
      <c r="A171" s="166" t="str">
        <f>IFERROR(__xludf.DUMMYFUNCTION("""COMPUTED_VALUE"""),"GES_159")</f>
        <v>GES_159</v>
      </c>
      <c r="B171" s="164" t="str">
        <f>IFERROR(__xludf.DUMMYFUNCTION("""COMPUTED_VALUE"""),"GESTION")</f>
        <v>GESTION</v>
      </c>
      <c r="C171" s="154" t="str">
        <f>IFERROR(__xludf.DUMMYFUNCTION("""COMPUTED_VALUE"""),"PROGRAMA - TRANSVERSAL")</f>
        <v>PROGRAMA - TRANSVERSAL</v>
      </c>
      <c r="D171" s="165" t="str">
        <f>IFERROR(__xludf.DUMMYFUNCTION("""COMPUTED_VALUE"""),"ENCARGAD@ PROGRAMA ODONTOLOGICO (22 HRS)")</f>
        <v>ENCARGAD@ PROGRAMA ODONTOLOGICO (22 HRS)</v>
      </c>
      <c r="E171" s="167">
        <f>IFERROR(__xludf.DUMMYFUNCTION("""COMPUTED_VALUE"""),22.0)</f>
        <v>22</v>
      </c>
      <c r="F171" s="154" t="str">
        <f>IFERROR(__xludf.DUMMYFUNCTION("""COMPUTED_VALUE"""),"SI")</f>
        <v>SI</v>
      </c>
      <c r="G171" s="155"/>
      <c r="H171" s="168"/>
    </row>
    <row r="172" ht="26.25" customHeight="1">
      <c r="A172" s="166" t="str">
        <f>IFERROR(__xludf.DUMMYFUNCTION("""COMPUTED_VALUE"""),"GES_160")</f>
        <v>GES_160</v>
      </c>
      <c r="B172" s="164" t="str">
        <f>IFERROR(__xludf.DUMMYFUNCTION("""COMPUTED_VALUE"""),"GESTION")</f>
        <v>GESTION</v>
      </c>
      <c r="C172" s="154" t="str">
        <f>IFERROR(__xludf.DUMMYFUNCTION("""COMPUTED_VALUE"""),"PROGRAMA - TRANSVERSAL")</f>
        <v>PROGRAMA - TRANSVERSAL</v>
      </c>
      <c r="D172" s="165" t="str">
        <f>IFERROR(__xludf.DUMMYFUNCTION("""COMPUTED_VALUE"""),"ENCARGAD@ PROGRAMA ODONTOLOGICO (4 HRS)")</f>
        <v>ENCARGAD@ PROGRAMA ODONTOLOGICO (4 HRS)</v>
      </c>
      <c r="E172" s="167">
        <f>IFERROR(__xludf.DUMMYFUNCTION("""COMPUTED_VALUE"""),4.0)</f>
        <v>4</v>
      </c>
      <c r="F172" s="154" t="str">
        <f>IFERROR(__xludf.DUMMYFUNCTION("""COMPUTED_VALUE"""),"SI")</f>
        <v>SI</v>
      </c>
      <c r="G172" s="155"/>
      <c r="H172" s="168"/>
    </row>
    <row r="173" ht="26.25" customHeight="1">
      <c r="A173" s="166" t="str">
        <f>IFERROR(__xludf.DUMMYFUNCTION("""COMPUTED_VALUE"""),"GES_161")</f>
        <v>GES_161</v>
      </c>
      <c r="B173" s="164" t="str">
        <f>IFERROR(__xludf.DUMMYFUNCTION("""COMPUTED_VALUE"""),"GESTION")</f>
        <v>GESTION</v>
      </c>
      <c r="C173" s="154" t="str">
        <f>IFERROR(__xludf.DUMMYFUNCTION("""COMPUTED_VALUE"""),"PROGRAMA - TRANSVERSAL")</f>
        <v>PROGRAMA - TRANSVERSAL</v>
      </c>
      <c r="D173" s="165" t="str">
        <f>IFERROR(__xludf.DUMMYFUNCTION("""COMPUTED_VALUE"""),"ENCARGAD@ PROGRAMA ODONTOLOGICO (9 HRS)")</f>
        <v>ENCARGAD@ PROGRAMA ODONTOLOGICO (9 HRS)</v>
      </c>
      <c r="E173" s="167">
        <f>IFERROR(__xludf.DUMMYFUNCTION("""COMPUTED_VALUE"""),9.0)</f>
        <v>9</v>
      </c>
      <c r="F173" s="154" t="str">
        <f>IFERROR(__xludf.DUMMYFUNCTION("""COMPUTED_VALUE"""),"SI")</f>
        <v>SI</v>
      </c>
      <c r="G173" s="155"/>
      <c r="H173" s="168"/>
    </row>
    <row r="174" ht="26.25" customHeight="1">
      <c r="A174" s="166" t="str">
        <f>IFERROR(__xludf.DUMMYFUNCTION("""COMPUTED_VALUE"""),"GES_162")</f>
        <v>GES_162</v>
      </c>
      <c r="B174" s="164" t="str">
        <f>IFERROR(__xludf.DUMMYFUNCTION("""COMPUTED_VALUE"""),"GESTION")</f>
        <v>GESTION</v>
      </c>
      <c r="C174" s="154" t="str">
        <f>IFERROR(__xludf.DUMMYFUNCTION("""COMPUTED_VALUE"""),"PROGRAMA - TRANSVERSAL")</f>
        <v>PROGRAMA - TRANSVERSAL</v>
      </c>
      <c r="D174" s="165" t="str">
        <f>IFERROR(__xludf.DUMMYFUNCTION("""COMPUTED_VALUE"""),"ENCARGAD@ PROGRAMA REHABILITACION ( 11  HORAS)")</f>
        <v>ENCARGAD@ PROGRAMA REHABILITACION ( 11  HORAS)</v>
      </c>
      <c r="E174" s="167">
        <f>IFERROR(__xludf.DUMMYFUNCTION("""COMPUTED_VALUE"""),11.0)</f>
        <v>11</v>
      </c>
      <c r="F174" s="154" t="str">
        <f>IFERROR(__xludf.DUMMYFUNCTION("""COMPUTED_VALUE"""),"SI")</f>
        <v>SI</v>
      </c>
      <c r="G174" s="155"/>
      <c r="H174" s="168"/>
    </row>
    <row r="175" ht="26.25" customHeight="1">
      <c r="A175" s="166" t="str">
        <f>IFERROR(__xludf.DUMMYFUNCTION("""COMPUTED_VALUE"""),"GES_163")</f>
        <v>GES_163</v>
      </c>
      <c r="B175" s="164" t="str">
        <f>IFERROR(__xludf.DUMMYFUNCTION("""COMPUTED_VALUE"""),"GESTION")</f>
        <v>GESTION</v>
      </c>
      <c r="C175" s="154" t="str">
        <f>IFERROR(__xludf.DUMMYFUNCTION("""COMPUTED_VALUE"""),"PROGRAMA - TRANSVERSAL")</f>
        <v>PROGRAMA - TRANSVERSAL</v>
      </c>
      <c r="D175" s="165" t="str">
        <f>IFERROR(__xludf.DUMMYFUNCTION("""COMPUTED_VALUE"""),"ENCARGAD@ PROGRAMA REHABILITACION ( 3 HORAS)")</f>
        <v>ENCARGAD@ PROGRAMA REHABILITACION ( 3 HORAS)</v>
      </c>
      <c r="E175" s="167">
        <f>IFERROR(__xludf.DUMMYFUNCTION("""COMPUTED_VALUE"""),3.0)</f>
        <v>3</v>
      </c>
      <c r="F175" s="154" t="str">
        <f>IFERROR(__xludf.DUMMYFUNCTION("""COMPUTED_VALUE"""),"SI")</f>
        <v>SI</v>
      </c>
      <c r="G175" s="155"/>
      <c r="H175" s="168"/>
    </row>
    <row r="176" ht="26.25" customHeight="1">
      <c r="A176" s="166" t="str">
        <f>IFERROR(__xludf.DUMMYFUNCTION("""COMPUTED_VALUE"""),"GES_164")</f>
        <v>GES_164</v>
      </c>
      <c r="B176" s="164" t="str">
        <f>IFERROR(__xludf.DUMMYFUNCTION("""COMPUTED_VALUE"""),"GESTION")</f>
        <v>GESTION</v>
      </c>
      <c r="C176" s="154" t="str">
        <f>IFERROR(__xludf.DUMMYFUNCTION("""COMPUTED_VALUE"""),"PROGRAMA - TRANSVERSAL")</f>
        <v>PROGRAMA - TRANSVERSAL</v>
      </c>
      <c r="D176" s="165" t="str">
        <f>IFERROR(__xludf.DUMMYFUNCTION("""COMPUTED_VALUE"""),"ENCARGAD@ PROGRAMA REHABILITACION ( 6 HORAS)")</f>
        <v>ENCARGAD@ PROGRAMA REHABILITACION ( 6 HORAS)</v>
      </c>
      <c r="E176" s="167">
        <f>IFERROR(__xludf.DUMMYFUNCTION("""COMPUTED_VALUE"""),6.0)</f>
        <v>6</v>
      </c>
      <c r="F176" s="154" t="str">
        <f>IFERROR(__xludf.DUMMYFUNCTION("""COMPUTED_VALUE"""),"SI")</f>
        <v>SI</v>
      </c>
      <c r="G176" s="155"/>
      <c r="H176" s="168"/>
    </row>
    <row r="177" ht="26.25" customHeight="1">
      <c r="A177" s="166" t="str">
        <f>IFERROR(__xludf.DUMMYFUNCTION("""COMPUTED_VALUE"""),"GES_165")</f>
        <v>GES_165</v>
      </c>
      <c r="B177" s="164" t="str">
        <f>IFERROR(__xludf.DUMMYFUNCTION("""COMPUTED_VALUE"""),"GESTION")</f>
        <v>GESTION</v>
      </c>
      <c r="C177" s="154" t="str">
        <f>IFERROR(__xludf.DUMMYFUNCTION("""COMPUTED_VALUE"""),"PROGRAMA - TRANSVERSAL")</f>
        <v>PROGRAMA - TRANSVERSAL</v>
      </c>
      <c r="D177" s="165" t="str">
        <f>IFERROR(__xludf.DUMMYFUNCTION("""COMPUTED_VALUE"""),"ENCARGAD@ PROGRAMA REHABILITACION (4 HORAS)")</f>
        <v>ENCARGAD@ PROGRAMA REHABILITACION (4 HORAS)</v>
      </c>
      <c r="E177" s="167">
        <f>IFERROR(__xludf.DUMMYFUNCTION("""COMPUTED_VALUE"""),4.0)</f>
        <v>4</v>
      </c>
      <c r="F177" s="154" t="str">
        <f>IFERROR(__xludf.DUMMYFUNCTION("""COMPUTED_VALUE"""),"SI")</f>
        <v>SI</v>
      </c>
      <c r="G177" s="155"/>
      <c r="H177" s="168"/>
    </row>
    <row r="178" ht="26.25" customHeight="1">
      <c r="A178" s="166" t="str">
        <f>IFERROR(__xludf.DUMMYFUNCTION("""COMPUTED_VALUE"""),"GES_167")</f>
        <v>GES_167</v>
      </c>
      <c r="B178" s="164" t="str">
        <f>IFERROR(__xludf.DUMMYFUNCTION("""COMPUTED_VALUE"""),"GESTION")</f>
        <v>GESTION</v>
      </c>
      <c r="C178" s="154" t="str">
        <f>IFERROR(__xludf.DUMMYFUNCTION("""COMPUTED_VALUE"""),"PROGRAMA - TRANSVERSAL")</f>
        <v>PROGRAMA - TRANSVERSAL</v>
      </c>
      <c r="D178" s="165" t="str">
        <f>IFERROR(__xludf.DUMMYFUNCTION("""COMPUTED_VALUE"""),"ENCARGAD@ PROGRAMA RESPIRATORIO ERA (2 HRS)")</f>
        <v>ENCARGAD@ PROGRAMA RESPIRATORIO ERA (2 HRS)</v>
      </c>
      <c r="E178" s="169">
        <f>IFERROR(__xludf.DUMMYFUNCTION("""COMPUTED_VALUE"""),2.0)</f>
        <v>2</v>
      </c>
      <c r="F178" s="154" t="str">
        <f>IFERROR(__xludf.DUMMYFUNCTION("""COMPUTED_VALUE"""),"SI")</f>
        <v>SI</v>
      </c>
      <c r="G178" s="155"/>
      <c r="H178" s="168"/>
    </row>
    <row r="179" ht="26.25" customHeight="1">
      <c r="A179" s="166" t="str">
        <f>IFERROR(__xludf.DUMMYFUNCTION("""COMPUTED_VALUE"""),"GES_168")</f>
        <v>GES_168</v>
      </c>
      <c r="B179" s="164" t="str">
        <f>IFERROR(__xludf.DUMMYFUNCTION("""COMPUTED_VALUE"""),"GESTION")</f>
        <v>GESTION</v>
      </c>
      <c r="C179" s="154" t="str">
        <f>IFERROR(__xludf.DUMMYFUNCTION("""COMPUTED_VALUE"""),"PROGRAMA - TRANSVERSAL")</f>
        <v>PROGRAMA - TRANSVERSAL</v>
      </c>
      <c r="D179" s="165" t="str">
        <f>IFERROR(__xludf.DUMMYFUNCTION("""COMPUTED_VALUE"""),"ENCARGAD@ PROGRAMA RESPIRATORIO ERA (3,5 HRS)")</f>
        <v>ENCARGAD@ PROGRAMA RESPIRATORIO ERA (3,5 HRS)</v>
      </c>
      <c r="E179" s="169">
        <f>IFERROR(__xludf.DUMMYFUNCTION("""COMPUTED_VALUE"""),3.5)</f>
        <v>3.5</v>
      </c>
      <c r="F179" s="154" t="str">
        <f>IFERROR(__xludf.DUMMYFUNCTION("""COMPUTED_VALUE"""),"SI")</f>
        <v>SI</v>
      </c>
      <c r="G179" s="155"/>
      <c r="H179" s="168"/>
    </row>
    <row r="180" ht="26.25" customHeight="1">
      <c r="A180" s="166" t="str">
        <f>IFERROR(__xludf.DUMMYFUNCTION("""COMPUTED_VALUE"""),"GES_169")</f>
        <v>GES_169</v>
      </c>
      <c r="B180" s="164" t="str">
        <f>IFERROR(__xludf.DUMMYFUNCTION("""COMPUTED_VALUE"""),"GESTION")</f>
        <v>GESTION</v>
      </c>
      <c r="C180" s="154" t="str">
        <f>IFERROR(__xludf.DUMMYFUNCTION("""COMPUTED_VALUE"""),"PROGRAMA - TRANSVERSAL")</f>
        <v>PROGRAMA - TRANSVERSAL</v>
      </c>
      <c r="D180" s="165" t="str">
        <f>IFERROR(__xludf.DUMMYFUNCTION("""COMPUTED_VALUE"""),"ENCARGAD@ PROGRAMA RESPIRATORIO ERA (5 HRS)")</f>
        <v>ENCARGAD@ PROGRAMA RESPIRATORIO ERA (5 HRS)</v>
      </c>
      <c r="E180" s="169">
        <f>IFERROR(__xludf.DUMMYFUNCTION("""COMPUTED_VALUE"""),5.0)</f>
        <v>5</v>
      </c>
      <c r="F180" s="154" t="str">
        <f>IFERROR(__xludf.DUMMYFUNCTION("""COMPUTED_VALUE"""),"SI")</f>
        <v>SI</v>
      </c>
      <c r="G180" s="155"/>
      <c r="H180" s="168"/>
    </row>
    <row r="181" ht="26.25" customHeight="1">
      <c r="A181" s="166" t="str">
        <f>IFERROR(__xludf.DUMMYFUNCTION("""COMPUTED_VALUE"""),"GES_170")</f>
        <v>GES_170</v>
      </c>
      <c r="B181" s="164" t="str">
        <f>IFERROR(__xludf.DUMMYFUNCTION("""COMPUTED_VALUE"""),"GESTION")</f>
        <v>GESTION</v>
      </c>
      <c r="C181" s="154" t="str">
        <f>IFERROR(__xludf.DUMMYFUNCTION("""COMPUTED_VALUE"""),"PROGRAMA - TRANSVERSAL")</f>
        <v>PROGRAMA - TRANSVERSAL</v>
      </c>
      <c r="D181" s="165" t="str">
        <f>IFERROR(__xludf.DUMMYFUNCTION("""COMPUTED_VALUE"""),"ENCARGAD@ PROGRAMA RESPIRATORIO ERA (5 HRS)")</f>
        <v>ENCARGAD@ PROGRAMA RESPIRATORIO ERA (5 HRS)</v>
      </c>
      <c r="E181" s="169">
        <f>IFERROR(__xludf.DUMMYFUNCTION("""COMPUTED_VALUE"""),5.0)</f>
        <v>5</v>
      </c>
      <c r="F181" s="154" t="str">
        <f>IFERROR(__xludf.DUMMYFUNCTION("""COMPUTED_VALUE"""),"SI")</f>
        <v>SI</v>
      </c>
      <c r="G181" s="155"/>
      <c r="H181" s="168"/>
    </row>
    <row r="182" ht="26.25" customHeight="1">
      <c r="A182" s="166" t="str">
        <f>IFERROR(__xludf.DUMMYFUNCTION("""COMPUTED_VALUE"""),"GES_171")</f>
        <v>GES_171</v>
      </c>
      <c r="B182" s="164" t="str">
        <f>IFERROR(__xludf.DUMMYFUNCTION("""COMPUTED_VALUE"""),"GESTION")</f>
        <v>GESTION</v>
      </c>
      <c r="C182" s="154" t="str">
        <f>IFERROR(__xludf.DUMMYFUNCTION("""COMPUTED_VALUE"""),"PROGRAMA - TRANSVERSAL")</f>
        <v>PROGRAMA - TRANSVERSAL</v>
      </c>
      <c r="D182" s="165" t="str">
        <f>IFERROR(__xludf.DUMMYFUNCTION("""COMPUTED_VALUE"""),"ENCARGAD@ PROGRAMA RESPIRATORIO ERA (6 HRS)")</f>
        <v>ENCARGAD@ PROGRAMA RESPIRATORIO ERA (6 HRS)</v>
      </c>
      <c r="E182" s="169">
        <f>IFERROR(__xludf.DUMMYFUNCTION("""COMPUTED_VALUE"""),6.0)</f>
        <v>6</v>
      </c>
      <c r="F182" s="154" t="str">
        <f>IFERROR(__xludf.DUMMYFUNCTION("""COMPUTED_VALUE"""),"SI")</f>
        <v>SI</v>
      </c>
      <c r="G182" s="155"/>
      <c r="H182" s="168"/>
    </row>
    <row r="183" ht="26.25" customHeight="1">
      <c r="A183" s="166" t="str">
        <f>IFERROR(__xludf.DUMMYFUNCTION("""COMPUTED_VALUE"""),"GES_172")</f>
        <v>GES_172</v>
      </c>
      <c r="B183" s="164" t="str">
        <f>IFERROR(__xludf.DUMMYFUNCTION("""COMPUTED_VALUE"""),"GESTION")</f>
        <v>GESTION</v>
      </c>
      <c r="C183" s="154" t="str">
        <f>IFERROR(__xludf.DUMMYFUNCTION("""COMPUTED_VALUE"""),"PROGRAMA - TRANSVERSAL")</f>
        <v>PROGRAMA - TRANSVERSAL</v>
      </c>
      <c r="D183" s="165" t="str">
        <f>IFERROR(__xludf.DUMMYFUNCTION("""COMPUTED_VALUE"""),"ENCARGAD@ PROGRAMA RESPIRATORIO ERA (8 HRS)")</f>
        <v>ENCARGAD@ PROGRAMA RESPIRATORIO ERA (8 HRS)</v>
      </c>
      <c r="E183" s="169">
        <f>IFERROR(__xludf.DUMMYFUNCTION("""COMPUTED_VALUE"""),8.0)</f>
        <v>8</v>
      </c>
      <c r="F183" s="154" t="str">
        <f>IFERROR(__xludf.DUMMYFUNCTION("""COMPUTED_VALUE"""),"SI")</f>
        <v>SI</v>
      </c>
      <c r="G183" s="155"/>
      <c r="H183" s="168"/>
    </row>
    <row r="184" ht="26.25" customHeight="1">
      <c r="A184" s="166" t="str">
        <f>IFERROR(__xludf.DUMMYFUNCTION("""COMPUTED_VALUE"""),"GES_173")</f>
        <v>GES_173</v>
      </c>
      <c r="B184" s="164" t="str">
        <f>IFERROR(__xludf.DUMMYFUNCTION("""COMPUTED_VALUE"""),"GESTION")</f>
        <v>GESTION</v>
      </c>
      <c r="C184" s="154" t="str">
        <f>IFERROR(__xludf.DUMMYFUNCTION("""COMPUTED_VALUE"""),"PROGRAMA - TRANSVERSAL")</f>
        <v>PROGRAMA - TRANSVERSAL</v>
      </c>
      <c r="D184" s="165" t="str">
        <f>IFERROR(__xludf.DUMMYFUNCTION("""COMPUTED_VALUE"""),"ENCARGAD@ PROGRAMA RESPIRATORIO IRA (2 HRS)")</f>
        <v>ENCARGAD@ PROGRAMA RESPIRATORIO IRA (2 HRS)</v>
      </c>
      <c r="E184" s="169">
        <f>IFERROR(__xludf.DUMMYFUNCTION("""COMPUTED_VALUE"""),2.0)</f>
        <v>2</v>
      </c>
      <c r="F184" s="154" t="str">
        <f>IFERROR(__xludf.DUMMYFUNCTION("""COMPUTED_VALUE"""),"SI")</f>
        <v>SI</v>
      </c>
      <c r="G184" s="155"/>
      <c r="H184" s="168"/>
    </row>
    <row r="185" ht="26.25" customHeight="1">
      <c r="A185" s="166" t="str">
        <f>IFERROR(__xludf.DUMMYFUNCTION("""COMPUTED_VALUE"""),"GES_174")</f>
        <v>GES_174</v>
      </c>
      <c r="B185" s="164" t="str">
        <f>IFERROR(__xludf.DUMMYFUNCTION("""COMPUTED_VALUE"""),"GESTION")</f>
        <v>GESTION</v>
      </c>
      <c r="C185" s="154" t="str">
        <f>IFERROR(__xludf.DUMMYFUNCTION("""COMPUTED_VALUE"""),"PROGRAMA - TRANSVERSAL")</f>
        <v>PROGRAMA - TRANSVERSAL</v>
      </c>
      <c r="D185" s="165" t="str">
        <f>IFERROR(__xludf.DUMMYFUNCTION("""COMPUTED_VALUE"""),"ENCARGAD@ PROGRAMA RESPIRATORIO IRA (5 HRS)")</f>
        <v>ENCARGAD@ PROGRAMA RESPIRATORIO IRA (5 HRS)</v>
      </c>
      <c r="E185" s="169">
        <f>IFERROR(__xludf.DUMMYFUNCTION("""COMPUTED_VALUE"""),5.0)</f>
        <v>5</v>
      </c>
      <c r="F185" s="154" t="str">
        <f>IFERROR(__xludf.DUMMYFUNCTION("""COMPUTED_VALUE"""),"SI")</f>
        <v>SI</v>
      </c>
      <c r="G185" s="155"/>
      <c r="H185" s="168"/>
    </row>
    <row r="186" ht="26.25" customHeight="1">
      <c r="A186" s="166" t="str">
        <f>IFERROR(__xludf.DUMMYFUNCTION("""COMPUTED_VALUE"""),"GES_175")</f>
        <v>GES_175</v>
      </c>
      <c r="B186" s="164" t="str">
        <f>IFERROR(__xludf.DUMMYFUNCTION("""COMPUTED_VALUE"""),"GESTION")</f>
        <v>GESTION</v>
      </c>
      <c r="C186" s="154" t="str">
        <f>IFERROR(__xludf.DUMMYFUNCTION("""COMPUTED_VALUE"""),"PROGRAMA - TRANSVERSAL")</f>
        <v>PROGRAMA - TRANSVERSAL</v>
      </c>
      <c r="D186" s="165" t="str">
        <f>IFERROR(__xludf.DUMMYFUNCTION("""COMPUTED_VALUE"""),"ENCARGAD@ PROGRAMA RESPIRATORIO IRA (8 HRS)")</f>
        <v>ENCARGAD@ PROGRAMA RESPIRATORIO IRA (8 HRS)</v>
      </c>
      <c r="E186" s="169">
        <f>IFERROR(__xludf.DUMMYFUNCTION("""COMPUTED_VALUE"""),8.0)</f>
        <v>8</v>
      </c>
      <c r="F186" s="154" t="str">
        <f>IFERROR(__xludf.DUMMYFUNCTION("""COMPUTED_VALUE"""),"SI")</f>
        <v>SI</v>
      </c>
      <c r="G186" s="155"/>
      <c r="H186" s="168"/>
    </row>
    <row r="187" ht="26.25" customHeight="1">
      <c r="A187" s="166" t="str">
        <f>IFERROR(__xludf.DUMMYFUNCTION("""COMPUTED_VALUE"""),"GES_176")</f>
        <v>GES_176</v>
      </c>
      <c r="B187" s="164" t="str">
        <f>IFERROR(__xludf.DUMMYFUNCTION("""COMPUTED_VALUE"""),"GESTION")</f>
        <v>GESTION</v>
      </c>
      <c r="C187" s="154" t="str">
        <f>IFERROR(__xludf.DUMMYFUNCTION("""COMPUTED_VALUE"""),"PROGRAMA - TRANSVERSAL")</f>
        <v>PROGRAMA - TRANSVERSAL</v>
      </c>
      <c r="D187" s="165" t="str">
        <f>IFERROR(__xludf.DUMMYFUNCTION("""COMPUTED_VALUE"""),"ENCARGAD@ PROGRAMA SALUD MENTAL (11 HRS)")</f>
        <v>ENCARGAD@ PROGRAMA SALUD MENTAL (11 HRS)</v>
      </c>
      <c r="E187" s="169">
        <f>IFERROR(__xludf.DUMMYFUNCTION("""COMPUTED_VALUE"""),11.0)</f>
        <v>11</v>
      </c>
      <c r="F187" s="154" t="str">
        <f>IFERROR(__xludf.DUMMYFUNCTION("""COMPUTED_VALUE"""),"SI")</f>
        <v>SI</v>
      </c>
      <c r="G187" s="155"/>
      <c r="H187" s="168"/>
    </row>
    <row r="188" ht="26.25" customHeight="1">
      <c r="A188" s="166" t="str">
        <f>IFERROR(__xludf.DUMMYFUNCTION("""COMPUTED_VALUE"""),"GES_177")</f>
        <v>GES_177</v>
      </c>
      <c r="B188" s="164" t="str">
        <f>IFERROR(__xludf.DUMMYFUNCTION("""COMPUTED_VALUE"""),"GESTION")</f>
        <v>GESTION</v>
      </c>
      <c r="C188" s="154" t="str">
        <f>IFERROR(__xludf.DUMMYFUNCTION("""COMPUTED_VALUE"""),"PROGRAMA - TRANSVERSAL")</f>
        <v>PROGRAMA - TRANSVERSAL</v>
      </c>
      <c r="D188" s="165" t="str">
        <f>IFERROR(__xludf.DUMMYFUNCTION("""COMPUTED_VALUE"""),"ENCARGAD@ PROGRAMA SALUD MENTAL (15 HRS)")</f>
        <v>ENCARGAD@ PROGRAMA SALUD MENTAL (15 HRS)</v>
      </c>
      <c r="E188" s="169">
        <f>IFERROR(__xludf.DUMMYFUNCTION("""COMPUTED_VALUE"""),15.0)</f>
        <v>15</v>
      </c>
      <c r="F188" s="154" t="str">
        <f>IFERROR(__xludf.DUMMYFUNCTION("""COMPUTED_VALUE"""),"SI")</f>
        <v>SI</v>
      </c>
      <c r="G188" s="155"/>
      <c r="H188" s="168"/>
    </row>
    <row r="189" ht="26.25" customHeight="1">
      <c r="A189" s="166" t="str">
        <f>IFERROR(__xludf.DUMMYFUNCTION("""COMPUTED_VALUE"""),"GES_178")</f>
        <v>GES_178</v>
      </c>
      <c r="B189" s="164" t="str">
        <f>IFERROR(__xludf.DUMMYFUNCTION("""COMPUTED_VALUE"""),"GESTION")</f>
        <v>GESTION</v>
      </c>
      <c r="C189" s="154" t="str">
        <f>IFERROR(__xludf.DUMMYFUNCTION("""COMPUTED_VALUE"""),"PROGRAMA - TRANSVERSAL")</f>
        <v>PROGRAMA - TRANSVERSAL</v>
      </c>
      <c r="D189" s="165" t="str">
        <f>IFERROR(__xludf.DUMMYFUNCTION("""COMPUTED_VALUE"""),"ENCARGAD@ PROGRAMA SALUD MENTAL (22 HRS)")</f>
        <v>ENCARGAD@ PROGRAMA SALUD MENTAL (22 HRS)</v>
      </c>
      <c r="E189" s="169">
        <f>IFERROR(__xludf.DUMMYFUNCTION("""COMPUTED_VALUE"""),22.0)</f>
        <v>22</v>
      </c>
      <c r="F189" s="154" t="str">
        <f>IFERROR(__xludf.DUMMYFUNCTION("""COMPUTED_VALUE"""),"SI")</f>
        <v>SI</v>
      </c>
      <c r="G189" s="155"/>
      <c r="H189" s="168"/>
    </row>
    <row r="190" ht="26.25" customHeight="1">
      <c r="A190" s="166" t="str">
        <f>IFERROR(__xludf.DUMMYFUNCTION("""COMPUTED_VALUE"""),"GES_179")</f>
        <v>GES_179</v>
      </c>
      <c r="B190" s="164" t="str">
        <f>IFERROR(__xludf.DUMMYFUNCTION("""COMPUTED_VALUE"""),"GESTION")</f>
        <v>GESTION</v>
      </c>
      <c r="C190" s="154" t="str">
        <f>IFERROR(__xludf.DUMMYFUNCTION("""COMPUTED_VALUE"""),"PROGRAMA - TRANSVERSAL")</f>
        <v>PROGRAMA - TRANSVERSAL</v>
      </c>
      <c r="D190" s="165" t="str">
        <f>IFERROR(__xludf.DUMMYFUNCTION("""COMPUTED_VALUE"""),"ENCARGAD@ PROGRAMA SALUD MENTAL (25 HRS)")</f>
        <v>ENCARGAD@ PROGRAMA SALUD MENTAL (25 HRS)</v>
      </c>
      <c r="E190" s="169">
        <f>IFERROR(__xludf.DUMMYFUNCTION("""COMPUTED_VALUE"""),25.0)</f>
        <v>25</v>
      </c>
      <c r="F190" s="154" t="str">
        <f>IFERROR(__xludf.DUMMYFUNCTION("""COMPUTED_VALUE"""),"SI")</f>
        <v>SI</v>
      </c>
      <c r="G190" s="155"/>
      <c r="H190" s="168"/>
    </row>
    <row r="191" ht="26.25" customHeight="1">
      <c r="A191" s="166" t="str">
        <f>IFERROR(__xludf.DUMMYFUNCTION("""COMPUTED_VALUE"""),"GES_180")</f>
        <v>GES_180</v>
      </c>
      <c r="B191" s="164" t="str">
        <f>IFERROR(__xludf.DUMMYFUNCTION("""COMPUTED_VALUE"""),"GESTION")</f>
        <v>GESTION</v>
      </c>
      <c r="C191" s="154" t="str">
        <f>IFERROR(__xludf.DUMMYFUNCTION("""COMPUTED_VALUE"""),"PROGRAMA - TRANSVERSAL")</f>
        <v>PROGRAMA - TRANSVERSAL</v>
      </c>
      <c r="D191" s="165" t="str">
        <f>IFERROR(__xludf.DUMMYFUNCTION("""COMPUTED_VALUE"""),"ENCARGAD@ PROGRAMA SALUD MENTAL (30 HRS)")</f>
        <v>ENCARGAD@ PROGRAMA SALUD MENTAL (30 HRS)</v>
      </c>
      <c r="E191" s="169">
        <f>IFERROR(__xludf.DUMMYFUNCTION("""COMPUTED_VALUE"""),30.0)</f>
        <v>30</v>
      </c>
      <c r="F191" s="154" t="str">
        <f>IFERROR(__xludf.DUMMYFUNCTION("""COMPUTED_VALUE"""),"SI")</f>
        <v>SI</v>
      </c>
      <c r="G191" s="155"/>
      <c r="H191" s="168"/>
    </row>
    <row r="192" ht="26.25" customHeight="1">
      <c r="A192" s="166" t="str">
        <f>IFERROR(__xludf.DUMMYFUNCTION("""COMPUTED_VALUE"""),"GES_181")</f>
        <v>GES_181</v>
      </c>
      <c r="B192" s="164" t="str">
        <f>IFERROR(__xludf.DUMMYFUNCTION("""COMPUTED_VALUE"""),"GESTION")</f>
        <v>GESTION</v>
      </c>
      <c r="C192" s="154" t="str">
        <f>IFERROR(__xludf.DUMMYFUNCTION("""COMPUTED_VALUE"""),"PROGRAMA - TRANSVERSAL")</f>
        <v>PROGRAMA - TRANSVERSAL</v>
      </c>
      <c r="D192" s="165" t="str">
        <f>IFERROR(__xludf.DUMMYFUNCTION("""COMPUTED_VALUE"""),"ENCARGAD@ PROGRAMA SALUD MENTAL (33 HRS)")</f>
        <v>ENCARGAD@ PROGRAMA SALUD MENTAL (33 HRS)</v>
      </c>
      <c r="E192" s="169">
        <f>IFERROR(__xludf.DUMMYFUNCTION("""COMPUTED_VALUE"""),33.0)</f>
        <v>33</v>
      </c>
      <c r="F192" s="154" t="str">
        <f>IFERROR(__xludf.DUMMYFUNCTION("""COMPUTED_VALUE"""),"SI")</f>
        <v>SI</v>
      </c>
      <c r="G192" s="155"/>
      <c r="H192" s="168"/>
    </row>
    <row r="193" ht="26.25" customHeight="1">
      <c r="A193" s="166" t="str">
        <f>IFERROR(__xludf.DUMMYFUNCTION("""COMPUTED_VALUE"""),"GES_182")</f>
        <v>GES_182</v>
      </c>
      <c r="B193" s="164" t="str">
        <f>IFERROR(__xludf.DUMMYFUNCTION("""COMPUTED_VALUE"""),"GESTION")</f>
        <v>GESTION</v>
      </c>
      <c r="C193" s="154" t="str">
        <f>IFERROR(__xludf.DUMMYFUNCTION("""COMPUTED_VALUE"""),"PROGRAMA - TRANSVERSAL")</f>
        <v>PROGRAMA - TRANSVERSAL</v>
      </c>
      <c r="D193" s="165" t="str">
        <f>IFERROR(__xludf.DUMMYFUNCTION("""COMPUTED_VALUE"""),"ENCARGAD@ PROGRAMA SALUD MENTAL (44 HRS)")</f>
        <v>ENCARGAD@ PROGRAMA SALUD MENTAL (44 HRS)</v>
      </c>
      <c r="E193" s="169">
        <f>IFERROR(__xludf.DUMMYFUNCTION("""COMPUTED_VALUE"""),44.0)</f>
        <v>44</v>
      </c>
      <c r="F193" s="154" t="str">
        <f>IFERROR(__xludf.DUMMYFUNCTION("""COMPUTED_VALUE"""),"SI")</f>
        <v>SI</v>
      </c>
      <c r="G193" s="155"/>
      <c r="H193" s="168"/>
    </row>
    <row r="194" ht="26.25" customHeight="1">
      <c r="A194" s="166" t="str">
        <f>IFERROR(__xludf.DUMMYFUNCTION("""COMPUTED_VALUE"""),"GES_183")</f>
        <v>GES_183</v>
      </c>
      <c r="B194" s="164" t="str">
        <f>IFERROR(__xludf.DUMMYFUNCTION("""COMPUTED_VALUE"""),"GESTION")</f>
        <v>GESTION</v>
      </c>
      <c r="C194" s="154" t="str">
        <f>IFERROR(__xludf.DUMMYFUNCTION("""COMPUTED_VALUE"""),"PROGRAMA - TRANSVERSAL")</f>
        <v>PROGRAMA - TRANSVERSAL</v>
      </c>
      <c r="D194" s="165" t="str">
        <f>IFERROR(__xludf.DUMMYFUNCTION("""COMPUTED_VALUE"""),"ENCARGAD@ PROGRAMA SALUD MENTAL (6 HRS)")</f>
        <v>ENCARGAD@ PROGRAMA SALUD MENTAL (6 HRS)</v>
      </c>
      <c r="E194" s="169">
        <f>IFERROR(__xludf.DUMMYFUNCTION("""COMPUTED_VALUE"""),6.0)</f>
        <v>6</v>
      </c>
      <c r="F194" s="154" t="str">
        <f>IFERROR(__xludf.DUMMYFUNCTION("""COMPUTED_VALUE"""),"SI")</f>
        <v>SI</v>
      </c>
      <c r="G194" s="155"/>
      <c r="H194" s="168"/>
    </row>
    <row r="195" ht="26.25" customHeight="1">
      <c r="A195" s="166" t="str">
        <f>IFERROR(__xludf.DUMMYFUNCTION("""COMPUTED_VALUE"""),"GES_184")</f>
        <v>GES_184</v>
      </c>
      <c r="B195" s="164" t="str">
        <f>IFERROR(__xludf.DUMMYFUNCTION("""COMPUTED_VALUE"""),"GESTION")</f>
        <v>GESTION</v>
      </c>
      <c r="C195" s="154" t="str">
        <f>IFERROR(__xludf.DUMMYFUNCTION("""COMPUTED_VALUE"""),"PROGRAMA - TRANSVERSAL")</f>
        <v>PROGRAMA - TRANSVERSAL</v>
      </c>
      <c r="D195" s="165" t="str">
        <f>IFERROR(__xludf.DUMMYFUNCTION("""COMPUTED_VALUE"""),"ENCARGAD@ PROGRAMA SALUD SEXUAL Y REPRODUCTIVA (11 HRS)")</f>
        <v>ENCARGAD@ PROGRAMA SALUD SEXUAL Y REPRODUCTIVA (11 HRS)</v>
      </c>
      <c r="E195" s="169">
        <f>IFERROR(__xludf.DUMMYFUNCTION("""COMPUTED_VALUE"""),11.0)</f>
        <v>11</v>
      </c>
      <c r="F195" s="154" t="str">
        <f>IFERROR(__xludf.DUMMYFUNCTION("""COMPUTED_VALUE"""),"SI")</f>
        <v>SI</v>
      </c>
      <c r="G195" s="155"/>
      <c r="H195" s="168"/>
    </row>
    <row r="196" ht="26.25" customHeight="1">
      <c r="A196" s="166" t="str">
        <f>IFERROR(__xludf.DUMMYFUNCTION("""COMPUTED_VALUE"""),"GES_185")</f>
        <v>GES_185</v>
      </c>
      <c r="B196" s="164" t="str">
        <f>IFERROR(__xludf.DUMMYFUNCTION("""COMPUTED_VALUE"""),"GESTION")</f>
        <v>GESTION</v>
      </c>
      <c r="C196" s="154" t="str">
        <f>IFERROR(__xludf.DUMMYFUNCTION("""COMPUTED_VALUE"""),"PROGRAMA - TRANSVERSAL")</f>
        <v>PROGRAMA - TRANSVERSAL</v>
      </c>
      <c r="D196" s="165" t="str">
        <f>IFERROR(__xludf.DUMMYFUNCTION("""COMPUTED_VALUE"""),"ENCARGAD@ PROGRAMA SALUD SEXUAL Y REPRODUCTIVA (3 HRS)")</f>
        <v>ENCARGAD@ PROGRAMA SALUD SEXUAL Y REPRODUCTIVA (3 HRS)</v>
      </c>
      <c r="E196" s="169">
        <f>IFERROR(__xludf.DUMMYFUNCTION("""COMPUTED_VALUE"""),3.0)</f>
        <v>3</v>
      </c>
      <c r="F196" s="154" t="str">
        <f>IFERROR(__xludf.DUMMYFUNCTION("""COMPUTED_VALUE"""),"SI")</f>
        <v>SI</v>
      </c>
      <c r="G196" s="155"/>
      <c r="H196" s="168"/>
    </row>
    <row r="197" ht="26.25" customHeight="1">
      <c r="A197" s="166" t="str">
        <f>IFERROR(__xludf.DUMMYFUNCTION("""COMPUTED_VALUE"""),"GES_186")</f>
        <v>GES_186</v>
      </c>
      <c r="B197" s="164" t="str">
        <f>IFERROR(__xludf.DUMMYFUNCTION("""COMPUTED_VALUE"""),"GESTION")</f>
        <v>GESTION</v>
      </c>
      <c r="C197" s="154" t="str">
        <f>IFERROR(__xludf.DUMMYFUNCTION("""COMPUTED_VALUE"""),"PROGRAMA - TRANSVERSAL")</f>
        <v>PROGRAMA - TRANSVERSAL</v>
      </c>
      <c r="D197" s="165" t="str">
        <f>IFERROR(__xludf.DUMMYFUNCTION("""COMPUTED_VALUE"""),"ENCARGAD@ PROGRAMA SALUD SEXUAL Y REPRODUCTIVA (4 HRS)")</f>
        <v>ENCARGAD@ PROGRAMA SALUD SEXUAL Y REPRODUCTIVA (4 HRS)</v>
      </c>
      <c r="E197" s="169">
        <f>IFERROR(__xludf.DUMMYFUNCTION("""COMPUTED_VALUE"""),4.0)</f>
        <v>4</v>
      </c>
      <c r="F197" s="154" t="str">
        <f>IFERROR(__xludf.DUMMYFUNCTION("""COMPUTED_VALUE"""),"SI")</f>
        <v>SI</v>
      </c>
      <c r="G197" s="155"/>
      <c r="H197" s="168"/>
    </row>
    <row r="198" ht="26.25" customHeight="1">
      <c r="A198" s="166" t="str">
        <f>IFERROR(__xludf.DUMMYFUNCTION("""COMPUTED_VALUE"""),"GES_187")</f>
        <v>GES_187</v>
      </c>
      <c r="B198" s="164" t="str">
        <f>IFERROR(__xludf.DUMMYFUNCTION("""COMPUTED_VALUE"""),"GESTION")</f>
        <v>GESTION</v>
      </c>
      <c r="C198" s="154" t="str">
        <f>IFERROR(__xludf.DUMMYFUNCTION("""COMPUTED_VALUE"""),"PROGRAMA - TRANSVERSAL")</f>
        <v>PROGRAMA - TRANSVERSAL</v>
      </c>
      <c r="D198" s="165" t="str">
        <f>IFERROR(__xludf.DUMMYFUNCTION("""COMPUTED_VALUE"""),"ENCARGAD@ PROGRAMA SALUD SEXUAL Y REPRODUCTIVA (9 HRS)")</f>
        <v>ENCARGAD@ PROGRAMA SALUD SEXUAL Y REPRODUCTIVA (9 HRS)</v>
      </c>
      <c r="E198" s="169">
        <f>IFERROR(__xludf.DUMMYFUNCTION("""COMPUTED_VALUE"""),9.0)</f>
        <v>9</v>
      </c>
      <c r="F198" s="154" t="str">
        <f>IFERROR(__xludf.DUMMYFUNCTION("""COMPUTED_VALUE"""),"SI")</f>
        <v>SI</v>
      </c>
      <c r="G198" s="155"/>
      <c r="H198" s="168"/>
    </row>
    <row r="199" ht="26.25" customHeight="1">
      <c r="A199" s="166" t="str">
        <f>IFERROR(__xludf.DUMMYFUNCTION("""COMPUTED_VALUE"""),"GES_189")</f>
        <v>GES_189</v>
      </c>
      <c r="B199" s="164" t="str">
        <f>IFERROR(__xludf.DUMMYFUNCTION("""COMPUTED_VALUE"""),"GESTION")</f>
        <v>GESTION</v>
      </c>
      <c r="C199" s="154" t="str">
        <f>IFERROR(__xludf.DUMMYFUNCTION("""COMPUTED_VALUE"""),"PROGRAMA - TRANSVERSAL")</f>
        <v>PROGRAMA - TRANSVERSAL</v>
      </c>
      <c r="D199" s="165" t="str">
        <f>IFERROR(__xludf.DUMMYFUNCTION("""COMPUTED_VALUE"""),"ENCARGAD@ TRASMISIBLES (VIH)/ITS/Chagas/hepatitis B y C . Incluye Transimsión vertical (11 HRS)")</f>
        <v>ENCARGAD@ TRASMISIBLES (VIH)/ITS/Chagas/hepatitis B y C . Incluye Transimsión vertical (11 HRS)</v>
      </c>
      <c r="E199" s="169">
        <f>IFERROR(__xludf.DUMMYFUNCTION("""COMPUTED_VALUE"""),11.0)</f>
        <v>11</v>
      </c>
      <c r="F199" s="154" t="str">
        <f>IFERROR(__xludf.DUMMYFUNCTION("""COMPUTED_VALUE"""),"SI")</f>
        <v>SI</v>
      </c>
      <c r="G199" s="155"/>
      <c r="H199" s="168"/>
    </row>
    <row r="200" ht="26.25" customHeight="1">
      <c r="A200" s="166" t="str">
        <f>IFERROR(__xludf.DUMMYFUNCTION("""COMPUTED_VALUE"""),"GES_190")</f>
        <v>GES_190</v>
      </c>
      <c r="B200" s="164" t="str">
        <f>IFERROR(__xludf.DUMMYFUNCTION("""COMPUTED_VALUE"""),"GESTION")</f>
        <v>GESTION</v>
      </c>
      <c r="C200" s="154" t="str">
        <f>IFERROR(__xludf.DUMMYFUNCTION("""COMPUTED_VALUE"""),"PROGRAMA - TRANSVERSAL")</f>
        <v>PROGRAMA - TRANSVERSAL</v>
      </c>
      <c r="D200" s="165" t="str">
        <f>IFERROR(__xludf.DUMMYFUNCTION("""COMPUTED_VALUE"""),"ENCARGAD@ TRASMISIBLES (VIH)/ITS/Chagas/hepatitis B y C . Incluye Transimsión vertical (2 HRS)")</f>
        <v>ENCARGAD@ TRASMISIBLES (VIH)/ITS/Chagas/hepatitis B y C . Incluye Transimsión vertical (2 HRS)</v>
      </c>
      <c r="E200" s="169">
        <f>IFERROR(__xludf.DUMMYFUNCTION("""COMPUTED_VALUE"""),2.0)</f>
        <v>2</v>
      </c>
      <c r="F200" s="154" t="str">
        <f>IFERROR(__xludf.DUMMYFUNCTION("""COMPUTED_VALUE"""),"SI")</f>
        <v>SI</v>
      </c>
      <c r="G200" s="155"/>
      <c r="H200" s="168"/>
    </row>
    <row r="201" ht="26.25" customHeight="1">
      <c r="A201" s="166" t="str">
        <f>IFERROR(__xludf.DUMMYFUNCTION("""COMPUTED_VALUE"""),"GES_191")</f>
        <v>GES_191</v>
      </c>
      <c r="B201" s="164" t="str">
        <f>IFERROR(__xludf.DUMMYFUNCTION("""COMPUTED_VALUE"""),"GESTION")</f>
        <v>GESTION</v>
      </c>
      <c r="C201" s="154" t="str">
        <f>IFERROR(__xludf.DUMMYFUNCTION("""COMPUTED_VALUE"""),"PROGRAMA - TRANSVERSAL")</f>
        <v>PROGRAMA - TRANSVERSAL</v>
      </c>
      <c r="D201" s="165" t="str">
        <f>IFERROR(__xludf.DUMMYFUNCTION("""COMPUTED_VALUE"""),"ENCARGAD@ TRASMISIBLES (VIH)/ITS/Chagas/hepatitis B y C . Incluye Transimsión vertical (4 HRS)")</f>
        <v>ENCARGAD@ TRASMISIBLES (VIH)/ITS/Chagas/hepatitis B y C . Incluye Transimsión vertical (4 HRS)</v>
      </c>
      <c r="E201" s="169">
        <f>IFERROR(__xludf.DUMMYFUNCTION("""COMPUTED_VALUE"""),4.0)</f>
        <v>4</v>
      </c>
      <c r="F201" s="154" t="str">
        <f>IFERROR(__xludf.DUMMYFUNCTION("""COMPUTED_VALUE"""),"SI")</f>
        <v>SI</v>
      </c>
      <c r="G201" s="155"/>
      <c r="H201" s="168"/>
    </row>
    <row r="202" ht="26.25" customHeight="1">
      <c r="A202" s="166" t="str">
        <f>IFERROR(__xludf.DUMMYFUNCTION("""COMPUTED_VALUE"""),"GES_192")</f>
        <v>GES_192</v>
      </c>
      <c r="B202" s="164" t="str">
        <f>IFERROR(__xludf.DUMMYFUNCTION("""COMPUTED_VALUE"""),"GESTION")</f>
        <v>GESTION</v>
      </c>
      <c r="C202" s="154" t="str">
        <f>IFERROR(__xludf.DUMMYFUNCTION("""COMPUTED_VALUE"""),"PROGRAMA - TRANSVERSAL")</f>
        <v>PROGRAMA - TRANSVERSAL</v>
      </c>
      <c r="D202" s="165" t="str">
        <f>IFERROR(__xludf.DUMMYFUNCTION("""COMPUTED_VALUE"""),"ENCARGAD@ TRASMISIBLES (VIH)/ITS/Chagas/hepatitis B y C . Incluye Transimsión vertical (6 HRS)")</f>
        <v>ENCARGAD@ TRASMISIBLES (VIH)/ITS/Chagas/hepatitis B y C . Incluye Transimsión vertical (6 HRS)</v>
      </c>
      <c r="E202" s="169">
        <f>IFERROR(__xludf.DUMMYFUNCTION("""COMPUTED_VALUE"""),6.0)</f>
        <v>6</v>
      </c>
      <c r="F202" s="154" t="str">
        <f>IFERROR(__xludf.DUMMYFUNCTION("""COMPUTED_VALUE"""),"SI")</f>
        <v>SI</v>
      </c>
      <c r="G202" s="155"/>
      <c r="H202" s="168"/>
    </row>
    <row r="203" ht="26.25" customHeight="1">
      <c r="A203" s="166" t="str">
        <f>IFERROR(__xludf.DUMMYFUNCTION("""COMPUTED_VALUE"""),"GES_193")</f>
        <v>GES_193</v>
      </c>
      <c r="B203" s="164" t="str">
        <f>IFERROR(__xludf.DUMMYFUNCTION("""COMPUTED_VALUE"""),"GESTION")</f>
        <v>GESTION</v>
      </c>
      <c r="C203" s="154" t="str">
        <f>IFERROR(__xludf.DUMMYFUNCTION("""COMPUTED_VALUE"""),"PROGRAMA - TRANSVERSAL")</f>
        <v>PROGRAMA - TRANSVERSAL</v>
      </c>
      <c r="D203" s="165" t="str">
        <f>IFERROR(__xludf.DUMMYFUNCTION("""COMPUTED_VALUE"""),"ENCARGAD@ TRASMISIBLES (VIH)/ITS/Chagas/hepatitis B y C . Incluye Transimsión vertical (8 HRS)")</f>
        <v>ENCARGAD@ TRASMISIBLES (VIH)/ITS/Chagas/hepatitis B y C . Incluye Transimsión vertical (8 HRS)</v>
      </c>
      <c r="E203" s="169">
        <f>IFERROR(__xludf.DUMMYFUNCTION("""COMPUTED_VALUE"""),8.0)</f>
        <v>8</v>
      </c>
      <c r="F203" s="154" t="str">
        <f>IFERROR(__xludf.DUMMYFUNCTION("""COMPUTED_VALUE"""),"SI")</f>
        <v>SI</v>
      </c>
      <c r="G203" s="155"/>
      <c r="H203" s="168"/>
    </row>
    <row r="204" ht="26.25" customHeight="1">
      <c r="A204" s="166" t="str">
        <f>IFERROR(__xludf.DUMMYFUNCTION("""COMPUTED_VALUE"""),"GES_194")</f>
        <v>GES_194</v>
      </c>
      <c r="B204" s="164" t="str">
        <f>IFERROR(__xludf.DUMMYFUNCTION("""COMPUTED_VALUE"""),"GESTION")</f>
        <v>GESTION</v>
      </c>
      <c r="C204" s="154" t="str">
        <f>IFERROR(__xludf.DUMMYFUNCTION("""COMPUTED_VALUE"""),"PROGRAMA - TRANSVERSAL")</f>
        <v>PROGRAMA - TRANSVERSAL</v>
      </c>
      <c r="D204" s="165" t="str">
        <f>IFERROR(__xludf.DUMMYFUNCTION("""COMPUTED_VALUE"""),"ENCARGAD@ UAPO (10 HRS)")</f>
        <v>ENCARGAD@ UAPO (10 HRS)</v>
      </c>
      <c r="E204" s="169">
        <f>IFERROR(__xludf.DUMMYFUNCTION("""COMPUTED_VALUE"""),10.0)</f>
        <v>10</v>
      </c>
      <c r="F204" s="154" t="str">
        <f>IFERROR(__xludf.DUMMYFUNCTION("""COMPUTED_VALUE"""),"SI")</f>
        <v>SI</v>
      </c>
      <c r="G204" s="155"/>
      <c r="H204" s="168"/>
    </row>
    <row r="205" ht="26.25" customHeight="1">
      <c r="A205" s="166" t="str">
        <f>IFERROR(__xludf.DUMMYFUNCTION("""COMPUTED_VALUE"""),"GES_197")</f>
        <v>GES_197</v>
      </c>
      <c r="B205" s="164" t="str">
        <f>IFERROR(__xludf.DUMMYFUNCTION("""COMPUTED_VALUE"""),"GESTION")</f>
        <v>GESTION</v>
      </c>
      <c r="C205" s="154" t="str">
        <f>IFERROR(__xludf.DUMMYFUNCTION("""COMPUTED_VALUE"""),"PROGRAMA - TRANSVERSAL")</f>
        <v>PROGRAMA - TRANSVERSAL</v>
      </c>
      <c r="D205" s="165" t="str">
        <f>IFERROR(__xludf.DUMMYFUNCTION("""COMPUTED_VALUE"""),"ENCARGAD@ UAPORINO (7 HRS)")</f>
        <v>ENCARGAD@ UAPORINO (7 HRS)</v>
      </c>
      <c r="E205" s="169">
        <f>IFERROR(__xludf.DUMMYFUNCTION("""COMPUTED_VALUE"""),7.0)</f>
        <v>7</v>
      </c>
      <c r="F205" s="154" t="str">
        <f>IFERROR(__xludf.DUMMYFUNCTION("""COMPUTED_VALUE"""),"SI")</f>
        <v>SI</v>
      </c>
      <c r="G205" s="155"/>
      <c r="H205" s="168"/>
    </row>
    <row r="206" ht="26.25" customHeight="1">
      <c r="A206" s="166" t="str">
        <f>IFERROR(__xludf.DUMMYFUNCTION("""COMPUTED_VALUE"""),"GES_198")</f>
        <v>GES_198</v>
      </c>
      <c r="B206" s="164" t="str">
        <f>IFERROR(__xludf.DUMMYFUNCTION("""COMPUTED_VALUE"""),"GESTION")</f>
        <v>GESTION</v>
      </c>
      <c r="C206" s="154" t="str">
        <f>IFERROR(__xludf.DUMMYFUNCTION("""COMPUTED_VALUE"""),"PROGRAMA - TRANSVERSAL")</f>
        <v>PROGRAMA - TRANSVERSAL</v>
      </c>
      <c r="D206" s="165" t="str">
        <f>IFERROR(__xludf.DUMMYFUNCTION("""COMPUTED_VALUE"""),"ENCARGADO  PROGRAMA (1 HRS)")</f>
        <v>ENCARGADO  PROGRAMA (1 HRS)</v>
      </c>
      <c r="E206" s="169">
        <f>IFERROR(__xludf.DUMMYFUNCTION("""COMPUTED_VALUE"""),1.0)</f>
        <v>1</v>
      </c>
      <c r="F206" s="154" t="str">
        <f>IFERROR(__xludf.DUMMYFUNCTION("""COMPUTED_VALUE"""),"SI")</f>
        <v>SI</v>
      </c>
      <c r="G206" s="155"/>
      <c r="H206" s="168"/>
    </row>
    <row r="207" ht="26.25" customHeight="1">
      <c r="A207" s="166" t="str">
        <f>IFERROR(__xludf.DUMMYFUNCTION("""COMPUTED_VALUE"""),"GES_199")</f>
        <v>GES_199</v>
      </c>
      <c r="B207" s="164" t="str">
        <f>IFERROR(__xludf.DUMMYFUNCTION("""COMPUTED_VALUE"""),"GESTION")</f>
        <v>GESTION</v>
      </c>
      <c r="C207" s="154" t="str">
        <f>IFERROR(__xludf.DUMMYFUNCTION("""COMPUTED_VALUE"""),"PROGRAMA - TRANSVERSAL")</f>
        <v>PROGRAMA - TRANSVERSAL</v>
      </c>
      <c r="D207" s="165" t="str">
        <f>IFERROR(__xludf.DUMMYFUNCTION("""COMPUTED_VALUE"""),"ENCARGADO  PROGRAMA (3 HRS)")</f>
        <v>ENCARGADO  PROGRAMA (3 HRS)</v>
      </c>
      <c r="E207" s="169">
        <f>IFERROR(__xludf.DUMMYFUNCTION("""COMPUTED_VALUE"""),3.0)</f>
        <v>3</v>
      </c>
      <c r="F207" s="154" t="str">
        <f>IFERROR(__xludf.DUMMYFUNCTION("""COMPUTED_VALUE"""),"SI")</f>
        <v>SI</v>
      </c>
      <c r="G207" s="155"/>
      <c r="H207" s="168"/>
    </row>
    <row r="208" ht="26.25" customHeight="1">
      <c r="A208" s="166" t="str">
        <f>IFERROR(__xludf.DUMMYFUNCTION("""COMPUTED_VALUE"""),"GES_200")</f>
        <v>GES_200</v>
      </c>
      <c r="B208" s="164" t="str">
        <f>IFERROR(__xludf.DUMMYFUNCTION("""COMPUTED_VALUE"""),"GESTION")</f>
        <v>GESTION</v>
      </c>
      <c r="C208" s="154" t="str">
        <f>IFERROR(__xludf.DUMMYFUNCTION("""COMPUTED_VALUE"""),"PROGRAMA - TRANSVERSAL")</f>
        <v>PROGRAMA - TRANSVERSAL</v>
      </c>
      <c r="D208" s="165" t="str">
        <f>IFERROR(__xludf.DUMMYFUNCTION("""COMPUTED_VALUE"""),"ENCARGADO  PROGRAMA (5 HRS)")</f>
        <v>ENCARGADO  PROGRAMA (5 HRS)</v>
      </c>
      <c r="E208" s="169">
        <f>IFERROR(__xludf.DUMMYFUNCTION("""COMPUTED_VALUE"""),5.0)</f>
        <v>5</v>
      </c>
      <c r="F208" s="154" t="str">
        <f>IFERROR(__xludf.DUMMYFUNCTION("""COMPUTED_VALUE"""),"SI")</f>
        <v>SI</v>
      </c>
      <c r="G208" s="155"/>
      <c r="H208" s="168"/>
    </row>
    <row r="209" ht="26.25" customHeight="1">
      <c r="A209" s="166" t="str">
        <f>IFERROR(__xludf.DUMMYFUNCTION("""COMPUTED_VALUE"""),"GES_201")</f>
        <v>GES_201</v>
      </c>
      <c r="B209" s="164" t="str">
        <f>IFERROR(__xludf.DUMMYFUNCTION("""COMPUTED_VALUE"""),"GESTION")</f>
        <v>GESTION</v>
      </c>
      <c r="C209" s="154" t="str">
        <f>IFERROR(__xludf.DUMMYFUNCTION("""COMPUTED_VALUE"""),"PROGRAMA - TRANSVERSAL")</f>
        <v>PROGRAMA - TRANSVERSAL</v>
      </c>
      <c r="D209" s="165" t="str">
        <f>IFERROR(__xludf.DUMMYFUNCTION("""COMPUTED_VALUE"""),"ENCARGADO COMUNAL PROGRAMA TBC")</f>
        <v>ENCARGADO COMUNAL PROGRAMA TBC</v>
      </c>
      <c r="E209" s="169">
        <f>IFERROR(__xludf.DUMMYFUNCTION("""COMPUTED_VALUE"""),15.0)</f>
        <v>15</v>
      </c>
      <c r="F209" s="154" t="str">
        <f>IFERROR(__xludf.DUMMYFUNCTION("""COMPUTED_VALUE"""),"SI")</f>
        <v>SI</v>
      </c>
      <c r="G209" s="155"/>
      <c r="H209" s="168"/>
    </row>
    <row r="210" ht="26.25" customHeight="1">
      <c r="A210" s="166" t="str">
        <f>IFERROR(__xludf.DUMMYFUNCTION("""COMPUTED_VALUE"""),"GES_202")</f>
        <v>GES_202</v>
      </c>
      <c r="B210" s="164" t="str">
        <f>IFERROR(__xludf.DUMMYFUNCTION("""COMPUTED_VALUE"""),"GESTION")</f>
        <v>GESTION</v>
      </c>
      <c r="C210" s="154" t="str">
        <f>IFERROR(__xludf.DUMMYFUNCTION("""COMPUTED_VALUE"""),"PROGRAMA - TRANSVERSAL")</f>
        <v>PROGRAMA - TRANSVERSAL</v>
      </c>
      <c r="D210" s="165" t="str">
        <f>IFERROR(__xludf.DUMMYFUNCTION("""COMPUTED_VALUE"""),"ENCARGADO COMUNAL PROGRAMA TBC (2 HRS)")</f>
        <v>ENCARGADO COMUNAL PROGRAMA TBC (2 HRS)</v>
      </c>
      <c r="E210" s="169">
        <f>IFERROR(__xludf.DUMMYFUNCTION("""COMPUTED_VALUE"""),2.0)</f>
        <v>2</v>
      </c>
      <c r="F210" s="154" t="str">
        <f>IFERROR(__xludf.DUMMYFUNCTION("""COMPUTED_VALUE"""),"SI")</f>
        <v>SI</v>
      </c>
      <c r="G210" s="155"/>
      <c r="H210" s="168"/>
    </row>
    <row r="211" ht="26.25" customHeight="1">
      <c r="A211" s="166" t="str">
        <f>IFERROR(__xludf.DUMMYFUNCTION("""COMPUTED_VALUE"""),"GES_203")</f>
        <v>GES_203</v>
      </c>
      <c r="B211" s="164" t="str">
        <f>IFERROR(__xludf.DUMMYFUNCTION("""COMPUTED_VALUE"""),"GESTION")</f>
        <v>GESTION</v>
      </c>
      <c r="C211" s="154" t="str">
        <f>IFERROR(__xludf.DUMMYFUNCTION("""COMPUTED_VALUE"""),"PROGRAMA - TRANSVERSAL")</f>
        <v>PROGRAMA - TRANSVERSAL</v>
      </c>
      <c r="D211" s="165" t="str">
        <f>IFERROR(__xludf.DUMMYFUNCTION("""COMPUTED_VALUE"""),"ENCARGADO DIR")</f>
        <v>ENCARGADO DIR</v>
      </c>
      <c r="E211" s="169">
        <f>IFERROR(__xludf.DUMMYFUNCTION("""COMPUTED_VALUE"""),2.0)</f>
        <v>2</v>
      </c>
      <c r="F211" s="154" t="str">
        <f>IFERROR(__xludf.DUMMYFUNCTION("""COMPUTED_VALUE"""),"SI")</f>
        <v>SI</v>
      </c>
      <c r="G211" s="155"/>
      <c r="H211" s="168"/>
    </row>
    <row r="212" ht="26.25" customHeight="1">
      <c r="A212" s="166" t="str">
        <f>IFERROR(__xludf.DUMMYFUNCTION("""COMPUTED_VALUE"""),"GES_204")</f>
        <v>GES_204</v>
      </c>
      <c r="B212" s="164" t="str">
        <f>IFERROR(__xludf.DUMMYFUNCTION("""COMPUTED_VALUE"""),"GESTION")</f>
        <v>GESTION</v>
      </c>
      <c r="C212" s="154" t="str">
        <f>IFERROR(__xludf.DUMMYFUNCTION("""COMPUTED_VALUE"""),"PROGRAMA - TRANSVERSAL")</f>
        <v>PROGRAMA - TRANSVERSAL</v>
      </c>
      <c r="D212" s="165" t="str">
        <f>IFERROR(__xludf.DUMMYFUNCTION("""COMPUTED_VALUE"""),"ENCARGADO DIR (2 HRS)")</f>
        <v>ENCARGADO DIR (2 HRS)</v>
      </c>
      <c r="E212" s="169">
        <f>IFERROR(__xludf.DUMMYFUNCTION("""COMPUTED_VALUE"""),2.0)</f>
        <v>2</v>
      </c>
      <c r="F212" s="154" t="str">
        <f>IFERROR(__xludf.DUMMYFUNCTION("""COMPUTED_VALUE"""),"SI")</f>
        <v>SI</v>
      </c>
      <c r="G212" s="155"/>
      <c r="H212" s="168"/>
    </row>
    <row r="213" ht="26.25" customHeight="1">
      <c r="A213" s="166" t="str">
        <f>IFERROR(__xludf.DUMMYFUNCTION("""COMPUTED_VALUE"""),"GES_205")</f>
        <v>GES_205</v>
      </c>
      <c r="B213" s="164" t="str">
        <f>IFERROR(__xludf.DUMMYFUNCTION("""COMPUTED_VALUE"""),"GESTION")</f>
        <v>GESTION</v>
      </c>
      <c r="C213" s="154" t="str">
        <f>IFERROR(__xludf.DUMMYFUNCTION("""COMPUTED_VALUE"""),"PROGRAMA - TRANSVERSAL")</f>
        <v>PROGRAMA - TRANSVERSAL</v>
      </c>
      <c r="D213" s="165" t="str">
        <f>IFERROR(__xludf.DUMMYFUNCTION("""COMPUTED_VALUE"""),"ENCARGADO ELIGE VIDA SANA ")</f>
        <v>ENCARGADO ELIGE VIDA SANA </v>
      </c>
      <c r="E213" s="169">
        <f>IFERROR(__xludf.DUMMYFUNCTION("""COMPUTED_VALUE"""),11.0)</f>
        <v>11</v>
      </c>
      <c r="F213" s="154" t="str">
        <f>IFERROR(__xludf.DUMMYFUNCTION("""COMPUTED_VALUE"""),"SI")</f>
        <v>SI</v>
      </c>
      <c r="G213" s="155"/>
      <c r="H213" s="168"/>
    </row>
    <row r="214" ht="26.25" customHeight="1">
      <c r="A214" s="166" t="str">
        <f>IFERROR(__xludf.DUMMYFUNCTION("""COMPUTED_VALUE"""),"GES_206")</f>
        <v>GES_206</v>
      </c>
      <c r="B214" s="164" t="str">
        <f>IFERROR(__xludf.DUMMYFUNCTION("""COMPUTED_VALUE"""),"GESTION")</f>
        <v>GESTION</v>
      </c>
      <c r="C214" s="154" t="str">
        <f>IFERROR(__xludf.DUMMYFUNCTION("""COMPUTED_VALUE"""),"PROGRAMA - TRANSVERSAL")</f>
        <v>PROGRAMA - TRANSVERSAL</v>
      </c>
      <c r="D214" s="165" t="str">
        <f>IFERROR(__xludf.DUMMYFUNCTION("""COMPUTED_VALUE"""),"ENCARGADO ELIGE VIDA SANA (5 HRS)")</f>
        <v>ENCARGADO ELIGE VIDA SANA (5 HRS)</v>
      </c>
      <c r="E214" s="169">
        <f>IFERROR(__xludf.DUMMYFUNCTION("""COMPUTED_VALUE"""),5.0)</f>
        <v>5</v>
      </c>
      <c r="F214" s="154" t="str">
        <f>IFERROR(__xludf.DUMMYFUNCTION("""COMPUTED_VALUE"""),"SI")</f>
        <v>SI</v>
      </c>
      <c r="G214" s="155"/>
      <c r="H214" s="168"/>
    </row>
    <row r="215" ht="26.25" customHeight="1">
      <c r="A215" s="166" t="str">
        <f>IFERROR(__xludf.DUMMYFUNCTION("""COMPUTED_VALUE"""),"GES_207")</f>
        <v>GES_207</v>
      </c>
      <c r="B215" s="164" t="str">
        <f>IFERROR(__xludf.DUMMYFUNCTION("""COMPUTED_VALUE"""),"GESTION")</f>
        <v>GESTION</v>
      </c>
      <c r="C215" s="154" t="str">
        <f>IFERROR(__xludf.DUMMYFUNCTION("""COMPUTED_VALUE"""),"PROGRAMA - TRANSVERSAL")</f>
        <v>PROGRAMA - TRANSVERSAL</v>
      </c>
      <c r="D215" s="165" t="str">
        <f>IFERROR(__xludf.DUMMYFUNCTION("""COMPUTED_VALUE"""),"ENCARGADO ESPACIOS AMIGABLES")</f>
        <v>ENCARGADO ESPACIOS AMIGABLES</v>
      </c>
      <c r="E215" s="169">
        <f>IFERROR(__xludf.DUMMYFUNCTION("""COMPUTED_VALUE"""),2.0)</f>
        <v>2</v>
      </c>
      <c r="F215" s="154" t="str">
        <f>IFERROR(__xludf.DUMMYFUNCTION("""COMPUTED_VALUE"""),"SI")</f>
        <v>SI</v>
      </c>
      <c r="G215" s="155"/>
      <c r="H215" s="168"/>
    </row>
    <row r="216" ht="26.25" customHeight="1">
      <c r="A216" s="166" t="str">
        <f>IFERROR(__xludf.DUMMYFUNCTION("""COMPUTED_VALUE"""),"GES_208")</f>
        <v>GES_208</v>
      </c>
      <c r="B216" s="164" t="str">
        <f>IFERROR(__xludf.DUMMYFUNCTION("""COMPUTED_VALUE"""),"GESTION")</f>
        <v>GESTION</v>
      </c>
      <c r="C216" s="154" t="str">
        <f>IFERROR(__xludf.DUMMYFUNCTION("""COMPUTED_VALUE"""),"PROGRAMA - TRANSVERSAL")</f>
        <v>PROGRAMA - TRANSVERSAL</v>
      </c>
      <c r="D216" s="165" t="str">
        <f>IFERROR(__xludf.DUMMYFUNCTION("""COMPUTED_VALUE"""),"ENCARGADO ESPACIOS AMIGABLES")</f>
        <v>ENCARGADO ESPACIOS AMIGABLES</v>
      </c>
      <c r="E216" s="169">
        <f>IFERROR(__xludf.DUMMYFUNCTION("""COMPUTED_VALUE"""),2.0)</f>
        <v>2</v>
      </c>
      <c r="F216" s="154" t="str">
        <f>IFERROR(__xludf.DUMMYFUNCTION("""COMPUTED_VALUE"""),"SI")</f>
        <v>SI</v>
      </c>
      <c r="G216" s="155"/>
      <c r="H216" s="168"/>
    </row>
    <row r="217" ht="26.25" customHeight="1">
      <c r="A217" s="166" t="str">
        <f>IFERROR(__xludf.DUMMYFUNCTION("""COMPUTED_VALUE"""),"GES_209")</f>
        <v>GES_209</v>
      </c>
      <c r="B217" s="164" t="str">
        <f>IFERROR(__xludf.DUMMYFUNCTION("""COMPUTED_VALUE"""),"GESTION")</f>
        <v>GESTION</v>
      </c>
      <c r="C217" s="154" t="str">
        <f>IFERROR(__xludf.DUMMYFUNCTION("""COMPUTED_VALUE"""),"PROGRAMA - TRANSVERSAL")</f>
        <v>PROGRAMA - TRANSVERSAL</v>
      </c>
      <c r="D217" s="165" t="str">
        <f>IFERROR(__xludf.DUMMYFUNCTION("""COMPUTED_VALUE"""),"ENCARGADO SEMBRANDO SONRISAS")</f>
        <v>ENCARGADO SEMBRANDO SONRISAS</v>
      </c>
      <c r="E217" s="169">
        <f>IFERROR(__xludf.DUMMYFUNCTION("""COMPUTED_VALUE"""),1.0)</f>
        <v>1</v>
      </c>
      <c r="F217" s="154" t="str">
        <f>IFERROR(__xludf.DUMMYFUNCTION("""COMPUTED_VALUE"""),"SI")</f>
        <v>SI</v>
      </c>
      <c r="G217" s="155"/>
      <c r="H217" s="168"/>
    </row>
    <row r="218" ht="26.25" customHeight="1">
      <c r="A218" s="166" t="str">
        <f>IFERROR(__xludf.DUMMYFUNCTION("""COMPUTED_VALUE"""),"GES_210")</f>
        <v>GES_210</v>
      </c>
      <c r="B218" s="164" t="str">
        <f>IFERROR(__xludf.DUMMYFUNCTION("""COMPUTED_VALUE"""),"GESTION")</f>
        <v>GESTION</v>
      </c>
      <c r="C218" s="154" t="str">
        <f>IFERROR(__xludf.DUMMYFUNCTION("""COMPUTED_VALUE"""),"PROGRAMA - TRANSVERSAL")</f>
        <v>PROGRAMA - TRANSVERSAL</v>
      </c>
      <c r="D218" s="165" t="str">
        <f>IFERROR(__xludf.DUMMYFUNCTION("""COMPUTED_VALUE"""),"ENCARGADO@ GESTION CIRUGIA MENOR (2 HRS)")</f>
        <v>ENCARGADO@ GESTION CIRUGIA MENOR (2 HRS)</v>
      </c>
      <c r="E218" s="169">
        <f>IFERROR(__xludf.DUMMYFUNCTION("""COMPUTED_VALUE"""),2.0)</f>
        <v>2</v>
      </c>
      <c r="F218" s="154" t="str">
        <f>IFERROR(__xludf.DUMMYFUNCTION("""COMPUTED_VALUE"""),"SI")</f>
        <v>SI</v>
      </c>
      <c r="G218" s="155"/>
      <c r="H218" s="168"/>
    </row>
    <row r="219" ht="26.25" customHeight="1">
      <c r="A219" s="166" t="str">
        <f>IFERROR(__xludf.DUMMYFUNCTION("""COMPUTED_VALUE"""),"GES_211")</f>
        <v>GES_211</v>
      </c>
      <c r="B219" s="164" t="str">
        <f>IFERROR(__xludf.DUMMYFUNCTION("""COMPUTED_VALUE"""),"GESTION")</f>
        <v>GESTION</v>
      </c>
      <c r="C219" s="154" t="str">
        <f>IFERROR(__xludf.DUMMYFUNCTION("""COMPUTED_VALUE"""),"PROGRAMA - TRANSVERSAL")</f>
        <v>PROGRAMA - TRANSVERSAL</v>
      </c>
      <c r="D219" s="165" t="str">
        <f>IFERROR(__xludf.DUMMYFUNCTION("""COMPUTED_VALUE"""),"ENCARGADO@ GESTION CIRUGIA MENOR (5 HRS)")</f>
        <v>ENCARGADO@ GESTION CIRUGIA MENOR (5 HRS)</v>
      </c>
      <c r="E219" s="169">
        <f>IFERROR(__xludf.DUMMYFUNCTION("""COMPUTED_VALUE"""),5.0)</f>
        <v>5</v>
      </c>
      <c r="F219" s="154" t="str">
        <f>IFERROR(__xludf.DUMMYFUNCTION("""COMPUTED_VALUE"""),"SI")</f>
        <v>SI</v>
      </c>
      <c r="G219" s="155"/>
      <c r="H219" s="168"/>
    </row>
    <row r="220" ht="26.25" customHeight="1">
      <c r="A220" s="166" t="str">
        <f>IFERROR(__xludf.DUMMYFUNCTION("""COMPUTED_VALUE"""),"GES_212")</f>
        <v>GES_212</v>
      </c>
      <c r="B220" s="164" t="str">
        <f>IFERROR(__xludf.DUMMYFUNCTION("""COMPUTED_VALUE"""),"GESTION")</f>
        <v>GESTION</v>
      </c>
      <c r="C220" s="154" t="str">
        <f>IFERROR(__xludf.DUMMYFUNCTION("""COMPUTED_VALUE"""),"PROGRAMA - TRANSVERSAL")</f>
        <v>PROGRAMA - TRANSVERSAL</v>
      </c>
      <c r="D220" s="165" t="str">
        <f>IFERROR(__xludf.DUMMYFUNCTION("""COMPUTED_VALUE"""),"ENCARGADO@ GESTION CUIDADOS PALIATIVOS UNIVERSALES (CPU) (11 HRS)")</f>
        <v>ENCARGADO@ GESTION CUIDADOS PALIATIVOS UNIVERSALES (CPU) (11 HRS)</v>
      </c>
      <c r="E220" s="169">
        <f>IFERROR(__xludf.DUMMYFUNCTION("""COMPUTED_VALUE"""),11.0)</f>
        <v>11</v>
      </c>
      <c r="F220" s="154" t="str">
        <f>IFERROR(__xludf.DUMMYFUNCTION("""COMPUTED_VALUE"""),"SI")</f>
        <v>SI</v>
      </c>
      <c r="G220" s="155"/>
      <c r="H220" s="168"/>
    </row>
    <row r="221" ht="26.25" customHeight="1">
      <c r="A221" s="166" t="str">
        <f>IFERROR(__xludf.DUMMYFUNCTION("""COMPUTED_VALUE"""),"GES_213")</f>
        <v>GES_213</v>
      </c>
      <c r="B221" s="164" t="str">
        <f>IFERROR(__xludf.DUMMYFUNCTION("""COMPUTED_VALUE"""),"GESTION")</f>
        <v>GESTION</v>
      </c>
      <c r="C221" s="154" t="str">
        <f>IFERROR(__xludf.DUMMYFUNCTION("""COMPUTED_VALUE"""),"PROGRAMA - TRANSVERSAL")</f>
        <v>PROGRAMA - TRANSVERSAL</v>
      </c>
      <c r="D221" s="165" t="str">
        <f>IFERROR(__xludf.DUMMYFUNCTION("""COMPUTED_VALUE"""),"ENCARGADO@ GESTION CUIDADOS PALIATIVOS UNIVERSALES (CPU) (22 HRS)")</f>
        <v>ENCARGADO@ GESTION CUIDADOS PALIATIVOS UNIVERSALES (CPU) (22 HRS)</v>
      </c>
      <c r="E221" s="169">
        <f>IFERROR(__xludf.DUMMYFUNCTION("""COMPUTED_VALUE"""),22.0)</f>
        <v>22</v>
      </c>
      <c r="F221" s="154" t="str">
        <f>IFERROR(__xludf.DUMMYFUNCTION("""COMPUTED_VALUE"""),"SI")</f>
        <v>SI</v>
      </c>
      <c r="G221" s="155"/>
      <c r="H221" s="168"/>
    </row>
    <row r="222" ht="26.25" customHeight="1">
      <c r="A222" s="166" t="str">
        <f>IFERROR(__xludf.DUMMYFUNCTION("""COMPUTED_VALUE"""),"GES_214")</f>
        <v>GES_214</v>
      </c>
      <c r="B222" s="164" t="str">
        <f>IFERROR(__xludf.DUMMYFUNCTION("""COMPUTED_VALUE"""),"GESTION")</f>
        <v>GESTION</v>
      </c>
      <c r="C222" s="154" t="str">
        <f>IFERROR(__xludf.DUMMYFUNCTION("""COMPUTED_VALUE"""),"PROGRAMA - TRANSVERSAL")</f>
        <v>PROGRAMA - TRANSVERSAL</v>
      </c>
      <c r="D222" s="165" t="str">
        <f>IFERROR(__xludf.DUMMYFUNCTION("""COMPUTED_VALUE"""),"ENCARGADO@ GESTION CUIDADOS PALIATIVOS UNIVERSALES (CPU) (6 HRS)")</f>
        <v>ENCARGADO@ GESTION CUIDADOS PALIATIVOS UNIVERSALES (CPU) (6 HRS)</v>
      </c>
      <c r="E222" s="169">
        <f>IFERROR(__xludf.DUMMYFUNCTION("""COMPUTED_VALUE"""),6.0)</f>
        <v>6</v>
      </c>
      <c r="F222" s="154" t="str">
        <f>IFERROR(__xludf.DUMMYFUNCTION("""COMPUTED_VALUE"""),"SI")</f>
        <v>SI</v>
      </c>
      <c r="G222" s="155"/>
      <c r="H222" s="168"/>
    </row>
    <row r="223" ht="26.25" customHeight="1">
      <c r="A223" s="166" t="str">
        <f>IFERROR(__xludf.DUMMYFUNCTION("""COMPUTED_VALUE"""),"GES_216")</f>
        <v>GES_216</v>
      </c>
      <c r="B223" s="164" t="str">
        <f>IFERROR(__xludf.DUMMYFUNCTION("""COMPUTED_VALUE"""),"GESTION")</f>
        <v>GESTION</v>
      </c>
      <c r="C223" s="154" t="str">
        <f>IFERROR(__xludf.DUMMYFUNCTION("""COMPUTED_VALUE"""),"PROGRAMA - TRANSVERSAL")</f>
        <v>PROGRAMA - TRANSVERSAL</v>
      </c>
      <c r="D223" s="165" t="str">
        <f>IFERROR(__xludf.DUMMYFUNCTION("""COMPUTED_VALUE"""),"ENCARGADO@GESTION SOCIAL LOCAL (GSL) (2 HRS)")</f>
        <v>ENCARGADO@GESTION SOCIAL LOCAL (GSL) (2 HRS)</v>
      </c>
      <c r="E223" s="169">
        <f>IFERROR(__xludf.DUMMYFUNCTION("""COMPUTED_VALUE"""),3.0)</f>
        <v>3</v>
      </c>
      <c r="F223" s="154" t="str">
        <f>IFERROR(__xludf.DUMMYFUNCTION("""COMPUTED_VALUE"""),"SI")</f>
        <v>SI</v>
      </c>
      <c r="G223" s="155"/>
      <c r="H223" s="168"/>
    </row>
    <row r="224" ht="26.25" customHeight="1">
      <c r="A224" s="166" t="str">
        <f>IFERROR(__xludf.DUMMYFUNCTION("""COMPUTED_VALUE"""),"GES_217")</f>
        <v>GES_217</v>
      </c>
      <c r="B224" s="164" t="str">
        <f>IFERROR(__xludf.DUMMYFUNCTION("""COMPUTED_VALUE"""),"GESTION")</f>
        <v>GESTION</v>
      </c>
      <c r="C224" s="154" t="str">
        <f>IFERROR(__xludf.DUMMYFUNCTION("""COMPUTED_VALUE"""),"PROGRAMA - TRANSVERSAL")</f>
        <v>PROGRAMA - TRANSVERSAL</v>
      </c>
      <c r="D224" s="165" t="str">
        <f>IFERROR(__xludf.DUMMYFUNCTION("""COMPUTED_VALUE"""),"ENCARGADO@GESTION SOCIAL LOCAL (GSL) (22 HRS)")</f>
        <v>ENCARGADO@GESTION SOCIAL LOCAL (GSL) (22 HRS)</v>
      </c>
      <c r="E224" s="169">
        <f>IFERROR(__xludf.DUMMYFUNCTION("""COMPUTED_VALUE"""),22.0)</f>
        <v>22</v>
      </c>
      <c r="F224" s="154" t="str">
        <f>IFERROR(__xludf.DUMMYFUNCTION("""COMPUTED_VALUE"""),"SI")</f>
        <v>SI</v>
      </c>
      <c r="G224" s="155"/>
      <c r="H224" s="168"/>
    </row>
    <row r="225" ht="26.25" customHeight="1">
      <c r="A225" s="166" t="str">
        <f>IFERROR(__xludf.DUMMYFUNCTION("""COMPUTED_VALUE"""),"GES_218")</f>
        <v>GES_218</v>
      </c>
      <c r="B225" s="164" t="str">
        <f>IFERROR(__xludf.DUMMYFUNCTION("""COMPUTED_VALUE"""),"GESTION")</f>
        <v>GESTION</v>
      </c>
      <c r="C225" s="154" t="str">
        <f>IFERROR(__xludf.DUMMYFUNCTION("""COMPUTED_VALUE"""),"PROGRAMA - TRANSVERSAL")</f>
        <v>PROGRAMA - TRANSVERSAL</v>
      </c>
      <c r="D225" s="165" t="str">
        <f>IFERROR(__xludf.DUMMYFUNCTION("""COMPUTED_VALUE"""),"ENCARGADO@GESTION SOCIAL LOCAL (GSL) (44 HRS)")</f>
        <v>ENCARGADO@GESTION SOCIAL LOCAL (GSL) (44 HRS)</v>
      </c>
      <c r="E225" s="169">
        <f>IFERROR(__xludf.DUMMYFUNCTION("""COMPUTED_VALUE"""),44.0)</f>
        <v>44</v>
      </c>
      <c r="F225" s="154" t="str">
        <f>IFERROR(__xludf.DUMMYFUNCTION("""COMPUTED_VALUE"""),"SI")</f>
        <v>SI</v>
      </c>
      <c r="G225" s="155"/>
      <c r="H225" s="168"/>
    </row>
    <row r="226" ht="26.25" customHeight="1">
      <c r="A226" s="166" t="str">
        <f>IFERROR(__xludf.DUMMYFUNCTION("""COMPUTED_VALUE"""),"GES_219")</f>
        <v>GES_219</v>
      </c>
      <c r="B226" s="164" t="str">
        <f>IFERROR(__xludf.DUMMYFUNCTION("""COMPUTED_VALUE"""),"GESTION")</f>
        <v>GESTION</v>
      </c>
      <c r="C226" s="154" t="str">
        <f>IFERROR(__xludf.DUMMYFUNCTION("""COMPUTED_VALUE"""),"PROGRAMA - TRANSVERSAL")</f>
        <v>PROGRAMA - TRANSVERSAL</v>
      </c>
      <c r="D226" s="165" t="str">
        <f>IFERROR(__xludf.DUMMYFUNCTION("""COMPUTED_VALUE"""),"ENCARGADO@GESTION SOCIAL LOCAL (GSL) (5 HRS)")</f>
        <v>ENCARGADO@GESTION SOCIAL LOCAL (GSL) (5 HRS)</v>
      </c>
      <c r="E226" s="169">
        <f>IFERROR(__xludf.DUMMYFUNCTION("""COMPUTED_VALUE"""),5.0)</f>
        <v>5</v>
      </c>
      <c r="F226" s="154" t="str">
        <f>IFERROR(__xludf.DUMMYFUNCTION("""COMPUTED_VALUE"""),"SI")</f>
        <v>SI</v>
      </c>
      <c r="G226" s="155"/>
      <c r="H226" s="168"/>
    </row>
    <row r="227" ht="26.25" customHeight="1">
      <c r="A227" s="166" t="str">
        <f>IFERROR(__xludf.DUMMYFUNCTION("""COMPUTED_VALUE"""),"GES_220")</f>
        <v>GES_220</v>
      </c>
      <c r="B227" s="164" t="str">
        <f>IFERROR(__xludf.DUMMYFUNCTION("""COMPUTED_VALUE"""),"GESTION")</f>
        <v>GESTION</v>
      </c>
      <c r="C227" s="154" t="str">
        <f>IFERROR(__xludf.DUMMYFUNCTION("""COMPUTED_VALUE"""),"PROGRAMA - TRANSVERSAL")</f>
        <v>PROGRAMA - TRANSVERSAL</v>
      </c>
      <c r="D227" s="165" t="str">
        <f>IFERROR(__xludf.DUMMYFUNCTION("""COMPUTED_VALUE"""),"GESTIÓN AYUDAS TECNICAS ( 1 HRS)")</f>
        <v>GESTIÓN AYUDAS TECNICAS ( 1 HRS)</v>
      </c>
      <c r="E227" s="169">
        <f>IFERROR(__xludf.DUMMYFUNCTION("""COMPUTED_VALUE"""),1.0)</f>
        <v>1</v>
      </c>
      <c r="F227" s="154" t="str">
        <f>IFERROR(__xludf.DUMMYFUNCTION("""COMPUTED_VALUE"""),"SI")</f>
        <v>SI</v>
      </c>
      <c r="G227" s="155"/>
      <c r="H227" s="168"/>
    </row>
    <row r="228" ht="26.25" customHeight="1">
      <c r="A228" s="166" t="str">
        <f>IFERROR(__xludf.DUMMYFUNCTION("""COMPUTED_VALUE"""),"GES_221")</f>
        <v>GES_221</v>
      </c>
      <c r="B228" s="164" t="str">
        <f>IFERROR(__xludf.DUMMYFUNCTION("""COMPUTED_VALUE"""),"GESTION")</f>
        <v>GESTION</v>
      </c>
      <c r="C228" s="154" t="str">
        <f>IFERROR(__xludf.DUMMYFUNCTION("""COMPUTED_VALUE"""),"PROGRAMA - TRANSVERSAL")</f>
        <v>PROGRAMA - TRANSVERSAL</v>
      </c>
      <c r="D228" s="165" t="str">
        <f>IFERROR(__xludf.DUMMYFUNCTION("""COMPUTED_VALUE"""),"GESTIÓN AYUDAS TECNICAS (2 HRS)")</f>
        <v>GESTIÓN AYUDAS TECNICAS (2 HRS)</v>
      </c>
      <c r="E228" s="169">
        <f>IFERROR(__xludf.DUMMYFUNCTION("""COMPUTED_VALUE"""),2.0)</f>
        <v>2</v>
      </c>
      <c r="F228" s="154" t="str">
        <f>IFERROR(__xludf.DUMMYFUNCTION("""COMPUTED_VALUE"""),"SI")</f>
        <v>SI</v>
      </c>
      <c r="G228" s="155"/>
      <c r="H228" s="168"/>
    </row>
    <row r="229" ht="26.25" customHeight="1">
      <c r="A229" s="166" t="str">
        <f>IFERROR(__xludf.DUMMYFUNCTION("""COMPUTED_VALUE"""),"GES_222")</f>
        <v>GES_222</v>
      </c>
      <c r="B229" s="164" t="str">
        <f>IFERROR(__xludf.DUMMYFUNCTION("""COMPUTED_VALUE"""),"GESTION")</f>
        <v>GESTION</v>
      </c>
      <c r="C229" s="154" t="str">
        <f>IFERROR(__xludf.DUMMYFUNCTION("""COMPUTED_VALUE"""),"PROGRAMA - TRANSVERSAL")</f>
        <v>PROGRAMA - TRANSVERSAL</v>
      </c>
      <c r="D229" s="165" t="str">
        <f>IFERROR(__xludf.DUMMYFUNCTION("""COMPUTED_VALUE"""),"GESTIÓN AYUDAS TECNICAS (5 HRS)")</f>
        <v>GESTIÓN AYUDAS TECNICAS (5 HRS)</v>
      </c>
      <c r="E229" s="169">
        <f>IFERROR(__xludf.DUMMYFUNCTION("""COMPUTED_VALUE"""),5.0)</f>
        <v>5</v>
      </c>
      <c r="F229" s="154" t="str">
        <f>IFERROR(__xludf.DUMMYFUNCTION("""COMPUTED_VALUE"""),"SI")</f>
        <v>SI</v>
      </c>
      <c r="G229" s="155"/>
      <c r="H229" s="168"/>
    </row>
    <row r="230" ht="26.25" customHeight="1">
      <c r="A230" s="166" t="str">
        <f>IFERROR(__xludf.DUMMYFUNCTION("""COMPUTED_VALUE"""),"GES_223")</f>
        <v>GES_223</v>
      </c>
      <c r="B230" s="164" t="str">
        <f>IFERROR(__xludf.DUMMYFUNCTION("""COMPUTED_VALUE"""),"GESTION")</f>
        <v>GESTION</v>
      </c>
      <c r="C230" s="154" t="str">
        <f>IFERROR(__xludf.DUMMYFUNCTION("""COMPUTED_VALUE"""),"PROGRAMA - TRANSVERSAL")</f>
        <v>PROGRAMA - TRANSVERSAL</v>
      </c>
      <c r="D230" s="165" t="str">
        <f>IFERROR(__xludf.DUMMYFUNCTION("""COMPUTED_VALUE"""),"GESTIÓN AYUDAS TECNICAS (6 HRS)")</f>
        <v>GESTIÓN AYUDAS TECNICAS (6 HRS)</v>
      </c>
      <c r="E230" s="169">
        <f>IFERROR(__xludf.DUMMYFUNCTION("""COMPUTED_VALUE"""),6.0)</f>
        <v>6</v>
      </c>
      <c r="F230" s="154" t="str">
        <f>IFERROR(__xludf.DUMMYFUNCTION("""COMPUTED_VALUE"""),"SI")</f>
        <v>SI</v>
      </c>
      <c r="G230" s="155"/>
      <c r="H230" s="168"/>
    </row>
    <row r="231" ht="26.25" customHeight="1">
      <c r="A231" s="166" t="str">
        <f>IFERROR(__xludf.DUMMYFUNCTION("""COMPUTED_VALUE"""),"GES_225")</f>
        <v>GES_225</v>
      </c>
      <c r="B231" s="164" t="str">
        <f>IFERROR(__xludf.DUMMYFUNCTION("""COMPUTED_VALUE"""),"GESTION")</f>
        <v>GESTION</v>
      </c>
      <c r="C231" s="154" t="str">
        <f>IFERROR(__xludf.DUMMYFUNCTION("""COMPUTED_VALUE"""),"PROGRAMA - TRANSVERSAL")</f>
        <v>PROGRAMA - TRANSVERSAL</v>
      </c>
      <c r="D231" s="165" t="str">
        <f>IFERROR(__xludf.DUMMYFUNCTION("""COMPUTED_VALUE"""),"REFERENTES MEDICINA COMPLEMENTARIAS (3 HRS)")</f>
        <v>REFERENTES MEDICINA COMPLEMENTARIAS (3 HRS)</v>
      </c>
      <c r="E231" s="169">
        <f>IFERROR(__xludf.DUMMYFUNCTION("""COMPUTED_VALUE"""),3.0)</f>
        <v>3</v>
      </c>
      <c r="F231" s="154" t="str">
        <f>IFERROR(__xludf.DUMMYFUNCTION("""COMPUTED_VALUE"""),"SI")</f>
        <v>SI</v>
      </c>
      <c r="G231" s="155"/>
      <c r="H231" s="168"/>
    </row>
    <row r="232" ht="26.25" customHeight="1">
      <c r="A232" s="166" t="str">
        <f>IFERROR(__xludf.DUMMYFUNCTION("""COMPUTED_VALUE"""),"GES_226")</f>
        <v>GES_226</v>
      </c>
      <c r="B232" s="164" t="str">
        <f>IFERROR(__xludf.DUMMYFUNCTION("""COMPUTED_VALUE"""),"GESTION")</f>
        <v>GESTION</v>
      </c>
      <c r="C232" s="154" t="str">
        <f>IFERROR(__xludf.DUMMYFUNCTION("""COMPUTED_VALUE"""),"PROGRAMA - TRANSVERSAL")</f>
        <v>PROGRAMA - TRANSVERSAL</v>
      </c>
      <c r="D232" s="165" t="str">
        <f>IFERROR(__xludf.DUMMYFUNCTION("""COMPUTED_VALUE"""),"REFERENTES MEDICINA COMPLEMENTARIAS (45 MIN)")</f>
        <v>REFERENTES MEDICINA COMPLEMENTARIAS (45 MIN)</v>
      </c>
      <c r="E232" s="169">
        <f>IFERROR(__xludf.DUMMYFUNCTION("""COMPUTED_VALUE"""),0.75)</f>
        <v>0.75</v>
      </c>
      <c r="F232" s="154" t="str">
        <f>IFERROR(__xludf.DUMMYFUNCTION("""COMPUTED_VALUE"""),"SI")</f>
        <v>SI</v>
      </c>
      <c r="G232" s="155"/>
      <c r="H232" s="168"/>
    </row>
    <row r="233" ht="26.25" customHeight="1">
      <c r="A233" s="166" t="str">
        <f>IFERROR(__xludf.DUMMYFUNCTION("""COMPUTED_VALUE"""),"GES_227")</f>
        <v>GES_227</v>
      </c>
      <c r="B233" s="164" t="str">
        <f>IFERROR(__xludf.DUMMYFUNCTION("""COMPUTED_VALUE"""),"GESTION")</f>
        <v>GESTION</v>
      </c>
      <c r="C233" s="154" t="str">
        <f>IFERROR(__xludf.DUMMYFUNCTION("""COMPUTED_VALUE"""),"PROGRAMA - TRANSVERSAL")</f>
        <v>PROGRAMA - TRANSVERSAL</v>
      </c>
      <c r="D233" s="165" t="str">
        <f>IFERROR(__xludf.DUMMYFUNCTION("""COMPUTED_VALUE"""),"REFERENTES MEDICINA COMPLEMENTARIAS (5 HRS)")</f>
        <v>REFERENTES MEDICINA COMPLEMENTARIAS (5 HRS)</v>
      </c>
      <c r="E233" s="169">
        <f>IFERROR(__xludf.DUMMYFUNCTION("""COMPUTED_VALUE"""),5.0)</f>
        <v>5</v>
      </c>
      <c r="F233" s="154" t="str">
        <f>IFERROR(__xludf.DUMMYFUNCTION("""COMPUTED_VALUE"""),"SI")</f>
        <v>SI</v>
      </c>
      <c r="G233" s="155"/>
      <c r="H233" s="168"/>
    </row>
    <row r="234" ht="26.25" customHeight="1">
      <c r="A234" s="166" t="str">
        <f>IFERROR(__xludf.DUMMYFUNCTION("""COMPUTED_VALUE"""),"GES_324")</f>
        <v>GES_324</v>
      </c>
      <c r="B234" s="164" t="str">
        <f>IFERROR(__xludf.DUMMYFUNCTION("""COMPUTED_VALUE"""),"GESTION")</f>
        <v>GESTION</v>
      </c>
      <c r="C234" s="154" t="str">
        <f>IFERROR(__xludf.DUMMYFUNCTION("""COMPUTED_VALUE"""),"PROGRAMA - TRANSVERSAL")</f>
        <v>PROGRAMA - TRANSVERSAL</v>
      </c>
      <c r="D234" s="165" t="str">
        <f>IFERROR(__xludf.DUMMYFUNCTION("""COMPUTED_VALUE"""),"ENCARGAD@ TRASMISIBLES (VIH)/ITS/Chagas/hepatitis B y C . Incluye Transimsión vertical (5 HRS)")</f>
        <v>ENCARGAD@ TRASMISIBLES (VIH)/ITS/Chagas/hepatitis B y C . Incluye Transimsión vertical (5 HRS)</v>
      </c>
      <c r="E234" s="169">
        <f>IFERROR(__xludf.DUMMYFUNCTION("""COMPUTED_VALUE"""),5.0)</f>
        <v>5</v>
      </c>
      <c r="F234" s="154" t="str">
        <f>IFERROR(__xludf.DUMMYFUNCTION("""COMPUTED_VALUE"""),"SI")</f>
        <v>SI</v>
      </c>
      <c r="G234" s="155"/>
      <c r="H234" s="168"/>
    </row>
    <row r="235" ht="26.25" customHeight="1">
      <c r="A235" s="166" t="str">
        <f>IFERROR(__xludf.DUMMYFUNCTION("""COMPUTED_VALUE"""),"GES_325")</f>
        <v>GES_325</v>
      </c>
      <c r="B235" s="164" t="str">
        <f>IFERROR(__xludf.DUMMYFUNCTION("""COMPUTED_VALUE"""),"GESTION")</f>
        <v>GESTION</v>
      </c>
      <c r="C235" s="154" t="str">
        <f>IFERROR(__xludf.DUMMYFUNCTION("""COMPUTED_VALUE"""),"PROGRAMA - TRANSVERSAL")</f>
        <v>PROGRAMA - TRANSVERSAL</v>
      </c>
      <c r="D235" s="165" t="str">
        <f>IFERROR(__xludf.DUMMYFUNCTION("""COMPUTED_VALUE"""),"ENCARGAD@ PROGRAMA SALUD SEXUAL Y REPRODUCTIVA ( 14 HRS)")</f>
        <v>ENCARGAD@ PROGRAMA SALUD SEXUAL Y REPRODUCTIVA ( 14 HRS)</v>
      </c>
      <c r="E235" s="169">
        <f>IFERROR(__xludf.DUMMYFUNCTION("""COMPUTED_VALUE"""),14.0)</f>
        <v>14</v>
      </c>
      <c r="F235" s="154" t="str">
        <f>IFERROR(__xludf.DUMMYFUNCTION("""COMPUTED_VALUE"""),"SI")</f>
        <v>SI</v>
      </c>
      <c r="G235" s="155"/>
      <c r="H235" s="168"/>
    </row>
    <row r="236" ht="26.25" customHeight="1">
      <c r="A236" s="166" t="str">
        <f>IFERROR(__xludf.DUMMYFUNCTION("""COMPUTED_VALUE"""),"GES_228")</f>
        <v>GES_228</v>
      </c>
      <c r="B236" s="164" t="str">
        <f>IFERROR(__xludf.DUMMYFUNCTION("""COMPUTED_VALUE"""),"GESTION")</f>
        <v>GESTION</v>
      </c>
      <c r="C236" s="154" t="str">
        <f>IFERROR(__xludf.DUMMYFUNCTION("""COMPUTED_VALUE"""),"SALUD PUBLICA")</f>
        <v>SALUD PUBLICA</v>
      </c>
      <c r="D236" s="165" t="str">
        <f>IFERROR(__xludf.DUMMYFUNCTION("""COMPUTED_VALUE"""),"ENCARGAD@ COMUNAL  PNI (11 HRS)")</f>
        <v>ENCARGAD@ COMUNAL  PNI (11 HRS)</v>
      </c>
      <c r="E236" s="169">
        <f>IFERROR(__xludf.DUMMYFUNCTION("""COMPUTED_VALUE"""),11.0)</f>
        <v>11</v>
      </c>
      <c r="F236" s="154" t="str">
        <f>IFERROR(__xludf.DUMMYFUNCTION("""COMPUTED_VALUE"""),"SI")</f>
        <v>SI</v>
      </c>
      <c r="G236" s="155"/>
      <c r="H236" s="168"/>
    </row>
    <row r="237" ht="26.25" customHeight="1">
      <c r="A237" s="166" t="str">
        <f>IFERROR(__xludf.DUMMYFUNCTION("""COMPUTED_VALUE"""),"GES_229")</f>
        <v>GES_229</v>
      </c>
      <c r="B237" s="164" t="str">
        <f>IFERROR(__xludf.DUMMYFUNCTION("""COMPUTED_VALUE"""),"GESTION")</f>
        <v>GESTION</v>
      </c>
      <c r="C237" s="154" t="str">
        <f>IFERROR(__xludf.DUMMYFUNCTION("""COMPUTED_VALUE"""),"SALUD PUBLICA")</f>
        <v>SALUD PUBLICA</v>
      </c>
      <c r="D237" s="165" t="str">
        <f>IFERROR(__xludf.DUMMYFUNCTION("""COMPUTED_VALUE"""),"ENCARGAD@ COMUNAL  PNSI (11 HRS)")</f>
        <v>ENCARGAD@ COMUNAL  PNSI (11 HRS)</v>
      </c>
      <c r="E237" s="169">
        <f>IFERROR(__xludf.DUMMYFUNCTION("""COMPUTED_VALUE"""),11.0)</f>
        <v>11</v>
      </c>
      <c r="F237" s="154" t="str">
        <f>IFERROR(__xludf.DUMMYFUNCTION("""COMPUTED_VALUE"""),"SI")</f>
        <v>SI</v>
      </c>
      <c r="G237" s="155"/>
      <c r="H237" s="168"/>
    </row>
    <row r="238" ht="26.25" customHeight="1">
      <c r="A238" s="166" t="str">
        <f>IFERROR(__xludf.DUMMYFUNCTION("""COMPUTED_VALUE"""),"GES_230")</f>
        <v>GES_230</v>
      </c>
      <c r="B238" s="164" t="str">
        <f>IFERROR(__xludf.DUMMYFUNCTION("""COMPUTED_VALUE"""),"GESTION")</f>
        <v>GESTION</v>
      </c>
      <c r="C238" s="154" t="str">
        <f>IFERROR(__xludf.DUMMYFUNCTION("""COMPUTED_VALUE"""),"SALUD PUBLICA")</f>
        <v>SALUD PUBLICA</v>
      </c>
      <c r="D238" s="165" t="str">
        <f>IFERROR(__xludf.DUMMYFUNCTION("""COMPUTED_VALUE"""),"ENCARGAD@ COMUNAL  PNSI (2 HRS)")</f>
        <v>ENCARGAD@ COMUNAL  PNSI (2 HRS)</v>
      </c>
      <c r="E238" s="169">
        <f>IFERROR(__xludf.DUMMYFUNCTION("""COMPUTED_VALUE"""),2.0)</f>
        <v>2</v>
      </c>
      <c r="F238" s="154" t="str">
        <f>IFERROR(__xludf.DUMMYFUNCTION("""COMPUTED_VALUE"""),"SI")</f>
        <v>SI</v>
      </c>
      <c r="G238" s="155"/>
      <c r="H238" s="168"/>
    </row>
    <row r="239" ht="26.25" customHeight="1">
      <c r="A239" s="166" t="str">
        <f>IFERROR(__xludf.DUMMYFUNCTION("""COMPUTED_VALUE"""),"GES_231")</f>
        <v>GES_231</v>
      </c>
      <c r="B239" s="164" t="str">
        <f>IFERROR(__xludf.DUMMYFUNCTION("""COMPUTED_VALUE"""),"GESTION")</f>
        <v>GESTION</v>
      </c>
      <c r="C239" s="154" t="str">
        <f>IFERROR(__xludf.DUMMYFUNCTION("""COMPUTED_VALUE"""),"SALUD PUBLICA")</f>
        <v>SALUD PUBLICA</v>
      </c>
      <c r="D239" s="165" t="str">
        <f>IFERROR(__xludf.DUMMYFUNCTION("""COMPUTED_VALUE"""),"ENCARGAD@ EPIDEMIOLOGIA  2 (2 HRS)")</f>
        <v>ENCARGAD@ EPIDEMIOLOGIA  2 (2 HRS)</v>
      </c>
      <c r="E239" s="169">
        <f>IFERROR(__xludf.DUMMYFUNCTION("""COMPUTED_VALUE"""),2.0)</f>
        <v>2</v>
      </c>
      <c r="F239" s="154" t="str">
        <f>IFERROR(__xludf.DUMMYFUNCTION("""COMPUTED_VALUE"""),"SI")</f>
        <v>SI</v>
      </c>
      <c r="G239" s="155"/>
      <c r="H239" s="168"/>
    </row>
    <row r="240" ht="26.25" customHeight="1">
      <c r="A240" s="166" t="str">
        <f>IFERROR(__xludf.DUMMYFUNCTION("""COMPUTED_VALUE"""),"GES_232")</f>
        <v>GES_232</v>
      </c>
      <c r="B240" s="164" t="str">
        <f>IFERROR(__xludf.DUMMYFUNCTION("""COMPUTED_VALUE"""),"GESTION")</f>
        <v>GESTION</v>
      </c>
      <c r="C240" s="154" t="str">
        <f>IFERROR(__xludf.DUMMYFUNCTION("""COMPUTED_VALUE"""),"SALUD PUBLICA")</f>
        <v>SALUD PUBLICA</v>
      </c>
      <c r="D240" s="165" t="str">
        <f>IFERROR(__xludf.DUMMYFUNCTION("""COMPUTED_VALUE"""),"ENCARGAD@ IAAS")</f>
        <v>ENCARGAD@ IAAS</v>
      </c>
      <c r="E240" s="169">
        <f>IFERROR(__xludf.DUMMYFUNCTION("""COMPUTED_VALUE"""),3.0)</f>
        <v>3</v>
      </c>
      <c r="F240" s="154" t="str">
        <f>IFERROR(__xludf.DUMMYFUNCTION("""COMPUTED_VALUE"""),"SI")</f>
        <v>SI</v>
      </c>
      <c r="G240" s="155"/>
      <c r="H240" s="168"/>
    </row>
    <row r="241" ht="26.25" customHeight="1">
      <c r="A241" s="166" t="str">
        <f>IFERROR(__xludf.DUMMYFUNCTION("""COMPUTED_VALUE"""),"GES_233")</f>
        <v>GES_233</v>
      </c>
      <c r="B241" s="164" t="str">
        <f>IFERROR(__xludf.DUMMYFUNCTION("""COMPUTED_VALUE"""),"GESTION")</f>
        <v>GESTION</v>
      </c>
      <c r="C241" s="154" t="str">
        <f>IFERROR(__xludf.DUMMYFUNCTION("""COMPUTED_VALUE"""),"SALUD PUBLICA")</f>
        <v>SALUD PUBLICA</v>
      </c>
      <c r="D241" s="165" t="str">
        <f>IFERROR(__xludf.DUMMYFUNCTION("""COMPUTED_VALUE"""),"ENCARGAD@ IAAS ( 11  HORAS)")</f>
        <v>ENCARGAD@ IAAS ( 11  HORAS)</v>
      </c>
      <c r="E241" s="169">
        <f>IFERROR(__xludf.DUMMYFUNCTION("""COMPUTED_VALUE"""),11.0)</f>
        <v>11</v>
      </c>
      <c r="F241" s="154" t="str">
        <f>IFERROR(__xludf.DUMMYFUNCTION("""COMPUTED_VALUE"""),"SI")</f>
        <v>SI</v>
      </c>
      <c r="G241" s="155"/>
      <c r="H241" s="168"/>
    </row>
    <row r="242" ht="26.25" customHeight="1">
      <c r="A242" s="166" t="str">
        <f>IFERROR(__xludf.DUMMYFUNCTION("""COMPUTED_VALUE"""),"GES_234")</f>
        <v>GES_234</v>
      </c>
      <c r="B242" s="164" t="str">
        <f>IFERROR(__xludf.DUMMYFUNCTION("""COMPUTED_VALUE"""),"GESTION")</f>
        <v>GESTION</v>
      </c>
      <c r="C242" s="154" t="str">
        <f>IFERROR(__xludf.DUMMYFUNCTION("""COMPUTED_VALUE"""),"SALUD PUBLICA")</f>
        <v>SALUD PUBLICA</v>
      </c>
      <c r="D242" s="165" t="str">
        <f>IFERROR(__xludf.DUMMYFUNCTION("""COMPUTED_VALUE"""),"ENCARGAD@ IAAS (2 HRS)")</f>
        <v>ENCARGAD@ IAAS (2 HRS)</v>
      </c>
      <c r="E242" s="169">
        <f>IFERROR(__xludf.DUMMYFUNCTION("""COMPUTED_VALUE"""),2.0)</f>
        <v>2</v>
      </c>
      <c r="F242" s="154" t="str">
        <f>IFERROR(__xludf.DUMMYFUNCTION("""COMPUTED_VALUE"""),"SI")</f>
        <v>SI</v>
      </c>
      <c r="G242" s="155"/>
      <c r="H242" s="168"/>
    </row>
    <row r="243" ht="26.25" customHeight="1">
      <c r="A243" s="166" t="str">
        <f>IFERROR(__xludf.DUMMYFUNCTION("""COMPUTED_VALUE"""),"GES_235")</f>
        <v>GES_235</v>
      </c>
      <c r="B243" s="164" t="str">
        <f>IFERROR(__xludf.DUMMYFUNCTION("""COMPUTED_VALUE"""),"GESTION")</f>
        <v>GESTION</v>
      </c>
      <c r="C243" s="154" t="str">
        <f>IFERROR(__xludf.DUMMYFUNCTION("""COMPUTED_VALUE"""),"SALUD PUBLICA")</f>
        <v>SALUD PUBLICA</v>
      </c>
      <c r="D243" s="165" t="str">
        <f>IFERROR(__xludf.DUMMYFUNCTION("""COMPUTED_VALUE"""),"ENCARGAD@ IAAS (4 HRS)")</f>
        <v>ENCARGAD@ IAAS (4 HRS)</v>
      </c>
      <c r="E243" s="169">
        <f>IFERROR(__xludf.DUMMYFUNCTION("""COMPUTED_VALUE"""),4.0)</f>
        <v>4</v>
      </c>
      <c r="F243" s="154" t="str">
        <f>IFERROR(__xludf.DUMMYFUNCTION("""COMPUTED_VALUE"""),"SI")</f>
        <v>SI</v>
      </c>
      <c r="G243" s="155"/>
      <c r="H243" s="168"/>
    </row>
    <row r="244" ht="26.25" customHeight="1">
      <c r="A244" s="166" t="str">
        <f>IFERROR(__xludf.DUMMYFUNCTION("""COMPUTED_VALUE"""),"GES_236")</f>
        <v>GES_236</v>
      </c>
      <c r="B244" s="164" t="str">
        <f>IFERROR(__xludf.DUMMYFUNCTION("""COMPUTED_VALUE"""),"GESTION")</f>
        <v>GESTION</v>
      </c>
      <c r="C244" s="154" t="str">
        <f>IFERROR(__xludf.DUMMYFUNCTION("""COMPUTED_VALUE"""),"SALUD PUBLICA")</f>
        <v>SALUD PUBLICA</v>
      </c>
      <c r="D244" s="165" t="str">
        <f>IFERROR(__xludf.DUMMYFUNCTION("""COMPUTED_VALUE"""),"ENCARGAD@ NANEAS (2 HRS)")</f>
        <v>ENCARGAD@ NANEAS (2 HRS)</v>
      </c>
      <c r="E244" s="169">
        <f>IFERROR(__xludf.DUMMYFUNCTION("""COMPUTED_VALUE"""),2.0)</f>
        <v>2</v>
      </c>
      <c r="F244" s="154" t="str">
        <f>IFERROR(__xludf.DUMMYFUNCTION("""COMPUTED_VALUE"""),"SI")</f>
        <v>SI</v>
      </c>
      <c r="G244" s="155"/>
      <c r="H244" s="168"/>
    </row>
    <row r="245" ht="26.25" customHeight="1">
      <c r="A245" s="166" t="str">
        <f>IFERROR(__xludf.DUMMYFUNCTION("""COMPUTED_VALUE"""),"GES_237")</f>
        <v>GES_237</v>
      </c>
      <c r="B245" s="164" t="str">
        <f>IFERROR(__xludf.DUMMYFUNCTION("""COMPUTED_VALUE"""),"GESTION")</f>
        <v>GESTION</v>
      </c>
      <c r="C245" s="154" t="str">
        <f>IFERROR(__xludf.DUMMYFUNCTION("""COMPUTED_VALUE"""),"SALUD PUBLICA")</f>
        <v>SALUD PUBLICA</v>
      </c>
      <c r="D245" s="165" t="str">
        <f>IFERROR(__xludf.DUMMYFUNCTION("""COMPUTED_VALUE"""),"ENCARGAD@ PNI (22 HRS)")</f>
        <v>ENCARGAD@ PNI (22 HRS)</v>
      </c>
      <c r="E245" s="169">
        <f>IFERROR(__xludf.DUMMYFUNCTION("""COMPUTED_VALUE"""),22.0)</f>
        <v>22</v>
      </c>
      <c r="F245" s="154" t="str">
        <f>IFERROR(__xludf.DUMMYFUNCTION("""COMPUTED_VALUE"""),"SI")</f>
        <v>SI</v>
      </c>
      <c r="G245" s="155"/>
      <c r="H245" s="168"/>
    </row>
    <row r="246" ht="26.25" customHeight="1">
      <c r="A246" s="166" t="str">
        <f>IFERROR(__xludf.DUMMYFUNCTION("""COMPUTED_VALUE"""),"GES_238")</f>
        <v>GES_238</v>
      </c>
      <c r="B246" s="164" t="str">
        <f>IFERROR(__xludf.DUMMYFUNCTION("""COMPUTED_VALUE"""),"GESTION")</f>
        <v>GESTION</v>
      </c>
      <c r="C246" s="154" t="str">
        <f>IFERROR(__xludf.DUMMYFUNCTION("""COMPUTED_VALUE"""),"SALUD PUBLICA")</f>
        <v>SALUD PUBLICA</v>
      </c>
      <c r="D246" s="165" t="str">
        <f>IFERROR(__xludf.DUMMYFUNCTION("""COMPUTED_VALUE"""),"ENCARGAD@ PNI (44 HRS)")</f>
        <v>ENCARGAD@ PNI (44 HRS)</v>
      </c>
      <c r="E246" s="169">
        <f>IFERROR(__xludf.DUMMYFUNCTION("""COMPUTED_VALUE"""),44.0)</f>
        <v>44</v>
      </c>
      <c r="F246" s="154" t="str">
        <f>IFERROR(__xludf.DUMMYFUNCTION("""COMPUTED_VALUE"""),"SI")</f>
        <v>SI</v>
      </c>
      <c r="G246" s="155"/>
      <c r="H246" s="168"/>
    </row>
    <row r="247" ht="26.25" customHeight="1">
      <c r="A247" s="166" t="str">
        <f>IFERROR(__xludf.DUMMYFUNCTION("""COMPUTED_VALUE"""),"GES_239")</f>
        <v>GES_239</v>
      </c>
      <c r="B247" s="164" t="str">
        <f>IFERROR(__xludf.DUMMYFUNCTION("""COMPUTED_VALUE"""),"GESTION")</f>
        <v>GESTION</v>
      </c>
      <c r="C247" s="154" t="str">
        <f>IFERROR(__xludf.DUMMYFUNCTION("""COMPUTED_VALUE"""),"SALUD PUBLICA")</f>
        <v>SALUD PUBLICA</v>
      </c>
      <c r="D247" s="165" t="str">
        <f>IFERROR(__xludf.DUMMYFUNCTION("""COMPUTED_VALUE"""),"ENCARGAD@ PNI (8 HRS)")</f>
        <v>ENCARGAD@ PNI (8 HRS)</v>
      </c>
      <c r="E247" s="169">
        <f>IFERROR(__xludf.DUMMYFUNCTION("""COMPUTED_VALUE"""),8.0)</f>
        <v>8</v>
      </c>
      <c r="F247" s="154" t="str">
        <f>IFERROR(__xludf.DUMMYFUNCTION("""COMPUTED_VALUE"""),"SI")</f>
        <v>SI</v>
      </c>
      <c r="G247" s="155"/>
      <c r="H247" s="168"/>
    </row>
    <row r="248" ht="26.25" customHeight="1">
      <c r="A248" s="166" t="str">
        <f>IFERROR(__xludf.DUMMYFUNCTION("""COMPUTED_VALUE"""),"GES_240")</f>
        <v>GES_240</v>
      </c>
      <c r="B248" s="164" t="str">
        <f>IFERROR(__xludf.DUMMYFUNCTION("""COMPUTED_VALUE"""),"GESTION")</f>
        <v>GESTION</v>
      </c>
      <c r="C248" s="154" t="str">
        <f>IFERROR(__xludf.DUMMYFUNCTION("""COMPUTED_VALUE"""),"SALUD PUBLICA")</f>
        <v>SALUD PUBLICA</v>
      </c>
      <c r="D248" s="165" t="str">
        <f>IFERROR(__xludf.DUMMYFUNCTION("""COMPUTED_VALUE"""),"ENCARGAD@ PPAA (PNAC-PACAM) (10 HRS)")</f>
        <v>ENCARGAD@ PPAA (PNAC-PACAM) (10 HRS)</v>
      </c>
      <c r="E248" s="169">
        <f>IFERROR(__xludf.DUMMYFUNCTION("""COMPUTED_VALUE"""),10.0)</f>
        <v>10</v>
      </c>
      <c r="F248" s="154" t="str">
        <f>IFERROR(__xludf.DUMMYFUNCTION("""COMPUTED_VALUE"""),"SI")</f>
        <v>SI</v>
      </c>
      <c r="G248" s="155"/>
      <c r="H248" s="168"/>
    </row>
    <row r="249" ht="26.25" customHeight="1">
      <c r="A249" s="166" t="str">
        <f>IFERROR(__xludf.DUMMYFUNCTION("""COMPUTED_VALUE"""),"GES_241")</f>
        <v>GES_241</v>
      </c>
      <c r="B249" s="164" t="str">
        <f>IFERROR(__xludf.DUMMYFUNCTION("""COMPUTED_VALUE"""),"GESTION")</f>
        <v>GESTION</v>
      </c>
      <c r="C249" s="154" t="str">
        <f>IFERROR(__xludf.DUMMYFUNCTION("""COMPUTED_VALUE"""),"SALUD PUBLICA")</f>
        <v>SALUD PUBLICA</v>
      </c>
      <c r="D249" s="165" t="str">
        <f>IFERROR(__xludf.DUMMYFUNCTION("""COMPUTED_VALUE"""),"ENCARGAD@ PPAA (PNAC-PACAM) (11 HRS)")</f>
        <v>ENCARGAD@ PPAA (PNAC-PACAM) (11 HRS)</v>
      </c>
      <c r="E249" s="169">
        <f>IFERROR(__xludf.DUMMYFUNCTION("""COMPUTED_VALUE"""),11.0)</f>
        <v>11</v>
      </c>
      <c r="F249" s="154" t="str">
        <f>IFERROR(__xludf.DUMMYFUNCTION("""COMPUTED_VALUE"""),"SI")</f>
        <v>SI</v>
      </c>
      <c r="G249" s="155"/>
      <c r="H249" s="168"/>
    </row>
    <row r="250" ht="26.25" customHeight="1">
      <c r="A250" s="166" t="str">
        <f>IFERROR(__xludf.DUMMYFUNCTION("""COMPUTED_VALUE"""),"GES_242")</f>
        <v>GES_242</v>
      </c>
      <c r="B250" s="164" t="str">
        <f>IFERROR(__xludf.DUMMYFUNCTION("""COMPUTED_VALUE"""),"GESTION")</f>
        <v>GESTION</v>
      </c>
      <c r="C250" s="154" t="str">
        <f>IFERROR(__xludf.DUMMYFUNCTION("""COMPUTED_VALUE"""),"SALUD PUBLICA")</f>
        <v>SALUD PUBLICA</v>
      </c>
      <c r="D250" s="165" t="str">
        <f>IFERROR(__xludf.DUMMYFUNCTION("""COMPUTED_VALUE"""),"ENCARGAD@ PPAA (PNAC-PACAM) (5 HRS)")</f>
        <v>ENCARGAD@ PPAA (PNAC-PACAM) (5 HRS)</v>
      </c>
      <c r="E250" s="169">
        <f>IFERROR(__xludf.DUMMYFUNCTION("""COMPUTED_VALUE"""),5.0)</f>
        <v>5</v>
      </c>
      <c r="F250" s="154" t="str">
        <f>IFERROR(__xludf.DUMMYFUNCTION("""COMPUTED_VALUE"""),"SI")</f>
        <v>SI</v>
      </c>
      <c r="G250" s="155"/>
      <c r="H250" s="168"/>
    </row>
    <row r="251" ht="26.25" customHeight="1">
      <c r="A251" s="166" t="str">
        <f>IFERROR(__xludf.DUMMYFUNCTION("""COMPUTED_VALUE"""),"GES_243")</f>
        <v>GES_243</v>
      </c>
      <c r="B251" s="164" t="str">
        <f>IFERROR(__xludf.DUMMYFUNCTION("""COMPUTED_VALUE"""),"GESTION")</f>
        <v>GESTION</v>
      </c>
      <c r="C251" s="154" t="str">
        <f>IFERROR(__xludf.DUMMYFUNCTION("""COMPUTED_VALUE"""),"SALUD PUBLICA")</f>
        <v>SALUD PUBLICA</v>
      </c>
      <c r="D251" s="165" t="str">
        <f>IFERROR(__xludf.DUMMYFUNCTION("""COMPUTED_VALUE"""),"ENCARGAD@ PPAA (PNAC-PACAM) (7,5 HRS)")</f>
        <v>ENCARGAD@ PPAA (PNAC-PACAM) (7,5 HRS)</v>
      </c>
      <c r="E251" s="169">
        <f>IFERROR(__xludf.DUMMYFUNCTION("""COMPUTED_VALUE"""),7.5)</f>
        <v>7.5</v>
      </c>
      <c r="F251" s="154" t="str">
        <f>IFERROR(__xludf.DUMMYFUNCTION("""COMPUTED_VALUE"""),"SI")</f>
        <v>SI</v>
      </c>
      <c r="G251" s="155"/>
      <c r="H251" s="168"/>
    </row>
    <row r="252" ht="26.25" customHeight="1">
      <c r="A252" s="166" t="str">
        <f>IFERROR(__xludf.DUMMYFUNCTION("""COMPUTED_VALUE"""),"GES_244")</f>
        <v>GES_244</v>
      </c>
      <c r="B252" s="164" t="str">
        <f>IFERROR(__xludf.DUMMYFUNCTION("""COMPUTED_VALUE"""),"GESTION")</f>
        <v>GESTION</v>
      </c>
      <c r="C252" s="154" t="str">
        <f>IFERROR(__xludf.DUMMYFUNCTION("""COMPUTED_VALUE"""),"SALUD PUBLICA")</f>
        <v>SALUD PUBLICA</v>
      </c>
      <c r="D252" s="165" t="str">
        <f>IFERROR(__xludf.DUMMYFUNCTION("""COMPUTED_VALUE"""),"ENCARGAD@ PROGRAMA TBC (2 HRS)")</f>
        <v>ENCARGAD@ PROGRAMA TBC (2 HRS)</v>
      </c>
      <c r="E252" s="169">
        <f>IFERROR(__xludf.DUMMYFUNCTION("""COMPUTED_VALUE"""),2.0)</f>
        <v>2</v>
      </c>
      <c r="F252" s="154" t="str">
        <f>IFERROR(__xludf.DUMMYFUNCTION("""COMPUTED_VALUE"""),"SI")</f>
        <v>SI</v>
      </c>
      <c r="G252" s="155"/>
      <c r="H252" s="168"/>
    </row>
    <row r="253" ht="26.25" customHeight="1">
      <c r="A253" s="166" t="str">
        <f>IFERROR(__xludf.DUMMYFUNCTION("""COMPUTED_VALUE"""),"GES_245")</f>
        <v>GES_245</v>
      </c>
      <c r="B253" s="164" t="str">
        <f>IFERROR(__xludf.DUMMYFUNCTION("""COMPUTED_VALUE"""),"GESTION")</f>
        <v>GESTION</v>
      </c>
      <c r="C253" s="154" t="str">
        <f>IFERROR(__xludf.DUMMYFUNCTION("""COMPUTED_VALUE"""),"SALUD PUBLICA")</f>
        <v>SALUD PUBLICA</v>
      </c>
      <c r="D253" s="165" t="str">
        <f>IFERROR(__xludf.DUMMYFUNCTION("""COMPUTED_VALUE"""),"ENCARGAD@ PROGRAMA TBC (3 HRS)")</f>
        <v>ENCARGAD@ PROGRAMA TBC (3 HRS)</v>
      </c>
      <c r="E253" s="169">
        <f>IFERROR(__xludf.DUMMYFUNCTION("""COMPUTED_VALUE"""),3.0)</f>
        <v>3</v>
      </c>
      <c r="F253" s="154" t="str">
        <f>IFERROR(__xludf.DUMMYFUNCTION("""COMPUTED_VALUE"""),"SI")</f>
        <v>SI</v>
      </c>
      <c r="G253" s="155"/>
      <c r="H253" s="168"/>
    </row>
    <row r="254" ht="26.25" customHeight="1">
      <c r="A254" s="166" t="str">
        <f>IFERROR(__xludf.DUMMYFUNCTION("""COMPUTED_VALUE"""),"GES_246")</f>
        <v>GES_246</v>
      </c>
      <c r="B254" s="164" t="str">
        <f>IFERROR(__xludf.DUMMYFUNCTION("""COMPUTED_VALUE"""),"GESTION")</f>
        <v>GESTION</v>
      </c>
      <c r="C254" s="154" t="str">
        <f>IFERROR(__xludf.DUMMYFUNCTION("""COMPUTED_VALUE"""),"SALUD PUBLICA")</f>
        <v>SALUD PUBLICA</v>
      </c>
      <c r="D254" s="165" t="str">
        <f>IFERROR(__xludf.DUMMYFUNCTION("""COMPUTED_VALUE"""),"ENCARGAD@ PROGRAMA TBC (5 HRS)")</f>
        <v>ENCARGAD@ PROGRAMA TBC (5 HRS)</v>
      </c>
      <c r="E254" s="169">
        <f>IFERROR(__xludf.DUMMYFUNCTION("""COMPUTED_VALUE"""),5.0)</f>
        <v>5</v>
      </c>
      <c r="F254" s="154" t="str">
        <f>IFERROR(__xludf.DUMMYFUNCTION("""COMPUTED_VALUE"""),"SI")</f>
        <v>SI</v>
      </c>
      <c r="G254" s="155"/>
      <c r="H254" s="168"/>
    </row>
    <row r="255" ht="26.25" customHeight="1">
      <c r="A255" s="166" t="str">
        <f>IFERROR(__xludf.DUMMYFUNCTION("""COMPUTED_VALUE"""),"GES_247")</f>
        <v>GES_247</v>
      </c>
      <c r="B255" s="164" t="str">
        <f>IFERROR(__xludf.DUMMYFUNCTION("""COMPUTED_VALUE"""),"GESTION")</f>
        <v>GESTION</v>
      </c>
      <c r="C255" s="154" t="str">
        <f>IFERROR(__xludf.DUMMYFUNCTION("""COMPUTED_VALUE"""),"SALUD PUBLICA")</f>
        <v>SALUD PUBLICA</v>
      </c>
      <c r="D255" s="165" t="str">
        <f>IFERROR(__xludf.DUMMYFUNCTION("""COMPUTED_VALUE"""),"ENCARGAD@ REAS")</f>
        <v>ENCARGAD@ REAS</v>
      </c>
      <c r="E255" s="169">
        <f>IFERROR(__xludf.DUMMYFUNCTION("""COMPUTED_VALUE"""),8.0)</f>
        <v>8</v>
      </c>
      <c r="F255" s="154" t="str">
        <f>IFERROR(__xludf.DUMMYFUNCTION("""COMPUTED_VALUE"""),"SI")</f>
        <v>SI</v>
      </c>
      <c r="G255" s="155"/>
      <c r="H255" s="168"/>
    </row>
    <row r="256" ht="26.25" customHeight="1">
      <c r="A256" s="166" t="str">
        <f>IFERROR(__xludf.DUMMYFUNCTION("""COMPUTED_VALUE"""),"GES_248")</f>
        <v>GES_248</v>
      </c>
      <c r="B256" s="164" t="str">
        <f>IFERROR(__xludf.DUMMYFUNCTION("""COMPUTED_VALUE"""),"GESTION")</f>
        <v>GESTION</v>
      </c>
      <c r="C256" s="154" t="str">
        <f>IFERROR(__xludf.DUMMYFUNCTION("""COMPUTED_VALUE"""),"SALUD PUBLICA")</f>
        <v>SALUD PUBLICA</v>
      </c>
      <c r="D256" s="165" t="str">
        <f>IFERROR(__xludf.DUMMYFUNCTION("""COMPUTED_VALUE"""),"ENCARGAD@ VIGEP (11 HRS)")</f>
        <v>ENCARGAD@ VIGEP (11 HRS)</v>
      </c>
      <c r="E256" s="169">
        <f>IFERROR(__xludf.DUMMYFUNCTION("""COMPUTED_VALUE"""),11.0)</f>
        <v>11</v>
      </c>
      <c r="F256" s="154" t="str">
        <f>IFERROR(__xludf.DUMMYFUNCTION("""COMPUTED_VALUE"""),"SI")</f>
        <v>SI</v>
      </c>
      <c r="G256" s="155"/>
      <c r="H256" s="168"/>
    </row>
    <row r="257" ht="26.25" customHeight="1">
      <c r="A257" s="166" t="str">
        <f>IFERROR(__xludf.DUMMYFUNCTION("""COMPUTED_VALUE"""),"GES_249")</f>
        <v>GES_249</v>
      </c>
      <c r="B257" s="164" t="str">
        <f>IFERROR(__xludf.DUMMYFUNCTION("""COMPUTED_VALUE"""),"GESTION")</f>
        <v>GESTION</v>
      </c>
      <c r="C257" s="154" t="str">
        <f>IFERROR(__xludf.DUMMYFUNCTION("""COMPUTED_VALUE"""),"SALUD PUBLICA")</f>
        <v>SALUD PUBLICA</v>
      </c>
      <c r="D257" s="165" t="str">
        <f>IFERROR(__xludf.DUMMYFUNCTION("""COMPUTED_VALUE"""),"ENCARGAD@ VIGEP (22 HRS)")</f>
        <v>ENCARGAD@ VIGEP (22 HRS)</v>
      </c>
      <c r="E257" s="169">
        <f>IFERROR(__xludf.DUMMYFUNCTION("""COMPUTED_VALUE"""),22.0)</f>
        <v>22</v>
      </c>
      <c r="F257" s="154" t="str">
        <f>IFERROR(__xludf.DUMMYFUNCTION("""COMPUTED_VALUE"""),"SI")</f>
        <v>SI</v>
      </c>
      <c r="G257" s="155"/>
      <c r="H257" s="168"/>
    </row>
    <row r="258" ht="26.25" customHeight="1">
      <c r="A258" s="166" t="str">
        <f>IFERROR(__xludf.DUMMYFUNCTION("""COMPUTED_VALUE"""),"GES_250")</f>
        <v>GES_250</v>
      </c>
      <c r="B258" s="164" t="str">
        <f>IFERROR(__xludf.DUMMYFUNCTION("""COMPUTED_VALUE"""),"GESTION")</f>
        <v>GESTION</v>
      </c>
      <c r="C258" s="154" t="str">
        <f>IFERROR(__xludf.DUMMYFUNCTION("""COMPUTED_VALUE"""),"SALUD PUBLICA")</f>
        <v>SALUD PUBLICA</v>
      </c>
      <c r="D258" s="165" t="str">
        <f>IFERROR(__xludf.DUMMYFUNCTION("""COMPUTED_VALUE"""),"ENCARGAD@ VIGEP (5 HRS)")</f>
        <v>ENCARGAD@ VIGEP (5 HRS)</v>
      </c>
      <c r="E258" s="169">
        <f>IFERROR(__xludf.DUMMYFUNCTION("""COMPUTED_VALUE"""),5.0)</f>
        <v>5</v>
      </c>
      <c r="F258" s="154" t="str">
        <f>IFERROR(__xludf.DUMMYFUNCTION("""COMPUTED_VALUE"""),"SI")</f>
        <v>SI</v>
      </c>
      <c r="G258" s="155"/>
      <c r="H258" s="168"/>
    </row>
    <row r="259" ht="26.25" customHeight="1">
      <c r="A259" s="166" t="str">
        <f>IFERROR(__xludf.DUMMYFUNCTION("""COMPUTED_VALUE"""),"GES_251")</f>
        <v>GES_251</v>
      </c>
      <c r="B259" s="164" t="str">
        <f>IFERROR(__xludf.DUMMYFUNCTION("""COMPUTED_VALUE"""),"GESTION")</f>
        <v>GESTION</v>
      </c>
      <c r="C259" s="154" t="str">
        <f>IFERROR(__xludf.DUMMYFUNCTION("""COMPUTED_VALUE"""),"SALUD PUBLICA")</f>
        <v>SALUD PUBLICA</v>
      </c>
      <c r="D259" s="165" t="str">
        <f>IFERROR(__xludf.DUMMYFUNCTION("""COMPUTED_VALUE"""),"ENCARGAD@ VIGEP (6 HRS)")</f>
        <v>ENCARGAD@ VIGEP (6 HRS)</v>
      </c>
      <c r="E259" s="169">
        <f>IFERROR(__xludf.DUMMYFUNCTION("""COMPUTED_VALUE"""),6.0)</f>
        <v>6</v>
      </c>
      <c r="F259" s="154" t="str">
        <f>IFERROR(__xludf.DUMMYFUNCTION("""COMPUTED_VALUE"""),"SI")</f>
        <v>SI</v>
      </c>
      <c r="G259" s="155"/>
      <c r="H259" s="168"/>
    </row>
    <row r="260" ht="26.25" customHeight="1">
      <c r="A260" s="166" t="str">
        <f>IFERROR(__xludf.DUMMYFUNCTION("""COMPUTED_VALUE"""),"GES_252")</f>
        <v>GES_252</v>
      </c>
      <c r="B260" s="164" t="str">
        <f>IFERROR(__xludf.DUMMYFUNCTION("""COMPUTED_VALUE"""),"GESTION")</f>
        <v>GESTION</v>
      </c>
      <c r="C260" s="154" t="str">
        <f>IFERROR(__xludf.DUMMYFUNCTION("""COMPUTED_VALUE"""),"SALUD PUBLICA")</f>
        <v>SALUD PUBLICA</v>
      </c>
      <c r="D260" s="165" t="str">
        <f>IFERROR(__xludf.DUMMYFUNCTION("""COMPUTED_VALUE"""),"ENCARGAD@ VIGEP (8 HRS)")</f>
        <v>ENCARGAD@ VIGEP (8 HRS)</v>
      </c>
      <c r="E260" s="169">
        <f>IFERROR(__xludf.DUMMYFUNCTION("""COMPUTED_VALUE"""),8.0)</f>
        <v>8</v>
      </c>
      <c r="F260" s="154" t="str">
        <f>IFERROR(__xludf.DUMMYFUNCTION("""COMPUTED_VALUE"""),"SI")</f>
        <v>SI</v>
      </c>
      <c r="G260" s="155"/>
      <c r="H260" s="168"/>
    </row>
    <row r="261" ht="26.25" customHeight="1">
      <c r="A261" s="166" t="str">
        <f>IFERROR(__xludf.DUMMYFUNCTION("""COMPUTED_VALUE"""),"GES_253")</f>
        <v>GES_253</v>
      </c>
      <c r="B261" s="164" t="str">
        <f>IFERROR(__xludf.DUMMYFUNCTION("""COMPUTED_VALUE"""),"GESTION")</f>
        <v>GESTION</v>
      </c>
      <c r="C261" s="154" t="str">
        <f>IFERROR(__xludf.DUMMYFUNCTION("""COMPUTED_VALUE"""),"SALUD PUBLICA")</f>
        <v>SALUD PUBLICA</v>
      </c>
      <c r="D261" s="165" t="str">
        <f>IFERROR(__xludf.DUMMYFUNCTION("""COMPUTED_VALUE"""),"REFERENTE TBC - KINESIOLOGA")</f>
        <v>REFERENTE TBC - KINESIOLOGA</v>
      </c>
      <c r="E261" s="169">
        <f>IFERROR(__xludf.DUMMYFUNCTION("""COMPUTED_VALUE"""),0.25)</f>
        <v>0.25</v>
      </c>
      <c r="F261" s="154" t="str">
        <f>IFERROR(__xludf.DUMMYFUNCTION("""COMPUTED_VALUE"""),"SI")</f>
        <v>SI</v>
      </c>
      <c r="G261" s="155"/>
      <c r="H261" s="168"/>
    </row>
    <row r="262" ht="26.25" customHeight="1">
      <c r="A262" s="166" t="str">
        <f>IFERROR(__xludf.DUMMYFUNCTION("""COMPUTED_VALUE"""),"GES_254")</f>
        <v>GES_254</v>
      </c>
      <c r="B262" s="164" t="str">
        <f>IFERROR(__xludf.DUMMYFUNCTION("""COMPUTED_VALUE"""),"GESTION")</f>
        <v>GESTION</v>
      </c>
      <c r="C262" s="154" t="str">
        <f>IFERROR(__xludf.DUMMYFUNCTION("""COMPUTED_VALUE"""),"SALUD PUBLICA")</f>
        <v>SALUD PUBLICA</v>
      </c>
      <c r="D262" s="165" t="str">
        <f>IFERROR(__xludf.DUMMYFUNCTION("""COMPUTED_VALUE"""),"REFERENTE TBC - MEDICO (15 MIN)")</f>
        <v>REFERENTE TBC - MEDICO (15 MIN)</v>
      </c>
      <c r="E262" s="169">
        <f>IFERROR(__xludf.DUMMYFUNCTION("""COMPUTED_VALUE"""),0.25)</f>
        <v>0.25</v>
      </c>
      <c r="F262" s="154" t="str">
        <f>IFERROR(__xludf.DUMMYFUNCTION("""COMPUTED_VALUE"""),"SI")</f>
        <v>SI</v>
      </c>
      <c r="G262" s="155"/>
      <c r="H262" s="168"/>
    </row>
    <row r="263" ht="26.25" customHeight="1">
      <c r="A263" s="166" t="str">
        <f>IFERROR(__xludf.DUMMYFUNCTION("""COMPUTED_VALUE"""),"GES_255")</f>
        <v>GES_255</v>
      </c>
      <c r="B263" s="164" t="str">
        <f>IFERROR(__xludf.DUMMYFUNCTION("""COMPUTED_VALUE"""),"GESTION")</f>
        <v>GESTION</v>
      </c>
      <c r="C263" s="154" t="str">
        <f>IFERROR(__xludf.DUMMYFUNCTION("""COMPUTED_VALUE"""),"SALUD PUBLICA")</f>
        <v>SALUD PUBLICA</v>
      </c>
      <c r="D263" s="165" t="str">
        <f>IFERROR(__xludf.DUMMYFUNCTION("""COMPUTED_VALUE"""),"REFERENTE TBC - MEDICO (2 HRS)")</f>
        <v>REFERENTE TBC - MEDICO (2 HRS)</v>
      </c>
      <c r="E263" s="169">
        <f>IFERROR(__xludf.DUMMYFUNCTION("""COMPUTED_VALUE"""),2.0)</f>
        <v>2</v>
      </c>
      <c r="F263" s="154" t="str">
        <f>IFERROR(__xludf.DUMMYFUNCTION("""COMPUTED_VALUE"""),"SI")</f>
        <v>SI</v>
      </c>
      <c r="G263" s="155"/>
      <c r="H263" s="168"/>
    </row>
    <row r="264" ht="26.25" customHeight="1">
      <c r="A264" s="166" t="str">
        <f>IFERROR(__xludf.DUMMYFUNCTION("""COMPUTED_VALUE"""),"GES_256")</f>
        <v>GES_256</v>
      </c>
      <c r="B264" s="164" t="str">
        <f>IFERROR(__xludf.DUMMYFUNCTION("""COMPUTED_VALUE"""),"GESTION")</f>
        <v>GESTION</v>
      </c>
      <c r="C264" s="154" t="str">
        <f>IFERROR(__xludf.DUMMYFUNCTION("""COMPUTED_VALUE"""),"SALUD PUBLICA")</f>
        <v>SALUD PUBLICA</v>
      </c>
      <c r="D264" s="165" t="str">
        <f>IFERROR(__xludf.DUMMYFUNCTION("""COMPUTED_VALUE"""),"REFERENTE TBC - PSICOLOGA")</f>
        <v>REFERENTE TBC - PSICOLOGA</v>
      </c>
      <c r="E264" s="169">
        <f>IFERROR(__xludf.DUMMYFUNCTION("""COMPUTED_VALUE"""),0.25)</f>
        <v>0.25</v>
      </c>
      <c r="F264" s="154" t="str">
        <f>IFERROR(__xludf.DUMMYFUNCTION("""COMPUTED_VALUE"""),"SI")</f>
        <v>SI</v>
      </c>
      <c r="G264" s="155"/>
      <c r="H264" s="168"/>
    </row>
    <row r="265" ht="26.25" customHeight="1">
      <c r="A265" s="166" t="str">
        <f>IFERROR(__xludf.DUMMYFUNCTION("""COMPUTED_VALUE"""),"GES_257")</f>
        <v>GES_257</v>
      </c>
      <c r="B265" s="164" t="str">
        <f>IFERROR(__xludf.DUMMYFUNCTION("""COMPUTED_VALUE"""),"GESTION")</f>
        <v>GESTION</v>
      </c>
      <c r="C265" s="154" t="str">
        <f>IFERROR(__xludf.DUMMYFUNCTION("""COMPUTED_VALUE"""),"SALUD PUBLICA")</f>
        <v>SALUD PUBLICA</v>
      </c>
      <c r="D265" s="165" t="str">
        <f>IFERROR(__xludf.DUMMYFUNCTION("""COMPUTED_VALUE"""),"REFERENTE TBC - QUIMICOFARMACEUTICO")</f>
        <v>REFERENTE TBC - QUIMICOFARMACEUTICO</v>
      </c>
      <c r="E265" s="169">
        <f>IFERROR(__xludf.DUMMYFUNCTION("""COMPUTED_VALUE"""),0.25)</f>
        <v>0.25</v>
      </c>
      <c r="F265" s="154" t="str">
        <f>IFERROR(__xludf.DUMMYFUNCTION("""COMPUTED_VALUE"""),"SI")</f>
        <v>SI</v>
      </c>
      <c r="G265" s="155"/>
      <c r="H265" s="168"/>
    </row>
    <row r="266" ht="26.25" customHeight="1">
      <c r="A266" s="166" t="str">
        <f>IFERROR(__xludf.DUMMYFUNCTION("""COMPUTED_VALUE"""),"GES_258")</f>
        <v>GES_258</v>
      </c>
      <c r="B266" s="164" t="str">
        <f>IFERROR(__xludf.DUMMYFUNCTION("""COMPUTED_VALUE"""),"GESTION")</f>
        <v>GESTION</v>
      </c>
      <c r="C266" s="154" t="str">
        <f>IFERROR(__xludf.DUMMYFUNCTION("""COMPUTED_VALUE"""),"SALUD PUBLICA")</f>
        <v>SALUD PUBLICA</v>
      </c>
      <c r="D266" s="165" t="str">
        <f>IFERROR(__xludf.DUMMYFUNCTION("""COMPUTED_VALUE"""),"REFERENTE TBC - TRABAJADOR SOCIAL")</f>
        <v>REFERENTE TBC - TRABAJADOR SOCIAL</v>
      </c>
      <c r="E266" s="169">
        <f>IFERROR(__xludf.DUMMYFUNCTION("""COMPUTED_VALUE"""),0.25)</f>
        <v>0.25</v>
      </c>
      <c r="F266" s="154" t="str">
        <f>IFERROR(__xludf.DUMMYFUNCTION("""COMPUTED_VALUE"""),"SI")</f>
        <v>SI</v>
      </c>
      <c r="G266" s="155"/>
      <c r="H266" s="168"/>
    </row>
    <row r="267" ht="26.25" customHeight="1">
      <c r="A267" s="166" t="str">
        <f>IFERROR(__xludf.DUMMYFUNCTION("""COMPUTED_VALUE"""),"GES_259")</f>
        <v>GES_259</v>
      </c>
      <c r="B267" s="164" t="str">
        <f>IFERROR(__xludf.DUMMYFUNCTION("""COMPUTED_VALUE"""),"GESTION")</f>
        <v>GESTION</v>
      </c>
      <c r="C267" s="154" t="str">
        <f>IFERROR(__xludf.DUMMYFUNCTION("""COMPUTED_VALUE"""),"TECNICO - ADMNISTRATIVO")</f>
        <v>TECNICO - ADMNISTRATIVO</v>
      </c>
      <c r="D267" s="165" t="str">
        <f>IFERROR(__xludf.DUMMYFUNCTION("""COMPUTED_VALUE"""),"BODEGA (2,5 HRS)")</f>
        <v>BODEGA (2,5 HRS)</v>
      </c>
      <c r="E267" s="169">
        <f>IFERROR(__xludf.DUMMYFUNCTION("""COMPUTED_VALUE"""),2.5)</f>
        <v>2.5</v>
      </c>
      <c r="F267" s="154" t="str">
        <f>IFERROR(__xludf.DUMMYFUNCTION("""COMPUTED_VALUE"""),"SI")</f>
        <v>SI</v>
      </c>
      <c r="G267" s="155"/>
      <c r="H267" s="168"/>
    </row>
    <row r="268" ht="26.25" customHeight="1">
      <c r="A268" s="166" t="str">
        <f>IFERROR(__xludf.DUMMYFUNCTION("""COMPUTED_VALUE"""),"GES_260")</f>
        <v>GES_260</v>
      </c>
      <c r="B268" s="164" t="str">
        <f>IFERROR(__xludf.DUMMYFUNCTION("""COMPUTED_VALUE"""),"GESTION")</f>
        <v>GESTION</v>
      </c>
      <c r="C268" s="154" t="str">
        <f>IFERROR(__xludf.DUMMYFUNCTION("""COMPUTED_VALUE"""),"TECNICO - ADMNISTRATIVO")</f>
        <v>TECNICO - ADMNISTRATIVO</v>
      </c>
      <c r="D268" s="165" t="str">
        <f>IFERROR(__xludf.DUMMYFUNCTION("""COMPUTED_VALUE"""),"CALIDAD MEDICION INDICADOR (20 MIN)")</f>
        <v>CALIDAD MEDICION INDICADOR (20 MIN)</v>
      </c>
      <c r="E268" s="169">
        <f>IFERROR(__xludf.DUMMYFUNCTION("""COMPUTED_VALUE"""),0.37)</f>
        <v>0.37</v>
      </c>
      <c r="F268" s="154" t="str">
        <f>IFERROR(__xludf.DUMMYFUNCTION("""COMPUTED_VALUE"""),"SI")</f>
        <v>SI</v>
      </c>
      <c r="G268" s="155"/>
      <c r="H268" s="168"/>
    </row>
    <row r="269" ht="26.25" customHeight="1">
      <c r="A269" s="166" t="str">
        <f>IFERROR(__xludf.DUMMYFUNCTION("""COMPUTED_VALUE"""),"GES_261")</f>
        <v>GES_261</v>
      </c>
      <c r="B269" s="164" t="str">
        <f>IFERROR(__xludf.DUMMYFUNCTION("""COMPUTED_VALUE"""),"GESTION")</f>
        <v>GESTION</v>
      </c>
      <c r="C269" s="154" t="str">
        <f>IFERROR(__xludf.DUMMYFUNCTION("""COMPUTED_VALUE"""),"TECNICO - ADMNISTRATIVO")</f>
        <v>TECNICO - ADMNISTRATIVO</v>
      </c>
      <c r="D269" s="165" t="str">
        <f>IFERROR(__xludf.DUMMYFUNCTION("""COMPUTED_VALUE"""),"CENSO MENSUAL ")</f>
        <v>CENSO MENSUAL </v>
      </c>
      <c r="E269" s="169">
        <f>IFERROR(__xludf.DUMMYFUNCTION("""COMPUTED_VALUE"""),2.0)</f>
        <v>2</v>
      </c>
      <c r="F269" s="154" t="str">
        <f>IFERROR(__xludf.DUMMYFUNCTION("""COMPUTED_VALUE"""),"SI")</f>
        <v>SI</v>
      </c>
      <c r="G269" s="155"/>
      <c r="H269" s="168"/>
    </row>
    <row r="270" ht="26.25" customHeight="1">
      <c r="A270" s="166" t="str">
        <f>IFERROR(__xludf.DUMMYFUNCTION("""COMPUTED_VALUE"""),"GES_262")</f>
        <v>GES_262</v>
      </c>
      <c r="B270" s="164" t="str">
        <f>IFERROR(__xludf.DUMMYFUNCTION("""COMPUTED_VALUE"""),"GESTION")</f>
        <v>GESTION</v>
      </c>
      <c r="C270" s="154" t="str">
        <f>IFERROR(__xludf.DUMMYFUNCTION("""COMPUTED_VALUE"""),"TECNICO - ADMNISTRATIVO")</f>
        <v>TECNICO - ADMNISTRATIVO</v>
      </c>
      <c r="D270" s="165" t="str">
        <f>IFERROR(__xludf.DUMMYFUNCTION("""COMPUTED_VALUE"""),"CENSO TRIMESTRAL")</f>
        <v>CENSO TRIMESTRAL</v>
      </c>
      <c r="E270" s="169">
        <f>IFERROR(__xludf.DUMMYFUNCTION("""COMPUTED_VALUE"""),0.68)</f>
        <v>0.68</v>
      </c>
      <c r="F270" s="154" t="str">
        <f>IFERROR(__xludf.DUMMYFUNCTION("""COMPUTED_VALUE"""),"SI")</f>
        <v>SI</v>
      </c>
      <c r="G270" s="155"/>
      <c r="H270" s="168"/>
    </row>
    <row r="271" ht="26.25" customHeight="1">
      <c r="A271" s="166" t="str">
        <f>IFERROR(__xludf.DUMMYFUNCTION("""COMPUTED_VALUE"""),"GES_263")</f>
        <v>GES_263</v>
      </c>
      <c r="B271" s="164" t="str">
        <f>IFERROR(__xludf.DUMMYFUNCTION("""COMPUTED_VALUE"""),"GESTION")</f>
        <v>GESTION</v>
      </c>
      <c r="C271" s="154" t="str">
        <f>IFERROR(__xludf.DUMMYFUNCTION("""COMPUTED_VALUE"""),"TECNICO - ADMNISTRATIVO")</f>
        <v>TECNICO - ADMNISTRATIVO</v>
      </c>
      <c r="D271" s="165" t="str">
        <f>IFERROR(__xludf.DUMMYFUNCTION("""COMPUTED_VALUE"""),"CONSOLIDAD CENSO MENSUAL ")</f>
        <v>CONSOLIDAD CENSO MENSUAL </v>
      </c>
      <c r="E271" s="169">
        <f>IFERROR(__xludf.DUMMYFUNCTION("""COMPUTED_VALUE"""),2.0)</f>
        <v>2</v>
      </c>
      <c r="F271" s="154" t="str">
        <f>IFERROR(__xludf.DUMMYFUNCTION("""COMPUTED_VALUE"""),"SI")</f>
        <v>SI</v>
      </c>
      <c r="G271" s="155"/>
      <c r="H271" s="168"/>
    </row>
    <row r="272" ht="26.25" customHeight="1">
      <c r="A272" s="166" t="str">
        <f>IFERROR(__xludf.DUMMYFUNCTION("""COMPUTED_VALUE"""),"GES_264")</f>
        <v>GES_264</v>
      </c>
      <c r="B272" s="164" t="str">
        <f>IFERROR(__xludf.DUMMYFUNCTION("""COMPUTED_VALUE"""),"GESTION")</f>
        <v>GESTION</v>
      </c>
      <c r="C272" s="154" t="str">
        <f>IFERROR(__xludf.DUMMYFUNCTION("""COMPUTED_VALUE"""),"TECNICO - ADMNISTRATIVO")</f>
        <v>TECNICO - ADMNISTRATIVO</v>
      </c>
      <c r="D272" s="165" t="str">
        <f>IFERROR(__xludf.DUMMYFUNCTION("""COMPUTED_VALUE"""),"DIRECTOR  (44 HRS)")</f>
        <v>DIRECTOR  (44 HRS)</v>
      </c>
      <c r="E272" s="169">
        <f>IFERROR(__xludf.DUMMYFUNCTION("""COMPUTED_VALUE"""),44.0)</f>
        <v>44</v>
      </c>
      <c r="F272" s="154" t="str">
        <f>IFERROR(__xludf.DUMMYFUNCTION("""COMPUTED_VALUE"""),"SI")</f>
        <v>SI</v>
      </c>
      <c r="G272" s="155"/>
      <c r="H272" s="168"/>
    </row>
    <row r="273" ht="26.25" customHeight="1">
      <c r="A273" s="166" t="str">
        <f>IFERROR(__xludf.DUMMYFUNCTION("""COMPUTED_VALUE"""),"GES_265")</f>
        <v>GES_265</v>
      </c>
      <c r="B273" s="164" t="str">
        <f>IFERROR(__xludf.DUMMYFUNCTION("""COMPUTED_VALUE"""),"GESTION")</f>
        <v>GESTION</v>
      </c>
      <c r="C273" s="154" t="str">
        <f>IFERROR(__xludf.DUMMYFUNCTION("""COMPUTED_VALUE"""),"TECNICO - ADMNISTRATIVO")</f>
        <v>TECNICO - ADMNISTRATIVO</v>
      </c>
      <c r="D273" s="165" t="str">
        <f>IFERROR(__xludf.DUMMYFUNCTION("""COMPUTED_VALUE"""),"DOCENTE ASISTENCIAL (2 HRS)")</f>
        <v>DOCENTE ASISTENCIAL (2 HRS)</v>
      </c>
      <c r="E273" s="169">
        <f>IFERROR(__xludf.DUMMYFUNCTION("""COMPUTED_VALUE"""),2.0)</f>
        <v>2</v>
      </c>
      <c r="F273" s="154" t="str">
        <f>IFERROR(__xludf.DUMMYFUNCTION("""COMPUTED_VALUE"""),"SI")</f>
        <v>SI</v>
      </c>
      <c r="G273" s="155"/>
      <c r="H273" s="168"/>
    </row>
    <row r="274" ht="26.25" customHeight="1">
      <c r="A274" s="166" t="str">
        <f>IFERROR(__xludf.DUMMYFUNCTION("""COMPUTED_VALUE"""),"GES_266")</f>
        <v>GES_266</v>
      </c>
      <c r="B274" s="164" t="str">
        <f>IFERROR(__xludf.DUMMYFUNCTION("""COMPUTED_VALUE"""),"GESTION")</f>
        <v>GESTION</v>
      </c>
      <c r="C274" s="154" t="str">
        <f>IFERROR(__xludf.DUMMYFUNCTION("""COMPUTED_VALUE"""),"TECNICO - ADMNISTRATIVO")</f>
        <v>TECNICO - ADMNISTRATIVO</v>
      </c>
      <c r="D274" s="165" t="str">
        <f>IFERROR(__xludf.DUMMYFUNCTION("""COMPUTED_VALUE"""),"ENCARGAD@ APS UNIVERSAL")</f>
        <v>ENCARGAD@ APS UNIVERSAL</v>
      </c>
      <c r="E274" s="169">
        <f>IFERROR(__xludf.DUMMYFUNCTION("""COMPUTED_VALUE"""),22.0)</f>
        <v>22</v>
      </c>
      <c r="F274" s="154" t="str">
        <f>IFERROR(__xludf.DUMMYFUNCTION("""COMPUTED_VALUE"""),"SI")</f>
        <v>SI</v>
      </c>
      <c r="G274" s="155"/>
      <c r="H274" s="168"/>
    </row>
    <row r="275" ht="26.25" customHeight="1">
      <c r="A275" s="166" t="str">
        <f>IFERROR(__xludf.DUMMYFUNCTION("""COMPUTED_VALUE"""),"GES_267")</f>
        <v>GES_267</v>
      </c>
      <c r="B275" s="164" t="str">
        <f>IFERROR(__xludf.DUMMYFUNCTION("""COMPUTED_VALUE"""),"GESTION")</f>
        <v>GESTION</v>
      </c>
      <c r="C275" s="154" t="str">
        <f>IFERROR(__xludf.DUMMYFUNCTION("""COMPUTED_VALUE"""),"TECNICO - ADMNISTRATIVO")</f>
        <v>TECNICO - ADMNISTRATIVO</v>
      </c>
      <c r="D275" s="165" t="str">
        <f>IFERROR(__xludf.DUMMYFUNCTION("""COMPUTED_VALUE"""),"ENCARGAD@ BOTIQUIN FARMACIA (28 HORAS)")</f>
        <v>ENCARGAD@ BOTIQUIN FARMACIA (28 HORAS)</v>
      </c>
      <c r="E275" s="169">
        <f>IFERROR(__xludf.DUMMYFUNCTION("""COMPUTED_VALUE"""),28.0)</f>
        <v>28</v>
      </c>
      <c r="F275" s="154" t="str">
        <f>IFERROR(__xludf.DUMMYFUNCTION("""COMPUTED_VALUE"""),"SI")</f>
        <v>SI</v>
      </c>
      <c r="G275" s="155"/>
      <c r="H275" s="168"/>
    </row>
    <row r="276" ht="26.25" customHeight="1">
      <c r="A276" s="166" t="str">
        <f>IFERROR(__xludf.DUMMYFUNCTION("""COMPUTED_VALUE"""),"GES_268")</f>
        <v>GES_268</v>
      </c>
      <c r="B276" s="164" t="str">
        <f>IFERROR(__xludf.DUMMYFUNCTION("""COMPUTED_VALUE"""),"GESTION")</f>
        <v>GESTION</v>
      </c>
      <c r="C276" s="154" t="str">
        <f>IFERROR(__xludf.DUMMYFUNCTION("""COMPUTED_VALUE"""),"TECNICO - ADMNISTRATIVO")</f>
        <v>TECNICO - ADMNISTRATIVO</v>
      </c>
      <c r="D276" s="165" t="str">
        <f>IFERROR(__xludf.DUMMYFUNCTION("""COMPUTED_VALUE"""),"ENCARGAD@ BOTIQUIN FARMACIA (30 HORAS)")</f>
        <v>ENCARGAD@ BOTIQUIN FARMACIA (30 HORAS)</v>
      </c>
      <c r="E276" s="169">
        <f>IFERROR(__xludf.DUMMYFUNCTION("""COMPUTED_VALUE"""),30.0)</f>
        <v>30</v>
      </c>
      <c r="F276" s="154" t="str">
        <f>IFERROR(__xludf.DUMMYFUNCTION("""COMPUTED_VALUE"""),"SI")</f>
        <v>SI</v>
      </c>
      <c r="G276" s="155"/>
      <c r="H276" s="168"/>
    </row>
    <row r="277" ht="26.25" customHeight="1">
      <c r="A277" s="166" t="str">
        <f>IFERROR(__xludf.DUMMYFUNCTION("""COMPUTED_VALUE"""),"GES_269")</f>
        <v>GES_269</v>
      </c>
      <c r="B277" s="164" t="str">
        <f>IFERROR(__xludf.DUMMYFUNCTION("""COMPUTED_VALUE"""),"GESTION")</f>
        <v>GESTION</v>
      </c>
      <c r="C277" s="154" t="str">
        <f>IFERROR(__xludf.DUMMYFUNCTION("""COMPUTED_VALUE"""),"TECNICO - ADMNISTRATIVO")</f>
        <v>TECNICO - ADMNISTRATIVO</v>
      </c>
      <c r="D277" s="165" t="str">
        <f>IFERROR(__xludf.DUMMYFUNCTION("""COMPUTED_VALUE"""),"ENCARGAD@ BOTIQUIN FARMACIA (33 HORAS)")</f>
        <v>ENCARGAD@ BOTIQUIN FARMACIA (33 HORAS)</v>
      </c>
      <c r="E277" s="169">
        <f>IFERROR(__xludf.DUMMYFUNCTION("""COMPUTED_VALUE"""),33.0)</f>
        <v>33</v>
      </c>
      <c r="F277" s="154" t="str">
        <f>IFERROR(__xludf.DUMMYFUNCTION("""COMPUTED_VALUE"""),"SI")</f>
        <v>SI</v>
      </c>
      <c r="G277" s="155"/>
      <c r="H277" s="168"/>
    </row>
    <row r="278" ht="26.25" customHeight="1">
      <c r="A278" s="166" t="str">
        <f>IFERROR(__xludf.DUMMYFUNCTION("""COMPUTED_VALUE"""),"GES_270")</f>
        <v>GES_270</v>
      </c>
      <c r="B278" s="164" t="str">
        <f>IFERROR(__xludf.DUMMYFUNCTION("""COMPUTED_VALUE"""),"GESTION")</f>
        <v>GESTION</v>
      </c>
      <c r="C278" s="154" t="str">
        <f>IFERROR(__xludf.DUMMYFUNCTION("""COMPUTED_VALUE"""),"TECNICO - ADMNISTRATIVO")</f>
        <v>TECNICO - ADMNISTRATIVO</v>
      </c>
      <c r="D278" s="165" t="str">
        <f>IFERROR(__xludf.DUMMYFUNCTION("""COMPUTED_VALUE"""),"ENCARGAD@ BOTIQUIN FARMACIA (38 HORAS)")</f>
        <v>ENCARGAD@ BOTIQUIN FARMACIA (38 HORAS)</v>
      </c>
      <c r="E278" s="169">
        <f>IFERROR(__xludf.DUMMYFUNCTION("""COMPUTED_VALUE"""),38.0)</f>
        <v>38</v>
      </c>
      <c r="F278" s="154" t="str">
        <f>IFERROR(__xludf.DUMMYFUNCTION("""COMPUTED_VALUE"""),"SI")</f>
        <v>SI</v>
      </c>
      <c r="G278" s="155"/>
      <c r="H278" s="168"/>
    </row>
    <row r="279" ht="26.25" customHeight="1">
      <c r="A279" s="166" t="str">
        <f>IFERROR(__xludf.DUMMYFUNCTION("""COMPUTED_VALUE"""),"GES_271")</f>
        <v>GES_271</v>
      </c>
      <c r="B279" s="164" t="str">
        <f>IFERROR(__xludf.DUMMYFUNCTION("""COMPUTED_VALUE"""),"GESTION")</f>
        <v>GESTION</v>
      </c>
      <c r="C279" s="154" t="str">
        <f>IFERROR(__xludf.DUMMYFUNCTION("""COMPUTED_VALUE"""),"TECNICO - ADMNISTRATIVO")</f>
        <v>TECNICO - ADMNISTRATIVO</v>
      </c>
      <c r="D279" s="165" t="str">
        <f>IFERROR(__xludf.DUMMYFUNCTION("""COMPUTED_VALUE"""),"ENCARGAD@ BOTIQUIN FARMACIA (44 HORAS)")</f>
        <v>ENCARGAD@ BOTIQUIN FARMACIA (44 HORAS)</v>
      </c>
      <c r="E279" s="169">
        <f>IFERROR(__xludf.DUMMYFUNCTION("""COMPUTED_VALUE"""),44.0)</f>
        <v>44</v>
      </c>
      <c r="F279" s="154" t="str">
        <f>IFERROR(__xludf.DUMMYFUNCTION("""COMPUTED_VALUE"""),"SI")</f>
        <v>SI</v>
      </c>
      <c r="G279" s="155"/>
      <c r="H279" s="168"/>
    </row>
    <row r="280" ht="26.25" customHeight="1">
      <c r="A280" s="166" t="str">
        <f>IFERROR(__xludf.DUMMYFUNCTION("""COMPUTED_VALUE"""),"GES_272")</f>
        <v>GES_272</v>
      </c>
      <c r="B280" s="164" t="str">
        <f>IFERROR(__xludf.DUMMYFUNCTION("""COMPUTED_VALUE"""),"GESTION")</f>
        <v>GESTION</v>
      </c>
      <c r="C280" s="154" t="str">
        <f>IFERROR(__xludf.DUMMYFUNCTION("""COMPUTED_VALUE"""),"TECNICO - ADMNISTRATIVO")</f>
        <v>TECNICO - ADMNISTRATIVO</v>
      </c>
      <c r="D280" s="165" t="str">
        <f>IFERROR(__xludf.DUMMYFUNCTION("""COMPUTED_VALUE"""),"ENCARGAD@ CECOSF")</f>
        <v>ENCARGAD@ CECOSF</v>
      </c>
      <c r="E280" s="169">
        <f>IFERROR(__xludf.DUMMYFUNCTION("""COMPUTED_VALUE"""),22.0)</f>
        <v>22</v>
      </c>
      <c r="F280" s="154" t="str">
        <f>IFERROR(__xludf.DUMMYFUNCTION("""COMPUTED_VALUE"""),"SI")</f>
        <v>SI</v>
      </c>
      <c r="G280" s="155"/>
      <c r="H280" s="168"/>
    </row>
    <row r="281" ht="26.25" customHeight="1">
      <c r="A281" s="166" t="str">
        <f>IFERROR(__xludf.DUMMYFUNCTION("""COMPUTED_VALUE"""),"GES_273")</f>
        <v>GES_273</v>
      </c>
      <c r="B281" s="164" t="str">
        <f>IFERROR(__xludf.DUMMYFUNCTION("""COMPUTED_VALUE"""),"GESTION")</f>
        <v>GESTION</v>
      </c>
      <c r="C281" s="154" t="str">
        <f>IFERROR(__xludf.DUMMYFUNCTION("""COMPUTED_VALUE"""),"TECNICO - ADMNISTRATIVO")</f>
        <v>TECNICO - ADMNISTRATIVO</v>
      </c>
      <c r="D281" s="165" t="str">
        <f>IFERROR(__xludf.DUMMYFUNCTION("""COMPUTED_VALUE"""),"ENCARGAD@ COORDINACION MEDICA")</f>
        <v>ENCARGAD@ COORDINACION MEDICA</v>
      </c>
      <c r="E281" s="169">
        <f>IFERROR(__xludf.DUMMYFUNCTION("""COMPUTED_VALUE"""),7.0)</f>
        <v>7</v>
      </c>
      <c r="F281" s="154" t="str">
        <f>IFERROR(__xludf.DUMMYFUNCTION("""COMPUTED_VALUE"""),"SI")</f>
        <v>SI</v>
      </c>
      <c r="G281" s="155"/>
      <c r="H281" s="168"/>
    </row>
    <row r="282" ht="26.25" customHeight="1">
      <c r="A282" s="166" t="str">
        <f>IFERROR(__xludf.DUMMYFUNCTION("""COMPUTED_VALUE"""),"GES_274")</f>
        <v>GES_274</v>
      </c>
      <c r="B282" s="164" t="str">
        <f>IFERROR(__xludf.DUMMYFUNCTION("""COMPUTED_VALUE"""),"GESTION")</f>
        <v>GESTION</v>
      </c>
      <c r="C282" s="154" t="str">
        <f>IFERROR(__xludf.DUMMYFUNCTION("""COMPUTED_VALUE"""),"TECNICO - ADMNISTRATIVO")</f>
        <v>TECNICO - ADMNISTRATIVO</v>
      </c>
      <c r="D282" s="165" t="str">
        <f>IFERROR(__xludf.DUMMYFUNCTION("""COMPUTED_VALUE"""),"ENCARGAD@ COORDINADOR MEDICO SAPU/ CESFAM  (5 HORAS)")</f>
        <v>ENCARGAD@ COORDINADOR MEDICO SAPU/ CESFAM  (5 HORAS)</v>
      </c>
      <c r="E282" s="169">
        <f>IFERROR(__xludf.DUMMYFUNCTION("""COMPUTED_VALUE"""),5.0)</f>
        <v>5</v>
      </c>
      <c r="F282" s="154" t="str">
        <f>IFERROR(__xludf.DUMMYFUNCTION("""COMPUTED_VALUE"""),"SI")</f>
        <v>SI</v>
      </c>
      <c r="G282" s="155"/>
      <c r="H282" s="168"/>
    </row>
    <row r="283" ht="26.25" customHeight="1">
      <c r="A283" s="166" t="str">
        <f>IFERROR(__xludf.DUMMYFUNCTION("""COMPUTED_VALUE"""),"GES_275")</f>
        <v>GES_275</v>
      </c>
      <c r="B283" s="164" t="str">
        <f>IFERROR(__xludf.DUMMYFUNCTION("""COMPUTED_VALUE"""),"GESTION")</f>
        <v>GESTION</v>
      </c>
      <c r="C283" s="154" t="str">
        <f>IFERROR(__xludf.DUMMYFUNCTION("""COMPUTED_VALUE"""),"TECNICO - ADMNISTRATIVO")</f>
        <v>TECNICO - ADMNISTRATIVO</v>
      </c>
      <c r="D283" s="165" t="str">
        <f>IFERROR(__xludf.DUMMYFUNCTION("""COMPUTED_VALUE"""),"ENCARGAD@ COORDINADOR SAPU (10 HORAS)")</f>
        <v>ENCARGAD@ COORDINADOR SAPU (10 HORAS)</v>
      </c>
      <c r="E283" s="169">
        <f>IFERROR(__xludf.DUMMYFUNCTION("""COMPUTED_VALUE"""),10.0)</f>
        <v>10</v>
      </c>
      <c r="F283" s="154" t="str">
        <f>IFERROR(__xludf.DUMMYFUNCTION("""COMPUTED_VALUE"""),"SI")</f>
        <v>SI</v>
      </c>
      <c r="G283" s="155"/>
      <c r="H283" s="168"/>
    </row>
    <row r="284" ht="26.25" customHeight="1">
      <c r="A284" s="166" t="str">
        <f>IFERROR(__xludf.DUMMYFUNCTION("""COMPUTED_VALUE"""),"GES_277")</f>
        <v>GES_277</v>
      </c>
      <c r="B284" s="164" t="str">
        <f>IFERROR(__xludf.DUMMYFUNCTION("""COMPUTED_VALUE"""),"GESTION")</f>
        <v>GESTION</v>
      </c>
      <c r="C284" s="154" t="str">
        <f>IFERROR(__xludf.DUMMYFUNCTION("""COMPUTED_VALUE"""),"TECNICO - ADMNISTRATIVO")</f>
        <v>TECNICO - ADMNISTRATIVO</v>
      </c>
      <c r="D284" s="165" t="str">
        <f>IFERROR(__xludf.DUMMYFUNCTION("""COMPUTED_VALUE"""),"ENCARGAD@ COORDINADOR SAPU (44 HORAS)")</f>
        <v>ENCARGAD@ COORDINADOR SAPU (44 HORAS)</v>
      </c>
      <c r="E284" s="169">
        <f>IFERROR(__xludf.DUMMYFUNCTION("""COMPUTED_VALUE"""),44.0)</f>
        <v>44</v>
      </c>
      <c r="F284" s="154" t="str">
        <f>IFERROR(__xludf.DUMMYFUNCTION("""COMPUTED_VALUE"""),"SI")</f>
        <v>SI</v>
      </c>
      <c r="G284" s="155"/>
      <c r="H284" s="168"/>
    </row>
    <row r="285" ht="26.25" customHeight="1">
      <c r="A285" s="166" t="str">
        <f>IFERROR(__xludf.DUMMYFUNCTION("""COMPUTED_VALUE"""),"GES_278")</f>
        <v>GES_278</v>
      </c>
      <c r="B285" s="164" t="str">
        <f>IFERROR(__xludf.DUMMYFUNCTION("""COMPUTED_VALUE"""),"GESTION")</f>
        <v>GESTION</v>
      </c>
      <c r="C285" s="154" t="str">
        <f>IFERROR(__xludf.DUMMYFUNCTION("""COMPUTED_VALUE"""),"TECNICO - ADMNISTRATIVO")</f>
        <v>TECNICO - ADMNISTRATIVO</v>
      </c>
      <c r="D285" s="165" t="str">
        <f>IFERROR(__xludf.DUMMYFUNCTION("""COMPUTED_VALUE"""),"ENCARGAD@ COORDINADOR SAPU (5 HORAS)")</f>
        <v>ENCARGAD@ COORDINADOR SAPU (5 HORAS)</v>
      </c>
      <c r="E285" s="169">
        <f>IFERROR(__xludf.DUMMYFUNCTION("""COMPUTED_VALUE"""),5.0)</f>
        <v>5</v>
      </c>
      <c r="F285" s="154" t="str">
        <f>IFERROR(__xludf.DUMMYFUNCTION("""COMPUTED_VALUE"""),"SI")</f>
        <v>SI</v>
      </c>
      <c r="G285" s="155"/>
      <c r="H285" s="168"/>
    </row>
    <row r="286" ht="26.25" customHeight="1">
      <c r="A286" s="166" t="str">
        <f>IFERROR(__xludf.DUMMYFUNCTION("""COMPUTED_VALUE"""),"GES_279")</f>
        <v>GES_279</v>
      </c>
      <c r="B286" s="164" t="str">
        <f>IFERROR(__xludf.DUMMYFUNCTION("""COMPUTED_VALUE"""),"GESTION")</f>
        <v>GESTION</v>
      </c>
      <c r="C286" s="154" t="str">
        <f>IFERROR(__xludf.DUMMYFUNCTION("""COMPUTED_VALUE"""),"TECNICO - ADMNISTRATIVO")</f>
        <v>TECNICO - ADMNISTRATIVO</v>
      </c>
      <c r="D286" s="165" t="str">
        <f>IFERROR(__xludf.DUMMYFUNCTION("""COMPUTED_VALUE"""),"ENCARGAD@ DIFUSIÓN  (11 HORAS)")</f>
        <v>ENCARGAD@ DIFUSIÓN  (11 HORAS)</v>
      </c>
      <c r="E286" s="169">
        <f>IFERROR(__xludf.DUMMYFUNCTION("""COMPUTED_VALUE"""),11.0)</f>
        <v>11</v>
      </c>
      <c r="F286" s="154" t="str">
        <f>IFERROR(__xludf.DUMMYFUNCTION("""COMPUTED_VALUE"""),"SI")</f>
        <v>SI</v>
      </c>
      <c r="G286" s="155"/>
      <c r="H286" s="168"/>
    </row>
    <row r="287" ht="26.25" customHeight="1">
      <c r="A287" s="166" t="str">
        <f>IFERROR(__xludf.DUMMYFUNCTION("""COMPUTED_VALUE"""),"GES_280")</f>
        <v>GES_280</v>
      </c>
      <c r="B287" s="164" t="str">
        <f>IFERROR(__xludf.DUMMYFUNCTION("""COMPUTED_VALUE"""),"GESTION")</f>
        <v>GESTION</v>
      </c>
      <c r="C287" s="154" t="str">
        <f>IFERROR(__xludf.DUMMYFUNCTION("""COMPUTED_VALUE"""),"TECNICO - ADMNISTRATIVO")</f>
        <v>TECNICO - ADMNISTRATIVO</v>
      </c>
      <c r="D287" s="165" t="str">
        <f>IFERROR(__xludf.DUMMYFUNCTION("""COMPUTED_VALUE"""),"ENCARGAD@ DIFUSIÓN  (2,5 HORAS)")</f>
        <v>ENCARGAD@ DIFUSIÓN  (2,5 HORAS)</v>
      </c>
      <c r="E287" s="169">
        <f>IFERROR(__xludf.DUMMYFUNCTION("""COMPUTED_VALUE"""),2.5)</f>
        <v>2.5</v>
      </c>
      <c r="F287" s="154" t="str">
        <f>IFERROR(__xludf.DUMMYFUNCTION("""COMPUTED_VALUE"""),"SI")</f>
        <v>SI</v>
      </c>
      <c r="G287" s="155"/>
      <c r="H287" s="168"/>
    </row>
    <row r="288" ht="26.25" customHeight="1">
      <c r="A288" s="166" t="str">
        <f>IFERROR(__xludf.DUMMYFUNCTION("""COMPUTED_VALUE"""),"GES_281")</f>
        <v>GES_281</v>
      </c>
      <c r="B288" s="164" t="str">
        <f>IFERROR(__xludf.DUMMYFUNCTION("""COMPUTED_VALUE"""),"GESTION")</f>
        <v>GESTION</v>
      </c>
      <c r="C288" s="154" t="str">
        <f>IFERROR(__xludf.DUMMYFUNCTION("""COMPUTED_VALUE"""),"TECNICO - ADMNISTRATIVO")</f>
        <v>TECNICO - ADMNISTRATIVO</v>
      </c>
      <c r="D288" s="165" t="str">
        <f>IFERROR(__xludf.DUMMYFUNCTION("""COMPUTED_VALUE"""),"ENCARGAD@ DIFUSIÓN  (22 HORAS)")</f>
        <v>ENCARGAD@ DIFUSIÓN  (22 HORAS)</v>
      </c>
      <c r="E288" s="169">
        <f>IFERROR(__xludf.DUMMYFUNCTION("""COMPUTED_VALUE"""),22.0)</f>
        <v>22</v>
      </c>
      <c r="F288" s="154" t="str">
        <f>IFERROR(__xludf.DUMMYFUNCTION("""COMPUTED_VALUE"""),"SI")</f>
        <v>SI</v>
      </c>
      <c r="G288" s="155"/>
      <c r="H288" s="168"/>
    </row>
    <row r="289" ht="26.25" customHeight="1">
      <c r="A289" s="166" t="str">
        <f>IFERROR(__xludf.DUMMYFUNCTION("""COMPUTED_VALUE"""),"GES_282")</f>
        <v>GES_282</v>
      </c>
      <c r="B289" s="164" t="str">
        <f>IFERROR(__xludf.DUMMYFUNCTION("""COMPUTED_VALUE"""),"GESTION")</f>
        <v>GESTION</v>
      </c>
      <c r="C289" s="154" t="str">
        <f>IFERROR(__xludf.DUMMYFUNCTION("""COMPUTED_VALUE"""),"TECNICO - ADMNISTRATIVO")</f>
        <v>TECNICO - ADMNISTRATIVO</v>
      </c>
      <c r="D289" s="165" t="str">
        <f>IFERROR(__xludf.DUMMYFUNCTION("""COMPUTED_VALUE"""),"ENCARGAD@ DIFUSIÓN  (4 HORAS)")</f>
        <v>ENCARGAD@ DIFUSIÓN  (4 HORAS)</v>
      </c>
      <c r="E289" s="169">
        <f>IFERROR(__xludf.DUMMYFUNCTION("""COMPUTED_VALUE"""),4.0)</f>
        <v>4</v>
      </c>
      <c r="F289" s="154" t="str">
        <f>IFERROR(__xludf.DUMMYFUNCTION("""COMPUTED_VALUE"""),"SI")</f>
        <v>SI</v>
      </c>
      <c r="G289" s="155"/>
      <c r="H289" s="168"/>
    </row>
    <row r="290" ht="26.25" customHeight="1">
      <c r="A290" s="166" t="str">
        <f>IFERROR(__xludf.DUMMYFUNCTION("""COMPUTED_VALUE"""),"GES_283")</f>
        <v>GES_283</v>
      </c>
      <c r="B290" s="164" t="str">
        <f>IFERROR(__xludf.DUMMYFUNCTION("""COMPUTED_VALUE"""),"GESTION")</f>
        <v>GESTION</v>
      </c>
      <c r="C290" s="154" t="str">
        <f>IFERROR(__xludf.DUMMYFUNCTION("""COMPUTED_VALUE"""),"TECNICO - ADMNISTRATIVO")</f>
        <v>TECNICO - ADMNISTRATIVO</v>
      </c>
      <c r="D290" s="165" t="str">
        <f>IFERROR(__xludf.DUMMYFUNCTION("""COMPUTED_VALUE"""),"ENCARGAD@ DIFUSIÓN  (5 HORAS)")</f>
        <v>ENCARGAD@ DIFUSIÓN  (5 HORAS)</v>
      </c>
      <c r="E290" s="169">
        <f>IFERROR(__xludf.DUMMYFUNCTION("""COMPUTED_VALUE"""),5.0)</f>
        <v>5</v>
      </c>
      <c r="F290" s="154" t="str">
        <f>IFERROR(__xludf.DUMMYFUNCTION("""COMPUTED_VALUE"""),"SI")</f>
        <v>SI</v>
      </c>
      <c r="G290" s="155"/>
      <c r="H290" s="168"/>
    </row>
    <row r="291" ht="26.25" customHeight="1">
      <c r="A291" s="166" t="str">
        <f>IFERROR(__xludf.DUMMYFUNCTION("""COMPUTED_VALUE"""),"GES_284")</f>
        <v>GES_284</v>
      </c>
      <c r="B291" s="164" t="str">
        <f>IFERROR(__xludf.DUMMYFUNCTION("""COMPUTED_VALUE"""),"GESTION")</f>
        <v>GESTION</v>
      </c>
      <c r="C291" s="154" t="str">
        <f>IFERROR(__xludf.DUMMYFUNCTION("""COMPUTED_VALUE"""),"TECNICO - ADMNISTRATIVO")</f>
        <v>TECNICO - ADMNISTRATIVO</v>
      </c>
      <c r="D291" s="165" t="str">
        <f>IFERROR(__xludf.DUMMYFUNCTION("""COMPUTED_VALUE"""),"ENCARGAD@ DIFUSIÓN  (8 HRS)")</f>
        <v>ENCARGAD@ DIFUSIÓN  (8 HRS)</v>
      </c>
      <c r="E291" s="169">
        <f>IFERROR(__xludf.DUMMYFUNCTION("""COMPUTED_VALUE"""),8.0)</f>
        <v>8</v>
      </c>
      <c r="F291" s="154" t="str">
        <f>IFERROR(__xludf.DUMMYFUNCTION("""COMPUTED_VALUE"""),"SI")</f>
        <v>SI</v>
      </c>
      <c r="G291" s="155"/>
      <c r="H291" s="168"/>
    </row>
    <row r="292" ht="26.25" customHeight="1">
      <c r="A292" s="166" t="str">
        <f>IFERROR(__xludf.DUMMYFUNCTION("""COMPUTED_VALUE"""),"GES_285")</f>
        <v>GES_285</v>
      </c>
      <c r="B292" s="164" t="str">
        <f>IFERROR(__xludf.DUMMYFUNCTION("""COMPUTED_VALUE"""),"GESTION")</f>
        <v>GESTION</v>
      </c>
      <c r="C292" s="154" t="str">
        <f>IFERROR(__xludf.DUMMYFUNCTION("""COMPUTED_VALUE"""),"TECNICO - ADMNISTRATIVO")</f>
        <v>TECNICO - ADMNISTRATIVO</v>
      </c>
      <c r="D292" s="165" t="str">
        <f>IFERROR(__xludf.DUMMYFUNCTION("""COMPUTED_VALUE"""),"ENCARGAD@ PROGRAMACION (2 HRS)")</f>
        <v>ENCARGAD@ PROGRAMACION (2 HRS)</v>
      </c>
      <c r="E292" s="169">
        <f>IFERROR(__xludf.DUMMYFUNCTION("""COMPUTED_VALUE"""),2.0)</f>
        <v>2</v>
      </c>
      <c r="F292" s="154" t="str">
        <f>IFERROR(__xludf.DUMMYFUNCTION("""COMPUTED_VALUE"""),"SI")</f>
        <v>SI</v>
      </c>
      <c r="G292" s="155"/>
      <c r="H292" s="168"/>
    </row>
    <row r="293" ht="26.25" customHeight="1">
      <c r="A293" s="166" t="str">
        <f>IFERROR(__xludf.DUMMYFUNCTION("""COMPUTED_VALUE"""),"GES_286")</f>
        <v>GES_286</v>
      </c>
      <c r="B293" s="164" t="str">
        <f>IFERROR(__xludf.DUMMYFUNCTION("""COMPUTED_VALUE"""),"GESTION")</f>
        <v>GESTION</v>
      </c>
      <c r="C293" s="154" t="str">
        <f>IFERROR(__xludf.DUMMYFUNCTION("""COMPUTED_VALUE"""),"TECNICO - ADMNISTRATIVO")</f>
        <v>TECNICO - ADMNISTRATIVO</v>
      </c>
      <c r="D293" s="165" t="str">
        <f>IFERROR(__xludf.DUMMYFUNCTION("""COMPUTED_VALUE"""),"ENCARGAD@ PROGRAMACION (30 MIN)")</f>
        <v>ENCARGAD@ PROGRAMACION (30 MIN)</v>
      </c>
      <c r="E293" s="169">
        <f>IFERROR(__xludf.DUMMYFUNCTION("""COMPUTED_VALUE"""),0.5)</f>
        <v>0.5</v>
      </c>
      <c r="F293" s="154" t="str">
        <f>IFERROR(__xludf.DUMMYFUNCTION("""COMPUTED_VALUE"""),"SI")</f>
        <v>SI</v>
      </c>
      <c r="G293" s="155"/>
      <c r="H293" s="168"/>
    </row>
    <row r="294" ht="26.25" customHeight="1">
      <c r="A294" s="166" t="str">
        <f>IFERROR(__xludf.DUMMYFUNCTION("""COMPUTED_VALUE"""),"GES_287")</f>
        <v>GES_287</v>
      </c>
      <c r="B294" s="164" t="str">
        <f>IFERROR(__xludf.DUMMYFUNCTION("""COMPUTED_VALUE"""),"GESTION")</f>
        <v>GESTION</v>
      </c>
      <c r="C294" s="154" t="str">
        <f>IFERROR(__xludf.DUMMYFUNCTION("""COMPUTED_VALUE"""),"TECNICO - ADMNISTRATIVO")</f>
        <v>TECNICO - ADMNISTRATIVO</v>
      </c>
      <c r="D294" s="165" t="str">
        <f>IFERROR(__xludf.DUMMYFUNCTION("""COMPUTED_VALUE"""),"ENCARGAD@ SOME (11)")</f>
        <v>ENCARGAD@ SOME (11)</v>
      </c>
      <c r="E294" s="169">
        <f>IFERROR(__xludf.DUMMYFUNCTION("""COMPUTED_VALUE"""),11.0)</f>
        <v>11</v>
      </c>
      <c r="F294" s="154" t="str">
        <f>IFERROR(__xludf.DUMMYFUNCTION("""COMPUTED_VALUE"""),"SI")</f>
        <v>SI</v>
      </c>
      <c r="G294" s="155"/>
      <c r="H294" s="168"/>
    </row>
    <row r="295" ht="26.25" customHeight="1">
      <c r="A295" s="166" t="str">
        <f>IFERROR(__xludf.DUMMYFUNCTION("""COMPUTED_VALUE"""),"GES_288")</f>
        <v>GES_288</v>
      </c>
      <c r="B295" s="164" t="str">
        <f>IFERROR(__xludf.DUMMYFUNCTION("""COMPUTED_VALUE"""),"GESTION")</f>
        <v>GESTION</v>
      </c>
      <c r="C295" s="154" t="str">
        <f>IFERROR(__xludf.DUMMYFUNCTION("""COMPUTED_VALUE"""),"TECNICO - ADMNISTRATIVO")</f>
        <v>TECNICO - ADMNISTRATIVO</v>
      </c>
      <c r="D295" s="165" t="str">
        <f>IFERROR(__xludf.DUMMYFUNCTION("""COMPUTED_VALUE"""),"ENCARGAD@ SOME (22)")</f>
        <v>ENCARGAD@ SOME (22)</v>
      </c>
      <c r="E295" s="169">
        <f>IFERROR(__xludf.DUMMYFUNCTION("""COMPUTED_VALUE"""),22.0)</f>
        <v>22</v>
      </c>
      <c r="F295" s="154" t="str">
        <f>IFERROR(__xludf.DUMMYFUNCTION("""COMPUTED_VALUE"""),"SI")</f>
        <v>SI</v>
      </c>
      <c r="G295" s="155"/>
      <c r="H295" s="168"/>
    </row>
    <row r="296" ht="26.25" customHeight="1">
      <c r="A296" s="166" t="str">
        <f>IFERROR(__xludf.DUMMYFUNCTION("""COMPUTED_VALUE"""),"GES_289")</f>
        <v>GES_289</v>
      </c>
      <c r="B296" s="164" t="str">
        <f>IFERROR(__xludf.DUMMYFUNCTION("""COMPUTED_VALUE"""),"GESTION")</f>
        <v>GESTION</v>
      </c>
      <c r="C296" s="154" t="str">
        <f>IFERROR(__xludf.DUMMYFUNCTION("""COMPUTED_VALUE"""),"TECNICO - ADMNISTRATIVO")</f>
        <v>TECNICO - ADMNISTRATIVO</v>
      </c>
      <c r="D296" s="165" t="str">
        <f>IFERROR(__xludf.DUMMYFUNCTION("""COMPUTED_VALUE"""),"ENCARGAD@ SOME (33)")</f>
        <v>ENCARGAD@ SOME (33)</v>
      </c>
      <c r="E296" s="169">
        <f>IFERROR(__xludf.DUMMYFUNCTION("""COMPUTED_VALUE"""),33.0)</f>
        <v>33</v>
      </c>
      <c r="F296" s="154" t="str">
        <f>IFERROR(__xludf.DUMMYFUNCTION("""COMPUTED_VALUE"""),"SI")</f>
        <v>SI</v>
      </c>
      <c r="G296" s="155"/>
      <c r="H296" s="168"/>
    </row>
    <row r="297" ht="26.25" customHeight="1">
      <c r="A297" s="166" t="str">
        <f>IFERROR(__xludf.DUMMYFUNCTION("""COMPUTED_VALUE"""),"GES_290")</f>
        <v>GES_290</v>
      </c>
      <c r="B297" s="164" t="str">
        <f>IFERROR(__xludf.DUMMYFUNCTION("""COMPUTED_VALUE"""),"GESTION")</f>
        <v>GESTION</v>
      </c>
      <c r="C297" s="154" t="str">
        <f>IFERROR(__xludf.DUMMYFUNCTION("""COMPUTED_VALUE"""),"TECNICO - ADMNISTRATIVO")</f>
        <v>TECNICO - ADMNISTRATIVO</v>
      </c>
      <c r="D297" s="165" t="str">
        <f>IFERROR(__xludf.DUMMYFUNCTION("""COMPUTED_VALUE"""),"ENCARGAD@ SOME (44)")</f>
        <v>ENCARGAD@ SOME (44)</v>
      </c>
      <c r="E297" s="169">
        <f>IFERROR(__xludf.DUMMYFUNCTION("""COMPUTED_VALUE"""),44.0)</f>
        <v>44</v>
      </c>
      <c r="F297" s="154" t="str">
        <f>IFERROR(__xludf.DUMMYFUNCTION("""COMPUTED_VALUE"""),"SI")</f>
        <v>SI</v>
      </c>
      <c r="G297" s="155"/>
      <c r="H297" s="168"/>
    </row>
    <row r="298" ht="26.25" customHeight="1">
      <c r="A298" s="166" t="str">
        <f>IFERROR(__xludf.DUMMYFUNCTION("""COMPUTED_VALUE"""),"GES_291")</f>
        <v>GES_291</v>
      </c>
      <c r="B298" s="164" t="str">
        <f>IFERROR(__xludf.DUMMYFUNCTION("""COMPUTED_VALUE"""),"GESTION")</f>
        <v>GESTION</v>
      </c>
      <c r="C298" s="154" t="str">
        <f>IFERROR(__xludf.DUMMYFUNCTION("""COMPUTED_VALUE"""),"TECNICO - ADMNISTRATIVO")</f>
        <v>TECNICO - ADMNISTRATIVO</v>
      </c>
      <c r="D298" s="165" t="str">
        <f>IFERROR(__xludf.DUMMYFUNCTION("""COMPUTED_VALUE"""),"ENCARGADO COMUNAL CALIDAD   (22  HRS)")</f>
        <v>ENCARGADO COMUNAL CALIDAD   (22  HRS)</v>
      </c>
      <c r="E298" s="169">
        <f>IFERROR(__xludf.DUMMYFUNCTION("""COMPUTED_VALUE"""),22.0)</f>
        <v>22</v>
      </c>
      <c r="F298" s="154" t="str">
        <f>IFERROR(__xludf.DUMMYFUNCTION("""COMPUTED_VALUE"""),"SI")</f>
        <v>SI</v>
      </c>
      <c r="G298" s="155"/>
      <c r="H298" s="168"/>
    </row>
    <row r="299" ht="26.25" customHeight="1">
      <c r="A299" s="166" t="str">
        <f>IFERROR(__xludf.DUMMYFUNCTION("""COMPUTED_VALUE"""),"GES_292")</f>
        <v>GES_292</v>
      </c>
      <c r="B299" s="164" t="str">
        <f>IFERROR(__xludf.DUMMYFUNCTION("""COMPUTED_VALUE"""),"GESTION")</f>
        <v>GESTION</v>
      </c>
      <c r="C299" s="154" t="str">
        <f>IFERROR(__xludf.DUMMYFUNCTION("""COMPUTED_VALUE"""),"TECNICO - ADMNISTRATIVO")</f>
        <v>TECNICO - ADMNISTRATIVO</v>
      </c>
      <c r="D299" s="165" t="str">
        <f>IFERROR(__xludf.DUMMYFUNCTION("""COMPUTED_VALUE"""),"ENCARGADO ESTADISTICA (2,5 HRS)")</f>
        <v>ENCARGADO ESTADISTICA (2,5 HRS)</v>
      </c>
      <c r="E299" s="169">
        <f>IFERROR(__xludf.DUMMYFUNCTION("""COMPUTED_VALUE"""),2.5)</f>
        <v>2.5</v>
      </c>
      <c r="F299" s="154" t="str">
        <f>IFERROR(__xludf.DUMMYFUNCTION("""COMPUTED_VALUE"""),"SI")</f>
        <v>SI</v>
      </c>
      <c r="G299" s="155"/>
      <c r="H299" s="168"/>
    </row>
    <row r="300" ht="26.25" customHeight="1">
      <c r="A300" s="166" t="str">
        <f>IFERROR(__xludf.DUMMYFUNCTION("""COMPUTED_VALUE"""),"GES_293")</f>
        <v>GES_293</v>
      </c>
      <c r="B300" s="164" t="str">
        <f>IFERROR(__xludf.DUMMYFUNCTION("""COMPUTED_VALUE"""),"GESTION")</f>
        <v>GESTION</v>
      </c>
      <c r="C300" s="154" t="str">
        <f>IFERROR(__xludf.DUMMYFUNCTION("""COMPUTED_VALUE"""),"TECNICO - ADMNISTRATIVO")</f>
        <v>TECNICO - ADMNISTRATIVO</v>
      </c>
      <c r="D300" s="165" t="str">
        <f>IFERROR(__xludf.DUMMYFUNCTION("""COMPUTED_VALUE"""),"ENCARGADO ESTADISTICA (22 HRS)")</f>
        <v>ENCARGADO ESTADISTICA (22 HRS)</v>
      </c>
      <c r="E300" s="169">
        <f>IFERROR(__xludf.DUMMYFUNCTION("""COMPUTED_VALUE"""),22.0)</f>
        <v>22</v>
      </c>
      <c r="F300" s="154" t="str">
        <f>IFERROR(__xludf.DUMMYFUNCTION("""COMPUTED_VALUE"""),"SI")</f>
        <v>SI</v>
      </c>
      <c r="G300" s="155"/>
      <c r="H300" s="168"/>
    </row>
    <row r="301" ht="26.25" customHeight="1">
      <c r="A301" s="166" t="str">
        <f>IFERROR(__xludf.DUMMYFUNCTION("""COMPUTED_VALUE"""),"GES_294")</f>
        <v>GES_294</v>
      </c>
      <c r="B301" s="164" t="str">
        <f>IFERROR(__xludf.DUMMYFUNCTION("""COMPUTED_VALUE"""),"GESTION")</f>
        <v>GESTION</v>
      </c>
      <c r="C301" s="154" t="str">
        <f>IFERROR(__xludf.DUMMYFUNCTION("""COMPUTED_VALUE"""),"TECNICO - ADMNISTRATIVO")</f>
        <v>TECNICO - ADMNISTRATIVO</v>
      </c>
      <c r="D301" s="165" t="str">
        <f>IFERROR(__xludf.DUMMYFUNCTION("""COMPUTED_VALUE"""),"ENCARGADO ESTERILIZACIÓN (2 HRS)")</f>
        <v>ENCARGADO ESTERILIZACIÓN (2 HRS)</v>
      </c>
      <c r="E301" s="169">
        <f>IFERROR(__xludf.DUMMYFUNCTION("""COMPUTED_VALUE"""),2.0)</f>
        <v>2</v>
      </c>
      <c r="F301" s="154" t="str">
        <f>IFERROR(__xludf.DUMMYFUNCTION("""COMPUTED_VALUE"""),"SI")</f>
        <v>SI</v>
      </c>
      <c r="G301" s="155"/>
      <c r="H301" s="168"/>
    </row>
    <row r="302" ht="26.25" customHeight="1">
      <c r="A302" s="166" t="str">
        <f>IFERROR(__xludf.DUMMYFUNCTION("""COMPUTED_VALUE"""),"GES_295")</f>
        <v>GES_295</v>
      </c>
      <c r="B302" s="164" t="str">
        <f>IFERROR(__xludf.DUMMYFUNCTION("""COMPUTED_VALUE"""),"GESTION")</f>
        <v>GESTION</v>
      </c>
      <c r="C302" s="154" t="str">
        <f>IFERROR(__xludf.DUMMYFUNCTION("""COMPUTED_VALUE"""),"TECNICO - ADMNISTRATIVO")</f>
        <v>TECNICO - ADMNISTRATIVO</v>
      </c>
      <c r="D302" s="165" t="str">
        <f>IFERROR(__xludf.DUMMYFUNCTION("""COMPUTED_VALUE"""),"ENCARGADO RAD (4 HRS)")</f>
        <v>ENCARGADO RAD (4 HRS)</v>
      </c>
      <c r="E302" s="169">
        <f>IFERROR(__xludf.DUMMYFUNCTION("""COMPUTED_VALUE"""),4.0)</f>
        <v>4</v>
      </c>
      <c r="F302" s="154" t="str">
        <f>IFERROR(__xludf.DUMMYFUNCTION("""COMPUTED_VALUE"""),"SI")</f>
        <v>SI</v>
      </c>
      <c r="G302" s="155"/>
      <c r="H302" s="168"/>
    </row>
    <row r="303" ht="26.25" customHeight="1">
      <c r="A303" s="166" t="str">
        <f>IFERROR(__xludf.DUMMYFUNCTION("""COMPUTED_VALUE"""),"GES_296")</f>
        <v>GES_296</v>
      </c>
      <c r="B303" s="164" t="str">
        <f>IFERROR(__xludf.DUMMYFUNCTION("""COMPUTED_VALUE"""),"GESTION")</f>
        <v>GESTION</v>
      </c>
      <c r="C303" s="154" t="str">
        <f>IFERROR(__xludf.DUMMYFUNCTION("""COMPUTED_VALUE"""),"TECNICO - ADMNISTRATIVO")</f>
        <v>TECNICO - ADMNISTRATIVO</v>
      </c>
      <c r="D303" s="165" t="str">
        <f>IFERROR(__xludf.DUMMYFUNCTION("""COMPUTED_VALUE"""),"ENCARGADO RESOLUTIVIDAD")</f>
        <v>ENCARGADO RESOLUTIVIDAD</v>
      </c>
      <c r="E303" s="169">
        <f>IFERROR(__xludf.DUMMYFUNCTION("""COMPUTED_VALUE"""),2.0)</f>
        <v>2</v>
      </c>
      <c r="F303" s="154" t="str">
        <f>IFERROR(__xludf.DUMMYFUNCTION("""COMPUTED_VALUE"""),"SI")</f>
        <v>SI</v>
      </c>
      <c r="G303" s="155"/>
      <c r="H303" s="168"/>
    </row>
    <row r="304" ht="26.25" customHeight="1">
      <c r="A304" s="166" t="str">
        <f>IFERROR(__xludf.DUMMYFUNCTION("""COMPUTED_VALUE"""),"GES_297")</f>
        <v>GES_297</v>
      </c>
      <c r="B304" s="164" t="str">
        <f>IFERROR(__xludf.DUMMYFUNCTION("""COMPUTED_VALUE"""),"GESTION")</f>
        <v>GESTION</v>
      </c>
      <c r="C304" s="154" t="str">
        <f>IFERROR(__xludf.DUMMYFUNCTION("""COMPUTED_VALUE"""),"TECNICO - ADMNISTRATIVO")</f>
        <v>TECNICO - ADMNISTRATIVO</v>
      </c>
      <c r="D304" s="165" t="str">
        <f>IFERROR(__xludf.DUMMYFUNCTION("""COMPUTED_VALUE"""),"ENCARGADO TECNOVIGILANCIA (2 HRS)")</f>
        <v>ENCARGADO TECNOVIGILANCIA (2 HRS)</v>
      </c>
      <c r="E304" s="169">
        <f>IFERROR(__xludf.DUMMYFUNCTION("""COMPUTED_VALUE"""),2.0)</f>
        <v>2</v>
      </c>
      <c r="F304" s="154" t="str">
        <f>IFERROR(__xludf.DUMMYFUNCTION("""COMPUTED_VALUE"""),"SI")</f>
        <v>SI</v>
      </c>
      <c r="G304" s="155"/>
      <c r="H304" s="168"/>
    </row>
    <row r="305" ht="26.25" customHeight="1">
      <c r="A305" s="166" t="str">
        <f>IFERROR(__xludf.DUMMYFUNCTION("""COMPUTED_VALUE"""),"GES_298")</f>
        <v>GES_298</v>
      </c>
      <c r="B305" s="164" t="str">
        <f>IFERROR(__xludf.DUMMYFUNCTION("""COMPUTED_VALUE"""),"GESTION")</f>
        <v>GESTION</v>
      </c>
      <c r="C305" s="154" t="str">
        <f>IFERROR(__xludf.DUMMYFUNCTION("""COMPUTED_VALUE"""),"TECNICO - ADMNISTRATIVO")</f>
        <v>TECNICO - ADMNISTRATIVO</v>
      </c>
      <c r="D305" s="165" t="str">
        <f>IFERROR(__xludf.DUMMYFUNCTION("""COMPUTED_VALUE"""),"ENCARGADO TOMA DE MUESTRA (2 HRS)")</f>
        <v>ENCARGADO TOMA DE MUESTRA (2 HRS)</v>
      </c>
      <c r="E305" s="169">
        <f>IFERROR(__xludf.DUMMYFUNCTION("""COMPUTED_VALUE"""),2.0)</f>
        <v>2</v>
      </c>
      <c r="F305" s="154" t="str">
        <f>IFERROR(__xludf.DUMMYFUNCTION("""COMPUTED_VALUE"""),"SI")</f>
        <v>SI</v>
      </c>
      <c r="G305" s="155"/>
      <c r="H305" s="168"/>
    </row>
    <row r="306" ht="26.25" customHeight="1">
      <c r="A306" s="166" t="str">
        <f>IFERROR(__xludf.DUMMYFUNCTION("""COMPUTED_VALUE"""),"GES_299")</f>
        <v>GES_299</v>
      </c>
      <c r="B306" s="164" t="str">
        <f>IFERROR(__xludf.DUMMYFUNCTION("""COMPUTED_VALUE"""),"GESTION")</f>
        <v>GESTION</v>
      </c>
      <c r="C306" s="154" t="str">
        <f>IFERROR(__xludf.DUMMYFUNCTION("""COMPUTED_VALUE"""),"TECNICO - ADMNISTRATIVO")</f>
        <v>TECNICO - ADMNISTRATIVO</v>
      </c>
      <c r="D306" s="165" t="str">
        <f>IFERROR(__xludf.DUMMYFUNCTION("""COMPUTED_VALUE"""),"ENFERMERO/A SUPERVISOR/A (COORDINADORA) (11 HRS)")</f>
        <v>ENFERMERO/A SUPERVISOR/A (COORDINADORA) (11 HRS)</v>
      </c>
      <c r="E306" s="169">
        <f>IFERROR(__xludf.DUMMYFUNCTION("""COMPUTED_VALUE"""),11.0)</f>
        <v>11</v>
      </c>
      <c r="F306" s="154" t="str">
        <f>IFERROR(__xludf.DUMMYFUNCTION("""COMPUTED_VALUE"""),"SI")</f>
        <v>SI</v>
      </c>
      <c r="G306" s="155"/>
      <c r="H306" s="168"/>
    </row>
    <row r="307" ht="26.25" customHeight="1">
      <c r="A307" s="166" t="str">
        <f>IFERROR(__xludf.DUMMYFUNCTION("""COMPUTED_VALUE"""),"GES_300")</f>
        <v>GES_300</v>
      </c>
      <c r="B307" s="164" t="str">
        <f>IFERROR(__xludf.DUMMYFUNCTION("""COMPUTED_VALUE"""),"GESTION")</f>
        <v>GESTION</v>
      </c>
      <c r="C307" s="154" t="str">
        <f>IFERROR(__xludf.DUMMYFUNCTION("""COMPUTED_VALUE"""),"TECNICO - ADMNISTRATIVO")</f>
        <v>TECNICO - ADMNISTRATIVO</v>
      </c>
      <c r="D307" s="165" t="str">
        <f>IFERROR(__xludf.DUMMYFUNCTION("""COMPUTED_VALUE"""),"ENFERMERO/A SUPERVISOR/A (COORDINADORA) (22 HRS)")</f>
        <v>ENFERMERO/A SUPERVISOR/A (COORDINADORA) (22 HRS)</v>
      </c>
      <c r="E307" s="169">
        <f>IFERROR(__xludf.DUMMYFUNCTION("""COMPUTED_VALUE"""),22.0)</f>
        <v>22</v>
      </c>
      <c r="F307" s="154" t="str">
        <f>IFERROR(__xludf.DUMMYFUNCTION("""COMPUTED_VALUE"""),"SI")</f>
        <v>SI</v>
      </c>
      <c r="G307" s="155"/>
      <c r="H307" s="168"/>
    </row>
    <row r="308" ht="26.25" customHeight="1">
      <c r="A308" s="166" t="str">
        <f>IFERROR(__xludf.DUMMYFUNCTION("""COMPUTED_VALUE"""),"GES_301")</f>
        <v>GES_301</v>
      </c>
      <c r="B308" s="164" t="str">
        <f>IFERROR(__xludf.DUMMYFUNCTION("""COMPUTED_VALUE"""),"GESTION")</f>
        <v>GESTION</v>
      </c>
      <c r="C308" s="154" t="str">
        <f>IFERROR(__xludf.DUMMYFUNCTION("""COMPUTED_VALUE"""),"TECNICO - ADMNISTRATIVO")</f>
        <v>TECNICO - ADMNISTRATIVO</v>
      </c>
      <c r="D308" s="165" t="str">
        <f>IFERROR(__xludf.DUMMYFUNCTION("""COMPUTED_VALUE"""),"ENFERMERO/A SUPERVISOR/A (COORDINADORA) (33 HRS)")</f>
        <v>ENFERMERO/A SUPERVISOR/A (COORDINADORA) (33 HRS)</v>
      </c>
      <c r="E308" s="169">
        <f>IFERROR(__xludf.DUMMYFUNCTION("""COMPUTED_VALUE"""),33.0)</f>
        <v>33</v>
      </c>
      <c r="F308" s="154" t="str">
        <f>IFERROR(__xludf.DUMMYFUNCTION("""COMPUTED_VALUE"""),"SI")</f>
        <v>SI</v>
      </c>
      <c r="G308" s="155"/>
      <c r="H308" s="168"/>
    </row>
    <row r="309" ht="26.25" customHeight="1">
      <c r="A309" s="166" t="str">
        <f>IFERROR(__xludf.DUMMYFUNCTION("""COMPUTED_VALUE"""),"GES_302")</f>
        <v>GES_302</v>
      </c>
      <c r="B309" s="164" t="str">
        <f>IFERROR(__xludf.DUMMYFUNCTION("""COMPUTED_VALUE"""),"GESTION")</f>
        <v>GESTION</v>
      </c>
      <c r="C309" s="154" t="str">
        <f>IFERROR(__xludf.DUMMYFUNCTION("""COMPUTED_VALUE"""),"TECNICO - ADMNISTRATIVO")</f>
        <v>TECNICO - ADMNISTRATIVO</v>
      </c>
      <c r="D309" s="165" t="str">
        <f>IFERROR(__xludf.DUMMYFUNCTION("""COMPUTED_VALUE"""),"ENFERMERO/A SUPERVISOR/A (COORDINADORA) (44 HRS)")</f>
        <v>ENFERMERO/A SUPERVISOR/A (COORDINADORA) (44 HRS)</v>
      </c>
      <c r="E309" s="169">
        <f>IFERROR(__xludf.DUMMYFUNCTION("""COMPUTED_VALUE"""),44.0)</f>
        <v>44</v>
      </c>
      <c r="F309" s="154" t="str">
        <f>IFERROR(__xludf.DUMMYFUNCTION("""COMPUTED_VALUE"""),"SI")</f>
        <v>SI</v>
      </c>
      <c r="G309" s="155"/>
      <c r="H309" s="168"/>
    </row>
    <row r="310" ht="26.25" customHeight="1">
      <c r="A310" s="166" t="str">
        <f>IFERROR(__xludf.DUMMYFUNCTION("""COMPUTED_VALUE"""),"GES_303")</f>
        <v>GES_303</v>
      </c>
      <c r="B310" s="164" t="str">
        <f>IFERROR(__xludf.DUMMYFUNCTION("""COMPUTED_VALUE"""),"GESTION")</f>
        <v>GESTION</v>
      </c>
      <c r="C310" s="154" t="str">
        <f>IFERROR(__xludf.DUMMYFUNCTION("""COMPUTED_VALUE"""),"TECNICO - ADMNISTRATIVO")</f>
        <v>TECNICO - ADMNISTRATIVO</v>
      </c>
      <c r="D310" s="165" t="str">
        <f>IFERROR(__xludf.DUMMYFUNCTION("""COMPUTED_VALUE"""),"ESTADISTICA MENSUAL (1 DIA)")</f>
        <v>ESTADISTICA MENSUAL (1 DIA)</v>
      </c>
      <c r="E310" s="169">
        <f>IFERROR(__xludf.DUMMYFUNCTION("""COMPUTED_VALUE"""),2.0)</f>
        <v>2</v>
      </c>
      <c r="F310" s="154" t="str">
        <f>IFERROR(__xludf.DUMMYFUNCTION("""COMPUTED_VALUE"""),"SI")</f>
        <v>SI</v>
      </c>
      <c r="G310" s="155"/>
      <c r="H310" s="168"/>
    </row>
    <row r="311" ht="26.25" customHeight="1">
      <c r="A311" s="166" t="str">
        <f>IFERROR(__xludf.DUMMYFUNCTION("""COMPUTED_VALUE"""),"GES_304")</f>
        <v>GES_304</v>
      </c>
      <c r="B311" s="164" t="str">
        <f>IFERROR(__xludf.DUMMYFUNCTION("""COMPUTED_VALUE"""),"GESTION")</f>
        <v>GESTION</v>
      </c>
      <c r="C311" s="154" t="str">
        <f>IFERROR(__xludf.DUMMYFUNCTION("""COMPUTED_VALUE"""),"TECNICO - ADMNISTRATIVO")</f>
        <v>TECNICO - ADMNISTRATIVO</v>
      </c>
      <c r="D311" s="165" t="str">
        <f>IFERROR(__xludf.DUMMYFUNCTION("""COMPUTED_VALUE"""),"ESTADISTICA TRIMESTRAL (2 DIAS)")</f>
        <v>ESTADISTICA TRIMESTRAL (2 DIAS)</v>
      </c>
      <c r="E311" s="169">
        <f>IFERROR(__xludf.DUMMYFUNCTION("""COMPUTED_VALUE"""),1.25)</f>
        <v>1.25</v>
      </c>
      <c r="F311" s="154" t="str">
        <f>IFERROR(__xludf.DUMMYFUNCTION("""COMPUTED_VALUE"""),"SI")</f>
        <v>SI</v>
      </c>
      <c r="G311" s="155"/>
      <c r="H311" s="168"/>
    </row>
    <row r="312" ht="26.25" customHeight="1">
      <c r="A312" s="166" t="str">
        <f>IFERROR(__xludf.DUMMYFUNCTION("""COMPUTED_VALUE"""),"GES_305")</f>
        <v>GES_305</v>
      </c>
      <c r="B312" s="164" t="str">
        <f>IFERROR(__xludf.DUMMYFUNCTION("""COMPUTED_VALUE"""),"GESTION")</f>
        <v>GESTION</v>
      </c>
      <c r="C312" s="154" t="str">
        <f>IFERROR(__xludf.DUMMYFUNCTION("""COMPUTED_VALUE"""),"TECNICO - ADMNISTRATIVO")</f>
        <v>TECNICO - ADMNISTRATIVO</v>
      </c>
      <c r="D312" s="165" t="str">
        <f>IFERROR(__xludf.DUMMYFUNCTION("""COMPUTED_VALUE"""),"GESTION DE LA DEMANDA")</f>
        <v>GESTION DE LA DEMANDA</v>
      </c>
      <c r="E312" s="169">
        <f>IFERROR(__xludf.DUMMYFUNCTION("""COMPUTED_VALUE"""),44.0)</f>
        <v>44</v>
      </c>
      <c r="F312" s="154" t="str">
        <f>IFERROR(__xludf.DUMMYFUNCTION("""COMPUTED_VALUE"""),"SI")</f>
        <v>SI</v>
      </c>
      <c r="G312" s="155"/>
      <c r="H312" s="168"/>
    </row>
    <row r="313" ht="26.25" customHeight="1">
      <c r="A313" s="166" t="str">
        <f>IFERROR(__xludf.DUMMYFUNCTION("""COMPUTED_VALUE"""),"GES_306")</f>
        <v>GES_306</v>
      </c>
      <c r="B313" s="164" t="str">
        <f>IFERROR(__xludf.DUMMYFUNCTION("""COMPUTED_VALUE"""),"GESTION")</f>
        <v>GESTION</v>
      </c>
      <c r="C313" s="154" t="str">
        <f>IFERROR(__xludf.DUMMYFUNCTION("""COMPUTED_VALUE"""),"TECNICO - ADMNISTRATIVO")</f>
        <v>TECNICO - ADMNISTRATIVO</v>
      </c>
      <c r="D313" s="165" t="str">
        <f>IFERROR(__xludf.DUMMYFUNCTION("""COMPUTED_VALUE"""),"SUBDIRECCION (22 HORAS)")</f>
        <v>SUBDIRECCION (22 HORAS)</v>
      </c>
      <c r="E313" s="169">
        <f>IFERROR(__xludf.DUMMYFUNCTION("""COMPUTED_VALUE"""),22.0)</f>
        <v>22</v>
      </c>
      <c r="F313" s="154" t="str">
        <f>IFERROR(__xludf.DUMMYFUNCTION("""COMPUTED_VALUE"""),"SI")</f>
        <v>SI</v>
      </c>
      <c r="G313" s="155"/>
      <c r="H313" s="168"/>
    </row>
    <row r="314" ht="26.25" customHeight="1">
      <c r="A314" s="166" t="str">
        <f>IFERROR(__xludf.DUMMYFUNCTION("""COMPUTED_VALUE"""),"GES_307")</f>
        <v>GES_307</v>
      </c>
      <c r="B314" s="164" t="str">
        <f>IFERROR(__xludf.DUMMYFUNCTION("""COMPUTED_VALUE"""),"GESTION")</f>
        <v>GESTION</v>
      </c>
      <c r="C314" s="154" t="str">
        <f>IFERROR(__xludf.DUMMYFUNCTION("""COMPUTED_VALUE"""),"TECNICO - ADMNISTRATIVO")</f>
        <v>TECNICO - ADMNISTRATIVO</v>
      </c>
      <c r="D314" s="165" t="str">
        <f>IFERROR(__xludf.DUMMYFUNCTION("""COMPUTED_VALUE"""),"SUBDIRECCION (44 HORAS)")</f>
        <v>SUBDIRECCION (44 HORAS)</v>
      </c>
      <c r="E314" s="169">
        <f>IFERROR(__xludf.DUMMYFUNCTION("""COMPUTED_VALUE"""),44.0)</f>
        <v>44</v>
      </c>
      <c r="F314" s="154" t="str">
        <f>IFERROR(__xludf.DUMMYFUNCTION("""COMPUTED_VALUE"""),"SI")</f>
        <v>SI</v>
      </c>
      <c r="G314" s="155"/>
      <c r="H314" s="168"/>
    </row>
    <row r="315" ht="26.25" customHeight="1">
      <c r="A315" s="166" t="str">
        <f>IFERROR(__xludf.DUMMYFUNCTION("""COMPUTED_VALUE"""),"GES_311")</f>
        <v>GES_311</v>
      </c>
      <c r="B315" s="164" t="str">
        <f>IFERROR(__xludf.DUMMYFUNCTION("""COMPUTED_VALUE"""),"GESTION")</f>
        <v>GESTION</v>
      </c>
      <c r="C315" s="154" t="str">
        <f>IFERROR(__xludf.DUMMYFUNCTION("""COMPUTED_VALUE"""),"TECNICO - ADMNISTRATIVO")</f>
        <v>TECNICO - ADMNISTRATIVO</v>
      </c>
      <c r="D315" s="165" t="str">
        <f>IFERROR(__xludf.DUMMYFUNCTION("""COMPUTED_VALUE"""),"ESTADISTICA TRIMESTRAL (16 HRS × 4 VECES)")</f>
        <v>ESTADISTICA TRIMESTRAL (16 HRS × 4 VECES)</v>
      </c>
      <c r="E315" s="169">
        <f>IFERROR(__xludf.DUMMYFUNCTION("""COMPUTED_VALUE"""),1.25)</f>
        <v>1.25</v>
      </c>
      <c r="F315" s="154" t="str">
        <f>IFERROR(__xludf.DUMMYFUNCTION("""COMPUTED_VALUE"""),"SI")</f>
        <v>SI</v>
      </c>
      <c r="G315" s="155"/>
      <c r="H315" s="168"/>
    </row>
    <row r="316" ht="26.25" customHeight="1">
      <c r="A316" s="166" t="str">
        <f>IFERROR(__xludf.DUMMYFUNCTION("""COMPUTED_VALUE"""),"GES_312")</f>
        <v>GES_312</v>
      </c>
      <c r="B316" s="164" t="str">
        <f>IFERROR(__xludf.DUMMYFUNCTION("""COMPUTED_VALUE"""),"GESTION")</f>
        <v>GESTION</v>
      </c>
      <c r="C316" s="154" t="str">
        <f>IFERROR(__xludf.DUMMYFUNCTION("""COMPUTED_VALUE"""),"TECNICO - ADMNISTRATIVO")</f>
        <v>TECNICO - ADMNISTRATIVO</v>
      </c>
      <c r="D316" s="165" t="str">
        <f>IFERROR(__xludf.DUMMYFUNCTION("""COMPUTED_VALUE"""),"ESTADISTICA TRIMESTRAL (8 HRS × 4 VECES)")</f>
        <v>ESTADISTICA TRIMESTRAL (8 HRS × 4 VECES)</v>
      </c>
      <c r="E316" s="169">
        <f>IFERROR(__xludf.DUMMYFUNCTION("""COMPUTED_VALUE"""),0.65)</f>
        <v>0.65</v>
      </c>
      <c r="F316" s="154" t="str">
        <f>IFERROR(__xludf.DUMMYFUNCTION("""COMPUTED_VALUE"""),"SI")</f>
        <v>SI</v>
      </c>
      <c r="G316" s="155"/>
      <c r="H316" s="168"/>
    </row>
    <row r="317" ht="26.25" customHeight="1">
      <c r="A317" s="166" t="str">
        <f>IFERROR(__xludf.DUMMYFUNCTION("""COMPUTED_VALUE"""),"GES_313")</f>
        <v>GES_313</v>
      </c>
      <c r="B317" s="164" t="str">
        <f>IFERROR(__xludf.DUMMYFUNCTION("""COMPUTED_VALUE"""),"GESTION")</f>
        <v>GESTION</v>
      </c>
      <c r="C317" s="154" t="str">
        <f>IFERROR(__xludf.DUMMYFUNCTION("""COMPUTED_VALUE"""),"TECNICO - ADMNISTRATIVO")</f>
        <v>TECNICO - ADMNISTRATIVO</v>
      </c>
      <c r="D317" s="165" t="str">
        <f>IFERROR(__xludf.DUMMYFUNCTION("""COMPUTED_VALUE"""),"ESTADISTICA TRIMESTRAL (4 HRS × 4 VECES)")</f>
        <v>ESTADISTICA TRIMESTRAL (4 HRS × 4 VECES)</v>
      </c>
      <c r="E317" s="169">
        <f>IFERROR(__xludf.DUMMYFUNCTION("""COMPUTED_VALUE"""),0.35)</f>
        <v>0.35</v>
      </c>
      <c r="F317" s="154" t="str">
        <f>IFERROR(__xludf.DUMMYFUNCTION("""COMPUTED_VALUE"""),"SI")</f>
        <v>SI</v>
      </c>
      <c r="G317" s="155"/>
      <c r="H317" s="168"/>
    </row>
    <row r="318" ht="26.25" customHeight="1">
      <c r="A318" s="166" t="str">
        <f>IFERROR(__xludf.DUMMYFUNCTION("""COMPUTED_VALUE"""),"GES_314")</f>
        <v>GES_314</v>
      </c>
      <c r="B318" s="164" t="str">
        <f>IFERROR(__xludf.DUMMYFUNCTION("""COMPUTED_VALUE"""),"GESTION")</f>
        <v>GESTION</v>
      </c>
      <c r="C318" s="154" t="str">
        <f>IFERROR(__xludf.DUMMYFUNCTION("""COMPUTED_VALUE"""),"TECNICO - ADMNISTRATIVO")</f>
        <v>TECNICO - ADMNISTRATIVO</v>
      </c>
      <c r="D318" s="165" t="str">
        <f>IFERROR(__xludf.DUMMYFUNCTION("""COMPUTED_VALUE"""),"ESTADISTICA MENSUAL AJUSTADA (8 HRS × 8 VECES)")</f>
        <v>ESTADISTICA MENSUAL AJUSTADA (8 HRS × 8 VECES)</v>
      </c>
      <c r="E318" s="169">
        <f>IFERROR(__xludf.DUMMYFUNCTION("""COMPUTED_VALUE"""),1.25)</f>
        <v>1.25</v>
      </c>
      <c r="F318" s="154" t="str">
        <f>IFERROR(__xludf.DUMMYFUNCTION("""COMPUTED_VALUE"""),"SI")</f>
        <v>SI</v>
      </c>
      <c r="G318" s="155"/>
      <c r="H318" s="168"/>
    </row>
    <row r="319" ht="26.25" customHeight="1">
      <c r="A319" s="166" t="str">
        <f>IFERROR(__xludf.DUMMYFUNCTION("""COMPUTED_VALUE"""),"GES_315")</f>
        <v>GES_315</v>
      </c>
      <c r="B319" s="164" t="str">
        <f>IFERROR(__xludf.DUMMYFUNCTION("""COMPUTED_VALUE"""),"GESTION")</f>
        <v>GESTION</v>
      </c>
      <c r="C319" s="154" t="str">
        <f>IFERROR(__xludf.DUMMYFUNCTION("""COMPUTED_VALUE"""),"TECNICO - ADMNISTRATIVO")</f>
        <v>TECNICO - ADMNISTRATIVO</v>
      </c>
      <c r="D319" s="165" t="str">
        <f>IFERROR(__xludf.DUMMYFUNCTION("""COMPUTED_VALUE"""),"ESTADISTICA MENSUAL AJUSTADA (4 HRS × 8 VECES)")</f>
        <v>ESTADISTICA MENSUAL AJUSTADA (4 HRS × 8 VECES)</v>
      </c>
      <c r="E319" s="169">
        <f>IFERROR(__xludf.DUMMYFUNCTION("""COMPUTED_VALUE"""),0.6)</f>
        <v>0.6</v>
      </c>
      <c r="F319" s="154" t="str">
        <f>IFERROR(__xludf.DUMMYFUNCTION("""COMPUTED_VALUE"""),"SI")</f>
        <v>SI</v>
      </c>
      <c r="G319" s="155"/>
      <c r="H319" s="168"/>
    </row>
    <row r="320" ht="26.25" customHeight="1">
      <c r="A320" s="166" t="str">
        <f>IFERROR(__xludf.DUMMYFUNCTION("""COMPUTED_VALUE"""),"GES_316")</f>
        <v>GES_316</v>
      </c>
      <c r="B320" s="164" t="str">
        <f>IFERROR(__xludf.DUMMYFUNCTION("""COMPUTED_VALUE"""),"GESTION")</f>
        <v>GESTION</v>
      </c>
      <c r="C320" s="154" t="str">
        <f>IFERROR(__xludf.DUMMYFUNCTION("""COMPUTED_VALUE"""),"TECNICO - ADMNISTRATIVO")</f>
        <v>TECNICO - ADMNISTRATIVO</v>
      </c>
      <c r="D320" s="165" t="str">
        <f>IFERROR(__xludf.DUMMYFUNCTION("""COMPUTED_VALUE"""),"ESTADISTICA MENSUAL AJUSTADA (3 HRS × 8 VECES)")</f>
        <v>ESTADISTICA MENSUAL AJUSTADA (3 HRS × 8 VECES)</v>
      </c>
      <c r="E320" s="169">
        <f>IFERROR(__xludf.DUMMYFUNCTION("""COMPUTED_VALUE"""),0.45)</f>
        <v>0.45</v>
      </c>
      <c r="F320" s="154" t="str">
        <f>IFERROR(__xludf.DUMMYFUNCTION("""COMPUTED_VALUE"""),"SI")</f>
        <v>SI</v>
      </c>
      <c r="G320" s="155"/>
      <c r="H320" s="168"/>
    </row>
    <row r="321" ht="26.25" customHeight="1">
      <c r="A321" s="166" t="str">
        <f>IFERROR(__xludf.DUMMYFUNCTION("""COMPUTED_VALUE"""),"GES_317")</f>
        <v>GES_317</v>
      </c>
      <c r="B321" s="164" t="str">
        <f>IFERROR(__xludf.DUMMYFUNCTION("""COMPUTED_VALUE"""),"GESTION")</f>
        <v>GESTION</v>
      </c>
      <c r="C321" s="154" t="str">
        <f>IFERROR(__xludf.DUMMYFUNCTION("""COMPUTED_VALUE"""),"TECNICO - ADMNISTRATIVO")</f>
        <v>TECNICO - ADMNISTRATIVO</v>
      </c>
      <c r="D321" s="165" t="str">
        <f>IFERROR(__xludf.DUMMYFUNCTION("""COMPUTED_VALUE"""),"ESTADISTICA MENSUAL AJUSTADA (2 HRS × 8 VECES)")</f>
        <v>ESTADISTICA MENSUAL AJUSTADA (2 HRS × 8 VECES)</v>
      </c>
      <c r="E321" s="169">
        <f>IFERROR(__xludf.DUMMYFUNCTION("""COMPUTED_VALUE"""),0.3)</f>
        <v>0.3</v>
      </c>
      <c r="F321" s="154" t="str">
        <f>IFERROR(__xludf.DUMMYFUNCTION("""COMPUTED_VALUE"""),"SI")</f>
        <v>SI</v>
      </c>
      <c r="G321" s="155"/>
      <c r="H321" s="168"/>
    </row>
    <row r="322" ht="26.25" customHeight="1">
      <c r="A322" s="166" t="str">
        <f>IFERROR(__xludf.DUMMYFUNCTION("""COMPUTED_VALUE"""),"GES_318")</f>
        <v>GES_318</v>
      </c>
      <c r="B322" s="164" t="str">
        <f>IFERROR(__xludf.DUMMYFUNCTION("""COMPUTED_VALUE"""),"GESTION")</f>
        <v>GESTION</v>
      </c>
      <c r="C322" s="154" t="str">
        <f>IFERROR(__xludf.DUMMYFUNCTION("""COMPUTED_VALUE"""),"TECNICO - ADMNISTRATIVO")</f>
        <v>TECNICO - ADMNISTRATIVO</v>
      </c>
      <c r="D322" s="165" t="str">
        <f>IFERROR(__xludf.DUMMYFUNCTION("""COMPUTED_VALUE"""),"ESTADISTICA MENSUAL AJUSTADA (1 HR × 8 VECES)")</f>
        <v>ESTADISTICA MENSUAL AJUSTADA (1 HR × 8 VECES)</v>
      </c>
      <c r="E322" s="169">
        <f>IFERROR(__xludf.DUMMYFUNCTION("""COMPUTED_VALUE"""),0.15)</f>
        <v>0.15</v>
      </c>
      <c r="F322" s="154" t="str">
        <f>IFERROR(__xludf.DUMMYFUNCTION("""COMPUTED_VALUE"""),"SI")</f>
        <v>SI</v>
      </c>
      <c r="G322" s="155"/>
      <c r="H322" s="168"/>
    </row>
    <row r="323" ht="26.25" customHeight="1">
      <c r="A323" s="166" t="str">
        <f>IFERROR(__xludf.DUMMYFUNCTION("""COMPUTED_VALUE"""),"GES_319")</f>
        <v>GES_319</v>
      </c>
      <c r="B323" s="164" t="str">
        <f>IFERROR(__xludf.DUMMYFUNCTION("""COMPUTED_VALUE"""),"GESTION")</f>
        <v>GESTION</v>
      </c>
      <c r="C323" s="154" t="str">
        <f>IFERROR(__xludf.DUMMYFUNCTION("""COMPUTED_VALUE"""),"TECNICO - ADMNISTRATIVO")</f>
        <v>TECNICO - ADMNISTRATIVO</v>
      </c>
      <c r="D323" s="165" t="str">
        <f>IFERROR(__xludf.DUMMYFUNCTION("""COMPUTED_VALUE"""),"ESTADISTICA MENSUAL COMPLETA (8 HRS × 12 VECES)")</f>
        <v>ESTADISTICA MENSUAL COMPLETA (8 HRS × 12 VECES)</v>
      </c>
      <c r="E323" s="169">
        <f>IFERROR(__xludf.DUMMYFUNCTION("""COMPUTED_VALUE"""),1.85)</f>
        <v>1.85</v>
      </c>
      <c r="F323" s="154" t="str">
        <f>IFERROR(__xludf.DUMMYFUNCTION("""COMPUTED_VALUE"""),"SI")</f>
        <v>SI</v>
      </c>
      <c r="G323" s="155"/>
      <c r="H323" s="168"/>
    </row>
    <row r="324" ht="26.25" customHeight="1">
      <c r="A324" s="166" t="str">
        <f>IFERROR(__xludf.DUMMYFUNCTION("""COMPUTED_VALUE"""),"GES_320")</f>
        <v>GES_320</v>
      </c>
      <c r="B324" s="164" t="str">
        <f>IFERROR(__xludf.DUMMYFUNCTION("""COMPUTED_VALUE"""),"GESTION")</f>
        <v>GESTION</v>
      </c>
      <c r="C324" s="154" t="str">
        <f>IFERROR(__xludf.DUMMYFUNCTION("""COMPUTED_VALUE"""),"TECNICO - ADMNISTRATIVO")</f>
        <v>TECNICO - ADMNISTRATIVO</v>
      </c>
      <c r="D324" s="165" t="str">
        <f>IFERROR(__xludf.DUMMYFUNCTION("""COMPUTED_VALUE"""),"ESTADISTICA MENSUAL COMPLETA (4 HRS × 12 VECES)")</f>
        <v>ESTADISTICA MENSUAL COMPLETA (4 HRS × 12 VECES)</v>
      </c>
      <c r="E324" s="169">
        <f>IFERROR(__xludf.DUMMYFUNCTION("""COMPUTED_VALUE"""),0.9)</f>
        <v>0.9</v>
      </c>
      <c r="F324" s="154" t="str">
        <f>IFERROR(__xludf.DUMMYFUNCTION("""COMPUTED_VALUE"""),"SI")</f>
        <v>SI</v>
      </c>
      <c r="G324" s="155"/>
      <c r="H324" s="168"/>
    </row>
    <row r="325" ht="26.25" customHeight="1">
      <c r="A325" s="166" t="str">
        <f>IFERROR(__xludf.DUMMYFUNCTION("""COMPUTED_VALUE"""),"GES_321")</f>
        <v>GES_321</v>
      </c>
      <c r="B325" s="164" t="str">
        <f>IFERROR(__xludf.DUMMYFUNCTION("""COMPUTED_VALUE"""),"GESTION")</f>
        <v>GESTION</v>
      </c>
      <c r="C325" s="154" t="str">
        <f>IFERROR(__xludf.DUMMYFUNCTION("""COMPUTED_VALUE"""),"TECNICO - ADMNISTRATIVO")</f>
        <v>TECNICO - ADMNISTRATIVO</v>
      </c>
      <c r="D325" s="165" t="str">
        <f>IFERROR(__xludf.DUMMYFUNCTION("""COMPUTED_VALUE"""),"ESTADISTICA MENSUAL COMPLETA (3 HRS × 12 VECES)")</f>
        <v>ESTADISTICA MENSUAL COMPLETA (3 HRS × 12 VECES)</v>
      </c>
      <c r="E325" s="169">
        <f>IFERROR(__xludf.DUMMYFUNCTION("""COMPUTED_VALUE"""),0.7)</f>
        <v>0.7</v>
      </c>
      <c r="F325" s="154" t="str">
        <f>IFERROR(__xludf.DUMMYFUNCTION("""COMPUTED_VALUE"""),"SI")</f>
        <v>SI</v>
      </c>
      <c r="G325" s="155"/>
      <c r="H325" s="168"/>
    </row>
    <row r="326" ht="26.25" customHeight="1">
      <c r="A326" s="166" t="str">
        <f>IFERROR(__xludf.DUMMYFUNCTION("""COMPUTED_VALUE"""),"GES_322")</f>
        <v>GES_322</v>
      </c>
      <c r="B326" s="164" t="str">
        <f>IFERROR(__xludf.DUMMYFUNCTION("""COMPUTED_VALUE"""),"GESTION")</f>
        <v>GESTION</v>
      </c>
      <c r="C326" s="154" t="str">
        <f>IFERROR(__xludf.DUMMYFUNCTION("""COMPUTED_VALUE"""),"TECNICO - ADMNISTRATIVO")</f>
        <v>TECNICO - ADMNISTRATIVO</v>
      </c>
      <c r="D326" s="165" t="str">
        <f>IFERROR(__xludf.DUMMYFUNCTION("""COMPUTED_VALUE"""),"ESTADISTICA MENSUAL COMPLETA (2 HRS × 12 VECES)")</f>
        <v>ESTADISTICA MENSUAL COMPLETA (2 HRS × 12 VECES)</v>
      </c>
      <c r="E326" s="169">
        <f>IFERROR(__xludf.DUMMYFUNCTION("""COMPUTED_VALUE"""),0.45)</f>
        <v>0.45</v>
      </c>
      <c r="F326" s="154" t="str">
        <f>IFERROR(__xludf.DUMMYFUNCTION("""COMPUTED_VALUE"""),"SI")</f>
        <v>SI</v>
      </c>
      <c r="G326" s="155"/>
      <c r="H326" s="168"/>
    </row>
    <row r="327" ht="26.25" customHeight="1">
      <c r="A327" s="166" t="str">
        <f>IFERROR(__xludf.DUMMYFUNCTION("""COMPUTED_VALUE"""),"GES_323")</f>
        <v>GES_323</v>
      </c>
      <c r="B327" s="164" t="str">
        <f>IFERROR(__xludf.DUMMYFUNCTION("""COMPUTED_VALUE"""),"GESTION")</f>
        <v>GESTION</v>
      </c>
      <c r="C327" s="154" t="str">
        <f>IFERROR(__xludf.DUMMYFUNCTION("""COMPUTED_VALUE"""),"TECNICO - ADMNISTRATIVO")</f>
        <v>TECNICO - ADMNISTRATIVO</v>
      </c>
      <c r="D327" s="165" t="str">
        <f>IFERROR(__xludf.DUMMYFUNCTION("""COMPUTED_VALUE"""),"ESTADISTICA MENSUAL COMPLETA (1 HR × 12 VECES)")</f>
        <v>ESTADISTICA MENSUAL COMPLETA (1 HR × 12 VECES)</v>
      </c>
      <c r="E327" s="169">
        <f>IFERROR(__xludf.DUMMYFUNCTION("""COMPUTED_VALUE"""),0.25)</f>
        <v>0.25</v>
      </c>
      <c r="F327" s="154" t="str">
        <f>IFERROR(__xludf.DUMMYFUNCTION("""COMPUTED_VALUE"""),"SI")</f>
        <v>SI</v>
      </c>
      <c r="G327" s="155"/>
      <c r="H327" s="168"/>
    </row>
    <row r="328" ht="26.25" customHeight="1">
      <c r="A328" s="166" t="str">
        <f>IFERROR(__xludf.DUMMYFUNCTION("""COMPUTED_VALUE"""),"GES_261")</f>
        <v>GES_261</v>
      </c>
      <c r="B328" s="164" t="str">
        <f>IFERROR(__xludf.DUMMYFUNCTION("""COMPUTED_VALUE"""),"GESTION")</f>
        <v>GESTION</v>
      </c>
      <c r="C328" s="154" t="str">
        <f>IFERROR(__xludf.DUMMYFUNCTION("""COMPUTED_VALUE"""),"TECNICO - ADMNISTRATIVO")</f>
        <v>TECNICO - ADMNISTRATIVO</v>
      </c>
      <c r="D328" s="165" t="str">
        <f>IFERROR(__xludf.DUMMYFUNCTION("""COMPUTED_VALUE"""),"CENSO MENSUAL (4 HORAS)")</f>
        <v>CENSO MENSUAL (4 HORAS)</v>
      </c>
      <c r="E328" s="169">
        <f>IFERROR(__xludf.DUMMYFUNCTION("""COMPUTED_VALUE"""),1.0)</f>
        <v>1</v>
      </c>
      <c r="F328" s="154" t="str">
        <f>IFERROR(__xludf.DUMMYFUNCTION("""COMPUTED_VALUE"""),"SI")</f>
        <v>SI</v>
      </c>
      <c r="G328" s="155"/>
      <c r="H328" s="168"/>
    </row>
    <row r="329" ht="26.25" customHeight="1">
      <c r="A329" s="166" t="str">
        <f>IFERROR(__xludf.DUMMYFUNCTION("""COMPUTED_VALUE"""),"GES_261")</f>
        <v>GES_261</v>
      </c>
      <c r="B329" s="164" t="str">
        <f>IFERROR(__xludf.DUMMYFUNCTION("""COMPUTED_VALUE"""),"GESTION")</f>
        <v>GESTION</v>
      </c>
      <c r="C329" s="154" t="str">
        <f>IFERROR(__xludf.DUMMYFUNCTION("""COMPUTED_VALUE"""),"TECNICO - ADMNISTRATIVO")</f>
        <v>TECNICO - ADMNISTRATIVO</v>
      </c>
      <c r="D329" s="165" t="str">
        <f>IFERROR(__xludf.DUMMYFUNCTION("""COMPUTED_VALUE"""),"CENSO MENSUAL  (12 HORAS)")</f>
        <v>CENSO MENSUAL  (12 HORAS)</v>
      </c>
      <c r="E329" s="169">
        <f>IFERROR(__xludf.DUMMYFUNCTION("""COMPUTED_VALUE"""),3.0)</f>
        <v>3</v>
      </c>
      <c r="F329" s="154" t="str">
        <f>IFERROR(__xludf.DUMMYFUNCTION("""COMPUTED_VALUE"""),"SI")</f>
        <v>SI</v>
      </c>
      <c r="G329" s="155"/>
      <c r="H329" s="168"/>
    </row>
    <row r="330" ht="26.25" customHeight="1">
      <c r="A330" s="166" t="str">
        <f>IFERROR(__xludf.DUMMYFUNCTION("""COMPUTED_VALUE"""),"GES_261")</f>
        <v>GES_261</v>
      </c>
      <c r="B330" s="164" t="str">
        <f>IFERROR(__xludf.DUMMYFUNCTION("""COMPUTED_VALUE"""),"GESTION")</f>
        <v>GESTION</v>
      </c>
      <c r="C330" s="154" t="str">
        <f>IFERROR(__xludf.DUMMYFUNCTION("""COMPUTED_VALUE"""),"TECNICO - ADMNISTRATIVO")</f>
        <v>TECNICO - ADMNISTRATIVO</v>
      </c>
      <c r="D330" s="165" t="str">
        <f>IFERROR(__xludf.DUMMYFUNCTION("""COMPUTED_VALUE"""),"CENSO MENSUAL ( 3 HORAS)")</f>
        <v>CENSO MENSUAL ( 3 HORAS)</v>
      </c>
      <c r="E330" s="169">
        <f>IFERROR(__xludf.DUMMYFUNCTION("""COMPUTED_VALUE"""),0.75)</f>
        <v>0.75</v>
      </c>
      <c r="F330" s="154" t="str">
        <f>IFERROR(__xludf.DUMMYFUNCTION("""COMPUTED_VALUE"""),"SI")</f>
        <v>SI</v>
      </c>
      <c r="G330" s="155"/>
      <c r="H330" s="168"/>
    </row>
    <row r="331" ht="26.25" customHeight="1">
      <c r="A331" s="166" t="str">
        <f>IFERROR(__xludf.DUMMYFUNCTION("""COMPUTED_VALUE"""),"GES_265")</f>
        <v>GES_265</v>
      </c>
      <c r="B331" s="164" t="str">
        <f>IFERROR(__xludf.DUMMYFUNCTION("""COMPUTED_VALUE"""),"GESTION")</f>
        <v>GESTION</v>
      </c>
      <c r="C331" s="154" t="str">
        <f>IFERROR(__xludf.DUMMYFUNCTION("""COMPUTED_VALUE"""),"TECNICO - ADMNISTRATIVO")</f>
        <v>TECNICO - ADMNISTRATIVO</v>
      </c>
      <c r="D331" s="165" t="str">
        <f>IFERROR(__xludf.DUMMYFUNCTION("""COMPUTED_VALUE"""),"DOCENTE ASISTENCIAL (15 M)")</f>
        <v>DOCENTE ASISTENCIAL (15 M)</v>
      </c>
      <c r="E331" s="169">
        <f>IFERROR(__xludf.DUMMYFUNCTION("""COMPUTED_VALUE"""),0.25)</f>
        <v>0.25</v>
      </c>
      <c r="F331" s="154" t="str">
        <f>IFERROR(__xludf.DUMMYFUNCTION("""COMPUTED_VALUE"""),"SI")</f>
        <v>SI</v>
      </c>
      <c r="G331" s="155"/>
      <c r="H331" s="168"/>
    </row>
    <row r="332" ht="26.25" customHeight="1">
      <c r="A332" s="166" t="str">
        <f>IFERROR(__xludf.DUMMYFUNCTION("""COMPUTED_VALUE"""),"DER_025")</f>
        <v>DER_025</v>
      </c>
      <c r="B332" s="164" t="str">
        <f>IFERROR(__xludf.DUMMYFUNCTION("""COMPUTED_VALUE"""),"DERECHO FUNCIONARIO")</f>
        <v>DERECHO FUNCIONARIO</v>
      </c>
      <c r="C332" s="154" t="str">
        <f>IFERROR(__xludf.DUMMYFUNCTION("""COMPUTED_VALUE"""),"TRASLADO")</f>
        <v>TRASLADO</v>
      </c>
      <c r="D332" s="165" t="str">
        <f>IFERROR(__xludf.DUMMYFUNCTION("""COMPUTED_VALUE"""),"TRASLADO (TELETRABAJO) = 30 MIN/SEMANA")</f>
        <v>TRASLADO (TELETRABAJO) = 30 MIN/SEMANA</v>
      </c>
      <c r="E332" s="167">
        <f>IFERROR(__xludf.DUMMYFUNCTION("""COMPUTED_VALUE"""),0.5)</f>
        <v>0.5</v>
      </c>
      <c r="F332" s="154" t="str">
        <f>IFERROR(__xludf.DUMMYFUNCTION("""COMPUTED_VALUE"""),"SI")</f>
        <v>SI</v>
      </c>
      <c r="G332" s="155"/>
      <c r="H332" s="168"/>
    </row>
    <row r="333" ht="26.25" customHeight="1">
      <c r="A333" s="166" t="str">
        <f>IFERROR(__xludf.DUMMYFUNCTION("""COMPUTED_VALUE"""),"DER_026")</f>
        <v>DER_026</v>
      </c>
      <c r="B333" s="164" t="str">
        <f>IFERROR(__xludf.DUMMYFUNCTION("""COMPUTED_VALUE"""),"DERECHO FUNCIONARIO")</f>
        <v>DERECHO FUNCIONARIO</v>
      </c>
      <c r="C333" s="154" t="str">
        <f>IFERROR(__xludf.DUMMYFUNCTION("""COMPUTED_VALUE"""),"TRASLADO")</f>
        <v>TRASLADO</v>
      </c>
      <c r="D333" s="165" t="str">
        <f>IFERROR(__xludf.DUMMYFUNCTION("""COMPUTED_VALUE"""),"TRASLADO (TELETRABAJO) = 4 DIAS/SEMANA")</f>
        <v>TRASLADO (TELETRABAJO) = 4 DIAS/SEMANA</v>
      </c>
      <c r="E333" s="167">
        <f>IFERROR(__xludf.DUMMYFUNCTION("""COMPUTED_VALUE"""),2.0)</f>
        <v>2</v>
      </c>
      <c r="F333" s="154" t="str">
        <f>IFERROR(__xludf.DUMMYFUNCTION("""COMPUTED_VALUE"""),"SI")</f>
        <v>SI</v>
      </c>
      <c r="G333" s="155"/>
      <c r="H333" s="168"/>
    </row>
    <row r="334" ht="26.25" customHeight="1">
      <c r="A334" s="166" t="str">
        <f>IFERROR(__xludf.DUMMYFUNCTION("""COMPUTED_VALUE"""),"DER_027")</f>
        <v>DER_027</v>
      </c>
      <c r="B334" s="164" t="str">
        <f>IFERROR(__xludf.DUMMYFUNCTION("""COMPUTED_VALUE"""),"DERECHO FUNCIONARIO")</f>
        <v>DERECHO FUNCIONARIO</v>
      </c>
      <c r="C334" s="154" t="str">
        <f>IFERROR(__xludf.DUMMYFUNCTION("""COMPUTED_VALUE"""),"TRASLADO")</f>
        <v>TRASLADO</v>
      </c>
      <c r="D334" s="165" t="str">
        <f>IFERROR(__xludf.DUMMYFUNCTION("""COMPUTED_VALUE"""),"TRASLADO (TELETRABAJO) = 60 MIN/SEMANA")</f>
        <v>TRASLADO (TELETRABAJO) = 60 MIN/SEMANA</v>
      </c>
      <c r="E334" s="167">
        <f>IFERROR(__xludf.DUMMYFUNCTION("""COMPUTED_VALUE"""),1.0)</f>
        <v>1</v>
      </c>
      <c r="F334" s="154" t="str">
        <f>IFERROR(__xludf.DUMMYFUNCTION("""COMPUTED_VALUE"""),"SI")</f>
        <v>SI</v>
      </c>
      <c r="G334" s="155"/>
      <c r="H334" s="168"/>
    </row>
    <row r="335" ht="26.25" customHeight="1">
      <c r="A335" s="166" t="str">
        <f>IFERROR(__xludf.DUMMYFUNCTION("""COMPUTED_VALUE"""),"DER_031")</f>
        <v>DER_031</v>
      </c>
      <c r="B335" s="164" t="str">
        <f>IFERROR(__xludf.DUMMYFUNCTION("""COMPUTED_VALUE"""),"DERECHO FUNCIONARIO")</f>
        <v>DERECHO FUNCIONARIO</v>
      </c>
      <c r="C335" s="154" t="str">
        <f>IFERROR(__xludf.DUMMYFUNCTION("""COMPUTED_VALUE"""),"TRASLADO")</f>
        <v>TRASLADO</v>
      </c>
      <c r="D335" s="165" t="str">
        <f>IFERROR(__xludf.DUMMYFUNCTION("""COMPUTED_VALUE"""),"TRASLADO entre CESFAM = 4 DIAS/SEMANA")</f>
        <v>TRASLADO entre CESFAM = 4 DIAS/SEMANA</v>
      </c>
      <c r="E335" s="167">
        <f>IFERROR(__xludf.DUMMYFUNCTION("""COMPUTED_VALUE"""),2.0)</f>
        <v>2</v>
      </c>
      <c r="F335" s="154" t="str">
        <f>IFERROR(__xludf.DUMMYFUNCTION("""COMPUTED_VALUE"""),"SI")</f>
        <v>SI</v>
      </c>
      <c r="G335" s="155"/>
      <c r="H335" s="168"/>
    </row>
    <row r="336" ht="26.25" customHeight="1">
      <c r="A336" s="166" t="str">
        <f>IFERROR(__xludf.DUMMYFUNCTION("""COMPUTED_VALUE"""),"DER_032")</f>
        <v>DER_032</v>
      </c>
      <c r="B336" s="164" t="str">
        <f>IFERROR(__xludf.DUMMYFUNCTION("""COMPUTED_VALUE"""),"DERECHO FUNCIONARIO")</f>
        <v>DERECHO FUNCIONARIO</v>
      </c>
      <c r="C336" s="154" t="str">
        <f>IFERROR(__xludf.DUMMYFUNCTION("""COMPUTED_VALUE"""),"TRASLADO")</f>
        <v>TRASLADO</v>
      </c>
      <c r="D336" s="165" t="str">
        <f>IFERROR(__xludf.DUMMYFUNCTION("""COMPUTED_VALUE"""),"TRASLADO RONDAS RURALES (1 HR)")</f>
        <v>TRASLADO RONDAS RURALES (1 HR)</v>
      </c>
      <c r="E336" s="167">
        <f>IFERROR(__xludf.DUMMYFUNCTION("""COMPUTED_VALUE"""),1.0)</f>
        <v>1</v>
      </c>
      <c r="F336" s="154" t="str">
        <f>IFERROR(__xludf.DUMMYFUNCTION("""COMPUTED_VALUE"""),"SI")</f>
        <v>SI</v>
      </c>
      <c r="G336" s="155"/>
      <c r="H336" s="168"/>
    </row>
    <row r="337" ht="26.25" customHeight="1">
      <c r="A337" s="166" t="str">
        <f>IFERROR(__xludf.DUMMYFUNCTION("""COMPUTED_VALUE"""),"DER_033")</f>
        <v>DER_033</v>
      </c>
      <c r="B337" s="164" t="str">
        <f>IFERROR(__xludf.DUMMYFUNCTION("""COMPUTED_VALUE"""),"DERECHO FUNCIONARIO")</f>
        <v>DERECHO FUNCIONARIO</v>
      </c>
      <c r="C337" s="154" t="str">
        <f>IFERROR(__xludf.DUMMYFUNCTION("""COMPUTED_VALUE"""),"TRASLADO")</f>
        <v>TRASLADO</v>
      </c>
      <c r="D337" s="165" t="str">
        <f>IFERROR(__xludf.DUMMYFUNCTION("""COMPUTED_VALUE"""),"TRASLADO RONDAS RURALES (12 HRS) (más distantes)")</f>
        <v>TRASLADO RONDAS RURALES (12 HRS) (más distantes)</v>
      </c>
      <c r="E337" s="167">
        <f>IFERROR(__xludf.DUMMYFUNCTION("""COMPUTED_VALUE"""),12.0)</f>
        <v>12</v>
      </c>
      <c r="F337" s="154" t="str">
        <f>IFERROR(__xludf.DUMMYFUNCTION("""COMPUTED_VALUE"""),"SI")</f>
        <v>SI</v>
      </c>
      <c r="G337" s="155"/>
      <c r="H337" s="168"/>
    </row>
    <row r="338" ht="26.25" customHeight="1">
      <c r="A338" s="166" t="str">
        <f>IFERROR(__xludf.DUMMYFUNCTION("""COMPUTED_VALUE"""),"DER_034")</f>
        <v>DER_034</v>
      </c>
      <c r="B338" s="164" t="str">
        <f>IFERROR(__xludf.DUMMYFUNCTION("""COMPUTED_VALUE"""),"DERECHO FUNCIONARIO")</f>
        <v>DERECHO FUNCIONARIO</v>
      </c>
      <c r="C338" s="154" t="str">
        <f>IFERROR(__xludf.DUMMYFUNCTION("""COMPUTED_VALUE"""),"TRASLADO")</f>
        <v>TRASLADO</v>
      </c>
      <c r="D338" s="165" t="str">
        <f>IFERROR(__xludf.DUMMYFUNCTION("""COMPUTED_VALUE"""),"TRASLADO RONDAS RURALES (2 HRS)")</f>
        <v>TRASLADO RONDAS RURALES (2 HRS)</v>
      </c>
      <c r="E338" s="167">
        <f>IFERROR(__xludf.DUMMYFUNCTION("""COMPUTED_VALUE"""),2.0)</f>
        <v>2</v>
      </c>
      <c r="F338" s="154" t="str">
        <f>IFERROR(__xludf.DUMMYFUNCTION("""COMPUTED_VALUE"""),"SI")</f>
        <v>SI</v>
      </c>
      <c r="G338" s="155"/>
      <c r="H338" s="168"/>
    </row>
    <row r="339" ht="26.25" customHeight="1">
      <c r="A339" s="166" t="str">
        <f>IFERROR(__xludf.DUMMYFUNCTION("""COMPUTED_VALUE"""),"DER_035")</f>
        <v>DER_035</v>
      </c>
      <c r="B339" s="164" t="str">
        <f>IFERROR(__xludf.DUMMYFUNCTION("""COMPUTED_VALUE"""),"DERECHO FUNCIONARIO")</f>
        <v>DERECHO FUNCIONARIO</v>
      </c>
      <c r="C339" s="154" t="str">
        <f>IFERROR(__xludf.DUMMYFUNCTION("""COMPUTED_VALUE"""),"TRASLADO")</f>
        <v>TRASLADO</v>
      </c>
      <c r="D339" s="165" t="str">
        <f>IFERROR(__xludf.DUMMYFUNCTION("""COMPUTED_VALUE"""),"TRASLADO RONDAS RURALES (3 HRS)")</f>
        <v>TRASLADO RONDAS RURALES (3 HRS)</v>
      </c>
      <c r="E339" s="167">
        <f>IFERROR(__xludf.DUMMYFUNCTION("""COMPUTED_VALUE"""),3.0)</f>
        <v>3</v>
      </c>
      <c r="F339" s="154" t="str">
        <f>IFERROR(__xludf.DUMMYFUNCTION("""COMPUTED_VALUE"""),"SI")</f>
        <v>SI</v>
      </c>
      <c r="G339" s="155"/>
      <c r="H339" s="168"/>
    </row>
    <row r="340" ht="26.25" customHeight="1">
      <c r="A340" s="166" t="str">
        <f>IFERROR(__xludf.DUMMYFUNCTION("""COMPUTED_VALUE"""),"DER_036")</f>
        <v>DER_036</v>
      </c>
      <c r="B340" s="164" t="str">
        <f>IFERROR(__xludf.DUMMYFUNCTION("""COMPUTED_VALUE"""),"DERECHO FUNCIONARIO")</f>
        <v>DERECHO FUNCIONARIO</v>
      </c>
      <c r="C340" s="154" t="str">
        <f>IFERROR(__xludf.DUMMYFUNCTION("""COMPUTED_VALUE"""),"TRASLADO")</f>
        <v>TRASLADO</v>
      </c>
      <c r="D340" s="165" t="str">
        <f>IFERROR(__xludf.DUMMYFUNCTION("""COMPUTED_VALUE"""),"TRASLADO RONDAS RURALES (3,5 HRS) (memos distantes)")</f>
        <v>TRASLADO RONDAS RURALES (3,5 HRS) (memos distantes)</v>
      </c>
      <c r="E340" s="167">
        <f>IFERROR(__xludf.DUMMYFUNCTION("""COMPUTED_VALUE"""),3.3)</f>
        <v>3.3</v>
      </c>
      <c r="F340" s="154" t="str">
        <f>IFERROR(__xludf.DUMMYFUNCTION("""COMPUTED_VALUE"""),"SI")</f>
        <v>SI</v>
      </c>
      <c r="G340" s="155"/>
      <c r="H340" s="168"/>
    </row>
    <row r="341" ht="26.25" customHeight="1">
      <c r="A341" s="166" t="str">
        <f>IFERROR(__xludf.DUMMYFUNCTION("""COMPUTED_VALUE"""),"DER_037")</f>
        <v>DER_037</v>
      </c>
      <c r="B341" s="164" t="str">
        <f>IFERROR(__xludf.DUMMYFUNCTION("""COMPUTED_VALUE"""),"DERECHO FUNCIONARIO")</f>
        <v>DERECHO FUNCIONARIO</v>
      </c>
      <c r="C341" s="154" t="str">
        <f>IFERROR(__xludf.DUMMYFUNCTION("""COMPUTED_VALUE"""),"TRASLADO")</f>
        <v>TRASLADO</v>
      </c>
      <c r="D341" s="165" t="str">
        <f>IFERROR(__xludf.DUMMYFUNCTION("""COMPUTED_VALUE"""),"TRASLADO RONDAS RURALES (3,5 HRS) (memos distantes)")</f>
        <v>TRASLADO RONDAS RURALES (3,5 HRS) (memos distantes)</v>
      </c>
      <c r="E341" s="167">
        <f>IFERROR(__xludf.DUMMYFUNCTION("""COMPUTED_VALUE"""),3.3)</f>
        <v>3.3</v>
      </c>
      <c r="F341" s="154" t="str">
        <f>IFERROR(__xludf.DUMMYFUNCTION("""COMPUTED_VALUE"""),"SI")</f>
        <v>SI</v>
      </c>
      <c r="G341" s="155"/>
      <c r="H341" s="168"/>
    </row>
    <row r="342" ht="26.25" customHeight="1">
      <c r="A342" s="166" t="str">
        <f>IFERROR(__xludf.DUMMYFUNCTION("""COMPUTED_VALUE"""),"DER_038")</f>
        <v>DER_038</v>
      </c>
      <c r="B342" s="164" t="str">
        <f>IFERROR(__xludf.DUMMYFUNCTION("""COMPUTED_VALUE"""),"DERECHO FUNCIONARIO")</f>
        <v>DERECHO FUNCIONARIO</v>
      </c>
      <c r="C342" s="154" t="str">
        <f>IFERROR(__xludf.DUMMYFUNCTION("""COMPUTED_VALUE"""),"TRASLADO")</f>
        <v>TRASLADO</v>
      </c>
      <c r="D342" s="165" t="str">
        <f>IFERROR(__xludf.DUMMYFUNCTION("""COMPUTED_VALUE"""),"TRASLADO RONDAS RURALES (3,5 HRS) (memos distantes)")</f>
        <v>TRASLADO RONDAS RURALES (3,5 HRS) (memos distantes)</v>
      </c>
      <c r="E342" s="167">
        <f>IFERROR(__xludf.DUMMYFUNCTION("""COMPUTED_VALUE"""),3.3)</f>
        <v>3.3</v>
      </c>
      <c r="F342" s="154" t="str">
        <f>IFERROR(__xludf.DUMMYFUNCTION("""COMPUTED_VALUE"""),"SI")</f>
        <v>SI</v>
      </c>
      <c r="G342" s="155"/>
      <c r="H342" s="168"/>
    </row>
    <row r="343" ht="26.25" customHeight="1">
      <c r="A343" s="166" t="str">
        <f>IFERROR(__xludf.DUMMYFUNCTION("""COMPUTED_VALUE"""),"DER_039")</f>
        <v>DER_039</v>
      </c>
      <c r="B343" s="164" t="str">
        <f>IFERROR(__xludf.DUMMYFUNCTION("""COMPUTED_VALUE"""),"DERECHO FUNCIONARIO")</f>
        <v>DERECHO FUNCIONARIO</v>
      </c>
      <c r="C343" s="154" t="str">
        <f>IFERROR(__xludf.DUMMYFUNCTION("""COMPUTED_VALUE"""),"TRASLADO")</f>
        <v>TRASLADO</v>
      </c>
      <c r="D343" s="165" t="str">
        <f>IFERROR(__xludf.DUMMYFUNCTION("""COMPUTED_VALUE"""),"TRASLADO RONDAS RURALES (4 HRS)")</f>
        <v>TRASLADO RONDAS RURALES (4 HRS)</v>
      </c>
      <c r="E343" s="167">
        <f>IFERROR(__xludf.DUMMYFUNCTION("""COMPUTED_VALUE"""),4.0)</f>
        <v>4</v>
      </c>
      <c r="F343" s="154" t="str">
        <f>IFERROR(__xludf.DUMMYFUNCTION("""COMPUTED_VALUE"""),"SI")</f>
        <v>SI</v>
      </c>
      <c r="G343" s="155"/>
      <c r="H343" s="168"/>
    </row>
    <row r="344" ht="26.25" customHeight="1">
      <c r="A344" s="166" t="str">
        <f>IFERROR(__xludf.DUMMYFUNCTION("""COMPUTED_VALUE"""),"DER_040")</f>
        <v>DER_040</v>
      </c>
      <c r="B344" s="164" t="str">
        <f>IFERROR(__xludf.DUMMYFUNCTION("""COMPUTED_VALUE"""),"DERECHO FUNCIONARIO")</f>
        <v>DERECHO FUNCIONARIO</v>
      </c>
      <c r="C344" s="154" t="str">
        <f>IFERROR(__xludf.DUMMYFUNCTION("""COMPUTED_VALUE"""),"TRASLADO")</f>
        <v>TRASLADO</v>
      </c>
      <c r="D344" s="165" t="str">
        <f>IFERROR(__xludf.DUMMYFUNCTION("""COMPUTED_VALUE"""),"TRASLADO RONDAS RURALES (5 HRS)")</f>
        <v>TRASLADO RONDAS RURALES (5 HRS)</v>
      </c>
      <c r="E344" s="167">
        <f>IFERROR(__xludf.DUMMYFUNCTION("""COMPUTED_VALUE"""),5.0)</f>
        <v>5</v>
      </c>
      <c r="F344" s="154" t="str">
        <f>IFERROR(__xludf.DUMMYFUNCTION("""COMPUTED_VALUE"""),"SI")</f>
        <v>SI</v>
      </c>
      <c r="G344" s="155"/>
      <c r="H344" s="168"/>
    </row>
    <row r="345" ht="26.25" customHeight="1">
      <c r="A345" s="166" t="str">
        <f>IFERROR(__xludf.DUMMYFUNCTION("""COMPUTED_VALUE"""),"DER_017")</f>
        <v>DER_017</v>
      </c>
      <c r="B345" s="164" t="str">
        <f>IFERROR(__xludf.DUMMYFUNCTION("""COMPUTED_VALUE"""),"DERECHO FUNCIONARIO")</f>
        <v>DERECHO FUNCIONARIO</v>
      </c>
      <c r="C345" s="154" t="str">
        <f>IFERROR(__xludf.DUMMYFUNCTION("""COMPUTED_VALUE"""),"PAUSA SALUDABLE")</f>
        <v>PAUSA SALUDABLE</v>
      </c>
      <c r="D345" s="165" t="str">
        <f>IFERROR(__xludf.DUMMYFUNCTION("""COMPUTED_VALUE"""),"PAUSA SALUDABLE = 1/SEMANA")</f>
        <v>PAUSA SALUDABLE = 1/SEMANA</v>
      </c>
      <c r="E345" s="167">
        <f>IFERROR(__xludf.DUMMYFUNCTION("""COMPUTED_VALUE"""),0.25)</f>
        <v>0.25</v>
      </c>
      <c r="F345" s="154" t="str">
        <f>IFERROR(__xludf.DUMMYFUNCTION("""COMPUTED_VALUE"""),"SI")</f>
        <v>SI</v>
      </c>
      <c r="G345" s="155"/>
      <c r="H345" s="168"/>
    </row>
    <row r="346" ht="26.25" customHeight="1">
      <c r="A346" s="166" t="str">
        <f>IFERROR(__xludf.DUMMYFUNCTION("""COMPUTED_VALUE"""),"DER_018")</f>
        <v>DER_018</v>
      </c>
      <c r="B346" s="164" t="str">
        <f>IFERROR(__xludf.DUMMYFUNCTION("""COMPUTED_VALUE"""),"DERECHO FUNCIONARIO")</f>
        <v>DERECHO FUNCIONARIO</v>
      </c>
      <c r="C346" s="154" t="str">
        <f>IFERROR(__xludf.DUMMYFUNCTION("""COMPUTED_VALUE"""),"PAUSA SALUDABLE")</f>
        <v>PAUSA SALUDABLE</v>
      </c>
      <c r="D346" s="165" t="str">
        <f>IFERROR(__xludf.DUMMYFUNCTION("""COMPUTED_VALUE"""),"PAUSA SALUDABLE = 2/SEMANA")</f>
        <v>PAUSA SALUDABLE = 2/SEMANA</v>
      </c>
      <c r="E346" s="167">
        <f>IFERROR(__xludf.DUMMYFUNCTION("""COMPUTED_VALUE"""),0.5)</f>
        <v>0.5</v>
      </c>
      <c r="F346" s="154" t="str">
        <f>IFERROR(__xludf.DUMMYFUNCTION("""COMPUTED_VALUE"""),"SI")</f>
        <v>SI</v>
      </c>
      <c r="G346" s="155"/>
      <c r="H346" s="168"/>
    </row>
    <row r="347" ht="26.25" customHeight="1">
      <c r="A347" s="166" t="str">
        <f>IFERROR(__xludf.DUMMYFUNCTION("""COMPUTED_VALUE"""),"DER_019")</f>
        <v>DER_019</v>
      </c>
      <c r="B347" s="164" t="str">
        <f>IFERROR(__xludf.DUMMYFUNCTION("""COMPUTED_VALUE"""),"DERECHO FUNCIONARIO")</f>
        <v>DERECHO FUNCIONARIO</v>
      </c>
      <c r="C347" s="154" t="str">
        <f>IFERROR(__xludf.DUMMYFUNCTION("""COMPUTED_VALUE"""),"PAUSA SALUDABLE")</f>
        <v>PAUSA SALUDABLE</v>
      </c>
      <c r="D347" s="165" t="str">
        <f>IFERROR(__xludf.DUMMYFUNCTION("""COMPUTED_VALUE"""),"PAUSA SALUDABLE = 3/SEMANA")</f>
        <v>PAUSA SALUDABLE = 3/SEMANA</v>
      </c>
      <c r="E347" s="167">
        <f>IFERROR(__xludf.DUMMYFUNCTION("""COMPUTED_VALUE"""),0.75)</f>
        <v>0.75</v>
      </c>
      <c r="F347" s="154" t="str">
        <f>IFERROR(__xludf.DUMMYFUNCTION("""COMPUTED_VALUE"""),"SI")</f>
        <v>SI</v>
      </c>
      <c r="G347" s="155"/>
      <c r="H347" s="168"/>
    </row>
    <row r="348" ht="26.25" customHeight="1">
      <c r="A348" s="166" t="str">
        <f>IFERROR(__xludf.DUMMYFUNCTION("""COMPUTED_VALUE"""),"DER_020")</f>
        <v>DER_020</v>
      </c>
      <c r="B348" s="164" t="str">
        <f>IFERROR(__xludf.DUMMYFUNCTION("""COMPUTED_VALUE"""),"DERECHO FUNCIONARIO")</f>
        <v>DERECHO FUNCIONARIO</v>
      </c>
      <c r="C348" s="154" t="str">
        <f>IFERROR(__xludf.DUMMYFUNCTION("""COMPUTED_VALUE"""),"PAUSA SALUDABLE")</f>
        <v>PAUSA SALUDABLE</v>
      </c>
      <c r="D348" s="165" t="str">
        <f>IFERROR(__xludf.DUMMYFUNCTION("""COMPUTED_VALUE"""),"PAUSA SALUDABLE = 4/SEMANA")</f>
        <v>PAUSA SALUDABLE = 4/SEMANA</v>
      </c>
      <c r="E348" s="167">
        <f>IFERROR(__xludf.DUMMYFUNCTION("""COMPUTED_VALUE"""),1.0)</f>
        <v>1</v>
      </c>
      <c r="F348" s="154" t="str">
        <f>IFERROR(__xludf.DUMMYFUNCTION("""COMPUTED_VALUE"""),"SI")</f>
        <v>SI</v>
      </c>
      <c r="G348" s="155"/>
      <c r="H348" s="168"/>
    </row>
    <row r="349" ht="26.25" customHeight="1">
      <c r="A349" s="166" t="str">
        <f>IFERROR(__xludf.DUMMYFUNCTION("""COMPUTED_VALUE"""),"DER_021")</f>
        <v>DER_021</v>
      </c>
      <c r="B349" s="164" t="str">
        <f>IFERROR(__xludf.DUMMYFUNCTION("""COMPUTED_VALUE"""),"DERECHO FUNCIONARIO")</f>
        <v>DERECHO FUNCIONARIO</v>
      </c>
      <c r="C349" s="154" t="str">
        <f>IFERROR(__xludf.DUMMYFUNCTION("""COMPUTED_VALUE"""),"PAUSA SALUDABLE")</f>
        <v>PAUSA SALUDABLE</v>
      </c>
      <c r="D349" s="165" t="str">
        <f>IFERROR(__xludf.DUMMYFUNCTION("""COMPUTED_VALUE"""),"PAUSA SALUDABLE = 5/SEMANA")</f>
        <v>PAUSA SALUDABLE = 5/SEMANA</v>
      </c>
      <c r="E349" s="167">
        <f>IFERROR(__xludf.DUMMYFUNCTION("""COMPUTED_VALUE"""),1.25)</f>
        <v>1.25</v>
      </c>
      <c r="F349" s="154" t="str">
        <f>IFERROR(__xludf.DUMMYFUNCTION("""COMPUTED_VALUE"""),"SI")</f>
        <v>SI</v>
      </c>
      <c r="G349" s="155"/>
      <c r="H349" s="168"/>
    </row>
    <row r="350" ht="26.25" customHeight="1">
      <c r="A350" s="166" t="str">
        <f>IFERROR(__xludf.DUMMYFUNCTION("""COMPUTED_VALUE"""),"DER_022")</f>
        <v>DER_022</v>
      </c>
      <c r="B350" s="164" t="str">
        <f>IFERROR(__xludf.DUMMYFUNCTION("""COMPUTED_VALUE"""),"DERECHO FUNCIONARIO")</f>
        <v>DERECHO FUNCIONARIO</v>
      </c>
      <c r="C350" s="154" t="str">
        <f>IFERROR(__xludf.DUMMYFUNCTION("""COMPUTED_VALUE"""),"PAUSA SALUDABLE")</f>
        <v>PAUSA SALUDABLE</v>
      </c>
      <c r="D350" s="165" t="str">
        <f>IFERROR(__xludf.DUMMYFUNCTION("""COMPUTED_VALUE"""),"PAUSA SALUDABLE = 5/SEMANA (20  MIN)")</f>
        <v>PAUSA SALUDABLE = 5/SEMANA (20  MIN)</v>
      </c>
      <c r="E350" s="167">
        <f>IFERROR(__xludf.DUMMYFUNCTION("""COMPUTED_VALUE"""),1.66)</f>
        <v>1.66</v>
      </c>
      <c r="F350" s="154" t="str">
        <f>IFERROR(__xludf.DUMMYFUNCTION("""COMPUTED_VALUE"""),"SI")</f>
        <v>SI</v>
      </c>
      <c r="G350" s="155"/>
      <c r="H350" s="168"/>
    </row>
    <row r="351" ht="26.25" customHeight="1">
      <c r="A351" s="166" t="str">
        <f>IFERROR(__xludf.DUMMYFUNCTION("""COMPUTED_VALUE"""),"DER_023")</f>
        <v>DER_023</v>
      </c>
      <c r="B351" s="164" t="str">
        <f>IFERROR(__xludf.DUMMYFUNCTION("""COMPUTED_VALUE"""),"DERECHO FUNCIONARIO")</f>
        <v>DERECHO FUNCIONARIO</v>
      </c>
      <c r="C351" s="154" t="str">
        <f>IFERROR(__xludf.DUMMYFUNCTION("""COMPUTED_VALUE"""),"PAUSA SALUDABLE")</f>
        <v>PAUSA SALUDABLE</v>
      </c>
      <c r="D351" s="165" t="str">
        <f>IFERROR(__xludf.DUMMYFUNCTION("""COMPUTED_VALUE"""),"PAUSA SALUDABLE = 5/SEMANA (30  MIN)")</f>
        <v>PAUSA SALUDABLE = 5/SEMANA (30  MIN)</v>
      </c>
      <c r="E351" s="167">
        <f>IFERROR(__xludf.DUMMYFUNCTION("""COMPUTED_VALUE"""),2.5)</f>
        <v>2.5</v>
      </c>
      <c r="F351" s="154" t="str">
        <f>IFERROR(__xludf.DUMMYFUNCTION("""COMPUTED_VALUE"""),"SI")</f>
        <v>SI</v>
      </c>
      <c r="G351" s="155"/>
      <c r="H351" s="168"/>
    </row>
    <row r="352" ht="26.25" customHeight="1">
      <c r="A352" s="166" t="str">
        <f>IFERROR(__xludf.DUMMYFUNCTION("""COMPUTED_VALUE"""),"DER_024")</f>
        <v>DER_024</v>
      </c>
      <c r="B352" s="164" t="str">
        <f>IFERROR(__xludf.DUMMYFUNCTION("""COMPUTED_VALUE"""),"DERECHO FUNCIONARIO")</f>
        <v>DERECHO FUNCIONARIO</v>
      </c>
      <c r="C352" s="154" t="str">
        <f>IFERROR(__xludf.DUMMYFUNCTION("""COMPUTED_VALUE"""),"PAUSA SALUDABLE")</f>
        <v>PAUSA SALUDABLE</v>
      </c>
      <c r="D352" s="165" t="str">
        <f>IFERROR(__xludf.DUMMYFUNCTION("""COMPUTED_VALUE"""),"PAUSA SALUDABLE = 6/SEMANA")</f>
        <v>PAUSA SALUDABLE = 6/SEMANA</v>
      </c>
      <c r="E352" s="167">
        <f>IFERROR(__xludf.DUMMYFUNCTION("""COMPUTED_VALUE"""),1.5)</f>
        <v>1.5</v>
      </c>
      <c r="F352" s="154" t="str">
        <f>IFERROR(__xludf.DUMMYFUNCTION("""COMPUTED_VALUE"""),"SI")</f>
        <v>SI</v>
      </c>
      <c r="G352" s="155"/>
      <c r="H352" s="168"/>
    </row>
    <row r="353" ht="26.25" customHeight="1">
      <c r="A353" s="166" t="str">
        <f>IFERROR(__xludf.DUMMYFUNCTION("""COMPUTED_VALUE"""),"DER_013")</f>
        <v>DER_013</v>
      </c>
      <c r="B353" s="164" t="str">
        <f>IFERROR(__xludf.DUMMYFUNCTION("""COMPUTED_VALUE"""),"DERECHO FUNCIONARIO")</f>
        <v>DERECHO FUNCIONARIO</v>
      </c>
      <c r="C353" s="154" t="str">
        <f>IFERROR(__xludf.DUMMYFUNCTION("""COMPUTED_VALUE"""),"GREMIAL")</f>
        <v>GREMIAL</v>
      </c>
      <c r="D353" s="165" t="str">
        <f>IFERROR(__xludf.DUMMYFUNCTION("""COMPUTED_VALUE"""),"DIRIGENTE GREMIAL (11 HRS)")</f>
        <v>DIRIGENTE GREMIAL (11 HRS)</v>
      </c>
      <c r="E353" s="167">
        <f>IFERROR(__xludf.DUMMYFUNCTION("""COMPUTED_VALUE"""),11.0)</f>
        <v>11</v>
      </c>
      <c r="F353" s="154" t="str">
        <f>IFERROR(__xludf.DUMMYFUNCTION("""COMPUTED_VALUE"""),"SI")</f>
        <v>SI</v>
      </c>
      <c r="G353" s="155"/>
      <c r="H353" s="168"/>
    </row>
    <row r="354" ht="26.25" customHeight="1">
      <c r="A354" s="166" t="str">
        <f>IFERROR(__xludf.DUMMYFUNCTION("""COMPUTED_VALUE"""),"DER_014")</f>
        <v>DER_014</v>
      </c>
      <c r="B354" s="164" t="str">
        <f>IFERROR(__xludf.DUMMYFUNCTION("""COMPUTED_VALUE"""),"DERECHO FUNCIONARIO")</f>
        <v>DERECHO FUNCIONARIO</v>
      </c>
      <c r="C354" s="154" t="str">
        <f>IFERROR(__xludf.DUMMYFUNCTION("""COMPUTED_VALUE"""),"GREMIAL")</f>
        <v>GREMIAL</v>
      </c>
      <c r="D354" s="165" t="str">
        <f>IFERROR(__xludf.DUMMYFUNCTION("""COMPUTED_VALUE"""),"DIRIGENTE GREMIAL (18 HRS)")</f>
        <v>DIRIGENTE GREMIAL (18 HRS)</v>
      </c>
      <c r="E354" s="167">
        <f>IFERROR(__xludf.DUMMYFUNCTION("""COMPUTED_VALUE"""),18.0)</f>
        <v>18</v>
      </c>
      <c r="F354" s="154" t="str">
        <f>IFERROR(__xludf.DUMMYFUNCTION("""COMPUTED_VALUE"""),"SI")</f>
        <v>SI</v>
      </c>
      <c r="G354" s="155"/>
      <c r="H354" s="168"/>
    </row>
    <row r="355" ht="26.25" customHeight="1">
      <c r="A355" s="166" t="str">
        <f>IFERROR(__xludf.DUMMYFUNCTION("""COMPUTED_VALUE"""),"DER_015")</f>
        <v>DER_015</v>
      </c>
      <c r="B355" s="164" t="str">
        <f>IFERROR(__xludf.DUMMYFUNCTION("""COMPUTED_VALUE"""),"DERECHO FUNCIONARIO")</f>
        <v>DERECHO FUNCIONARIO</v>
      </c>
      <c r="C355" s="154" t="str">
        <f>IFERROR(__xludf.DUMMYFUNCTION("""COMPUTED_VALUE"""),"GREMIAL")</f>
        <v>GREMIAL</v>
      </c>
      <c r="D355" s="165" t="str">
        <f>IFERROR(__xludf.DUMMYFUNCTION("""COMPUTED_VALUE"""),"DIRIGENTE GREMIAL (22)")</f>
        <v>DIRIGENTE GREMIAL (22)</v>
      </c>
      <c r="E355" s="167">
        <f>IFERROR(__xludf.DUMMYFUNCTION("""COMPUTED_VALUE"""),22.0)</f>
        <v>22</v>
      </c>
      <c r="F355" s="154" t="str">
        <f>IFERROR(__xludf.DUMMYFUNCTION("""COMPUTED_VALUE"""),"SI")</f>
        <v>SI</v>
      </c>
      <c r="G355" s="155"/>
      <c r="H355" s="168"/>
    </row>
    <row r="356" ht="26.25" customHeight="1">
      <c r="A356" s="166" t="str">
        <f>IFERROR(__xludf.DUMMYFUNCTION("""COMPUTED_VALUE"""),"DER_016")</f>
        <v>DER_016</v>
      </c>
      <c r="B356" s="164" t="str">
        <f>IFERROR(__xludf.DUMMYFUNCTION("""COMPUTED_VALUE"""),"DERECHO FUNCIONARIO")</f>
        <v>DERECHO FUNCIONARIO</v>
      </c>
      <c r="C356" s="154" t="str">
        <f>IFERROR(__xludf.DUMMYFUNCTION("""COMPUTED_VALUE"""),"GREMIAL")</f>
        <v>GREMIAL</v>
      </c>
      <c r="D356" s="165" t="str">
        <f>IFERROR(__xludf.DUMMYFUNCTION("""COMPUTED_VALUE"""),"DIRIGENTE GREMIAL (44)")</f>
        <v>DIRIGENTE GREMIAL (44)</v>
      </c>
      <c r="E356" s="167">
        <f>IFERROR(__xludf.DUMMYFUNCTION("""COMPUTED_VALUE"""),44.0)</f>
        <v>44</v>
      </c>
      <c r="F356" s="154" t="str">
        <f>IFERROR(__xludf.DUMMYFUNCTION("""COMPUTED_VALUE"""),"SI")</f>
        <v>SI</v>
      </c>
      <c r="G356" s="155"/>
      <c r="H356" s="168"/>
    </row>
    <row r="357" ht="26.25" customHeight="1">
      <c r="A357" s="166" t="str">
        <f>IFERROR(__xludf.DUMMYFUNCTION("""COMPUTED_VALUE"""),"DER_006")</f>
        <v>DER_006</v>
      </c>
      <c r="B357" s="164" t="str">
        <f>IFERROR(__xludf.DUMMYFUNCTION("""COMPUTED_VALUE"""),"DERECHO FUNCIONARIO")</f>
        <v>DERECHO FUNCIONARIO</v>
      </c>
      <c r="C357" s="154" t="str">
        <f>IFERROR(__xludf.DUMMYFUNCTION("""COMPUTED_VALUE"""),"FUERO ALIMENTACION HIJO")</f>
        <v>FUERO ALIMENTACION HIJO</v>
      </c>
      <c r="D357" s="165" t="str">
        <f>IFERROR(__xludf.DUMMYFUNCTION("""COMPUTED_VALUE"""),"FUERO 1 HORA POR DIA (2 DÍAS)")</f>
        <v>FUERO 1 HORA POR DIA (2 DÍAS)</v>
      </c>
      <c r="E357" s="167">
        <f>IFERROR(__xludf.DUMMYFUNCTION("""COMPUTED_VALUE"""),2.0)</f>
        <v>2</v>
      </c>
      <c r="F357" s="154" t="str">
        <f>IFERROR(__xludf.DUMMYFUNCTION("""COMPUTED_VALUE"""),"SI")</f>
        <v>SI</v>
      </c>
      <c r="G357" s="155"/>
      <c r="H357" s="168"/>
    </row>
    <row r="358" ht="26.25" customHeight="1">
      <c r="A358" s="166" t="str">
        <f>IFERROR(__xludf.DUMMYFUNCTION("""COMPUTED_VALUE"""),"DER_007")</f>
        <v>DER_007</v>
      </c>
      <c r="B358" s="164" t="str">
        <f>IFERROR(__xludf.DUMMYFUNCTION("""COMPUTED_VALUE"""),"DERECHO FUNCIONARIO")</f>
        <v>DERECHO FUNCIONARIO</v>
      </c>
      <c r="C358" s="154" t="str">
        <f>IFERROR(__xludf.DUMMYFUNCTION("""COMPUTED_VALUE"""),"FUERO ALIMENTACION HIJO")</f>
        <v>FUERO ALIMENTACION HIJO</v>
      </c>
      <c r="D358" s="165" t="str">
        <f>IFERROR(__xludf.DUMMYFUNCTION("""COMPUTED_VALUE"""),"FUERO 1 HORA POR DIA (5 DÍAS)")</f>
        <v>FUERO 1 HORA POR DIA (5 DÍAS)</v>
      </c>
      <c r="E358" s="167">
        <f>IFERROR(__xludf.DUMMYFUNCTION("""COMPUTED_VALUE"""),5.0)</f>
        <v>5</v>
      </c>
      <c r="F358" s="154" t="str">
        <f>IFERROR(__xludf.DUMMYFUNCTION("""COMPUTED_VALUE"""),"SI")</f>
        <v>SI</v>
      </c>
      <c r="G358" s="155"/>
      <c r="H358" s="168"/>
    </row>
    <row r="359" ht="26.25" customHeight="1">
      <c r="A359" s="166" t="str">
        <f>IFERROR(__xludf.DUMMYFUNCTION("""COMPUTED_VALUE"""),"DER_008")</f>
        <v>DER_008</v>
      </c>
      <c r="B359" s="164" t="str">
        <f>IFERROR(__xludf.DUMMYFUNCTION("""COMPUTED_VALUE"""),"DERECHO FUNCIONARIO")</f>
        <v>DERECHO FUNCIONARIO</v>
      </c>
      <c r="C359" s="154" t="str">
        <f>IFERROR(__xludf.DUMMYFUNCTION("""COMPUTED_VALUE"""),"FUERO ALIMENTACION HIJO")</f>
        <v>FUERO ALIMENTACION HIJO</v>
      </c>
      <c r="D359" s="165" t="str">
        <f>IFERROR(__xludf.DUMMYFUNCTION("""COMPUTED_VALUE"""),"FUERO 1 HORA POR DIA (5 DÍAS) + 1HORA TRASLADO FUERA DE LA COMUNA")</f>
        <v>FUERO 1 HORA POR DIA (5 DÍAS) + 1HORA TRASLADO FUERA DE LA COMUNA</v>
      </c>
      <c r="E359" s="167">
        <f>IFERROR(__xludf.DUMMYFUNCTION("""COMPUTED_VALUE"""),10.0)</f>
        <v>10</v>
      </c>
      <c r="F359" s="154" t="str">
        <f>IFERROR(__xludf.DUMMYFUNCTION("""COMPUTED_VALUE"""),"SI")</f>
        <v>SI</v>
      </c>
      <c r="G359" s="155"/>
      <c r="H359" s="168"/>
    </row>
    <row r="360" ht="26.25" customHeight="1">
      <c r="A360" s="166" t="str">
        <f>IFERROR(__xludf.DUMMYFUNCTION("""COMPUTED_VALUE"""),"DER_009")</f>
        <v>DER_009</v>
      </c>
      <c r="B360" s="164" t="str">
        <f>IFERROR(__xludf.DUMMYFUNCTION("""COMPUTED_VALUE"""),"DERECHO FUNCIONARIO")</f>
        <v>DERECHO FUNCIONARIO</v>
      </c>
      <c r="C360" s="154" t="str">
        <f>IFERROR(__xludf.DUMMYFUNCTION("""COMPUTED_VALUE"""),"FUERO ALIMENTACION HIJO")</f>
        <v>FUERO ALIMENTACION HIJO</v>
      </c>
      <c r="D360" s="165" t="str">
        <f>IFERROR(__xludf.DUMMYFUNCTION("""COMPUTED_VALUE"""),"FUERO 1,5 HORA POR DIA (5 DÍAS) ( INCLUYE TRASLADO DENTRO DE LA COMUNA)")</f>
        <v>FUERO 1,5 HORA POR DIA (5 DÍAS) ( INCLUYE TRASLADO DENTRO DE LA COMUNA)</v>
      </c>
      <c r="E360" s="167">
        <f>IFERROR(__xludf.DUMMYFUNCTION("""COMPUTED_VALUE"""),7.5)</f>
        <v>7.5</v>
      </c>
      <c r="F360" s="154" t="str">
        <f>IFERROR(__xludf.DUMMYFUNCTION("""COMPUTED_VALUE"""),"SI")</f>
        <v>SI</v>
      </c>
      <c r="G360" s="155"/>
      <c r="H360" s="168"/>
    </row>
    <row r="361" ht="26.25" customHeight="1">
      <c r="A361" s="166" t="str">
        <f>IFERROR(__xludf.DUMMYFUNCTION("""COMPUTED_VALUE"""),"DER_010")</f>
        <v>DER_010</v>
      </c>
      <c r="B361" s="164" t="str">
        <f>IFERROR(__xludf.DUMMYFUNCTION("""COMPUTED_VALUE"""),"DERECHO FUNCIONARIO")</f>
        <v>DERECHO FUNCIONARIO</v>
      </c>
      <c r="C361" s="154" t="str">
        <f>IFERROR(__xludf.DUMMYFUNCTION("""COMPUTED_VALUE"""),"FUERO ALIMENTACION HIJO")</f>
        <v>FUERO ALIMENTACION HIJO</v>
      </c>
      <c r="D361" s="165" t="str">
        <f>IFERROR(__xludf.DUMMYFUNCTION("""COMPUTED_VALUE"""),"FUERO 2 HORAS POR DIA (5 DÍAS)")</f>
        <v>FUERO 2 HORAS POR DIA (5 DÍAS)</v>
      </c>
      <c r="E361" s="167">
        <f>IFERROR(__xludf.DUMMYFUNCTION("""COMPUTED_VALUE"""),10.0)</f>
        <v>10</v>
      </c>
      <c r="F361" s="154" t="str">
        <f>IFERROR(__xludf.DUMMYFUNCTION("""COMPUTED_VALUE"""),"SI")</f>
        <v>SI</v>
      </c>
      <c r="G361" s="155"/>
      <c r="H361" s="168"/>
    </row>
    <row r="362" ht="26.25" customHeight="1">
      <c r="A362" s="166" t="str">
        <f>IFERROR(__xludf.DUMMYFUNCTION("""COMPUTED_VALUE"""),"DER_011")</f>
        <v>DER_011</v>
      </c>
      <c r="B362" s="164" t="str">
        <f>IFERROR(__xludf.DUMMYFUNCTION("""COMPUTED_VALUE"""),"DERECHO FUNCIONARIO")</f>
        <v>DERECHO FUNCIONARIO</v>
      </c>
      <c r="C362" s="154" t="str">
        <f>IFERROR(__xludf.DUMMYFUNCTION("""COMPUTED_VALUE"""),"FUERO ALIMENTACION HIJO")</f>
        <v>FUERO ALIMENTACION HIJO</v>
      </c>
      <c r="D362" s="165" t="str">
        <f>IFERROR(__xludf.DUMMYFUNCTION("""COMPUTED_VALUE"""),"FUERO 2 HORAS POR DIA (5 DÍAS) +1 HORA DE TRASLADO FUERA DE LA COMUNA")</f>
        <v>FUERO 2 HORAS POR DIA (5 DÍAS) +1 HORA DE TRASLADO FUERA DE LA COMUNA</v>
      </c>
      <c r="E362" s="167">
        <f>IFERROR(__xludf.DUMMYFUNCTION("""COMPUTED_VALUE"""),20.0)</f>
        <v>20</v>
      </c>
      <c r="F362" s="154" t="str">
        <f>IFERROR(__xludf.DUMMYFUNCTION("""COMPUTED_VALUE"""),"SI")</f>
        <v>SI</v>
      </c>
      <c r="G362" s="155"/>
      <c r="H362" s="168"/>
    </row>
    <row r="363" ht="26.25" customHeight="1">
      <c r="A363" s="166" t="str">
        <f>IFERROR(__xludf.DUMMYFUNCTION("""COMPUTED_VALUE"""),"DER_012")</f>
        <v>DER_012</v>
      </c>
      <c r="B363" s="164" t="str">
        <f>IFERROR(__xludf.DUMMYFUNCTION("""COMPUTED_VALUE"""),"DERECHO FUNCIONARIO")</f>
        <v>DERECHO FUNCIONARIO</v>
      </c>
      <c r="C363" s="154" t="str">
        <f>IFERROR(__xludf.DUMMYFUNCTION("""COMPUTED_VALUE"""),"FUERO ALIMENTACION HIJO")</f>
        <v>FUERO ALIMENTACION HIJO</v>
      </c>
      <c r="D363" s="165" t="str">
        <f>IFERROR(__xludf.DUMMYFUNCTION("""COMPUTED_VALUE"""),"FUERO 2,5 HORAS POR DIA (5 DÍAS) INCLUYE TRASLADO DENTRO DE LA COMUNA")</f>
        <v>FUERO 2,5 HORAS POR DIA (5 DÍAS) INCLUYE TRASLADO DENTRO DE LA COMUNA</v>
      </c>
      <c r="E363" s="167">
        <f>IFERROR(__xludf.DUMMYFUNCTION("""COMPUTED_VALUE"""),15.0)</f>
        <v>15</v>
      </c>
      <c r="F363" s="154" t="str">
        <f>IFERROR(__xludf.DUMMYFUNCTION("""COMPUTED_VALUE"""),"SI")</f>
        <v>SI</v>
      </c>
      <c r="G363" s="155"/>
      <c r="H363" s="168"/>
    </row>
    <row r="364" ht="26.25" customHeight="1">
      <c r="A364" s="166" t="str">
        <f>IFERROR(__xludf.DUMMYFUNCTION("""COMPUTED_VALUE"""),"DER_001")</f>
        <v>DER_001</v>
      </c>
      <c r="B364" s="164" t="str">
        <f>IFERROR(__xludf.DUMMYFUNCTION("""COMPUTED_VALUE"""),"DERECHO FUNCIONARIO")</f>
        <v>DERECHO FUNCIONARIO</v>
      </c>
      <c r="C364" s="154" t="str">
        <f>IFERROR(__xludf.DUMMYFUNCTION("""COMPUTED_VALUE"""),"COLACION")</f>
        <v>COLACION</v>
      </c>
      <c r="D364" s="165" t="str">
        <f>IFERROR(__xludf.DUMMYFUNCTION("""COMPUTED_VALUE"""),"COLACION =  1 DIA/SEMANA")</f>
        <v>COLACION =  1 DIA/SEMANA</v>
      </c>
      <c r="E364" s="167">
        <f>IFERROR(__xludf.DUMMYFUNCTION("""COMPUTED_VALUE"""),1.0)</f>
        <v>1</v>
      </c>
      <c r="F364" s="154" t="str">
        <f>IFERROR(__xludf.DUMMYFUNCTION("""COMPUTED_VALUE"""),"SI")</f>
        <v>SI</v>
      </c>
      <c r="G364" s="155"/>
      <c r="H364" s="168"/>
    </row>
    <row r="365" ht="26.25" customHeight="1">
      <c r="A365" s="166" t="str">
        <f>IFERROR(__xludf.DUMMYFUNCTION("""COMPUTED_VALUE"""),"DER_002")</f>
        <v>DER_002</v>
      </c>
      <c r="B365" s="164" t="str">
        <f>IFERROR(__xludf.DUMMYFUNCTION("""COMPUTED_VALUE"""),"DERECHO FUNCIONARIO")</f>
        <v>DERECHO FUNCIONARIO</v>
      </c>
      <c r="C365" s="154" t="str">
        <f>IFERROR(__xludf.DUMMYFUNCTION("""COMPUTED_VALUE"""),"COLACION")</f>
        <v>COLACION</v>
      </c>
      <c r="D365" s="165" t="str">
        <f>IFERROR(__xludf.DUMMYFUNCTION("""COMPUTED_VALUE"""),"COLACION =  2 DIAS/SEMANA")</f>
        <v>COLACION =  2 DIAS/SEMANA</v>
      </c>
      <c r="E365" s="167">
        <f>IFERROR(__xludf.DUMMYFUNCTION("""COMPUTED_VALUE"""),2.0)</f>
        <v>2</v>
      </c>
      <c r="F365" s="154" t="str">
        <f>IFERROR(__xludf.DUMMYFUNCTION("""COMPUTED_VALUE"""),"SI")</f>
        <v>SI</v>
      </c>
      <c r="G365" s="155"/>
      <c r="H365" s="168"/>
    </row>
    <row r="366" ht="26.25" customHeight="1">
      <c r="A366" s="166" t="str">
        <f>IFERROR(__xludf.DUMMYFUNCTION("""COMPUTED_VALUE"""),"DER_003")</f>
        <v>DER_003</v>
      </c>
      <c r="B366" s="164" t="str">
        <f>IFERROR(__xludf.DUMMYFUNCTION("""COMPUTED_VALUE"""),"DERECHO FUNCIONARIO")</f>
        <v>DERECHO FUNCIONARIO</v>
      </c>
      <c r="C366" s="154" t="str">
        <f>IFERROR(__xludf.DUMMYFUNCTION("""COMPUTED_VALUE"""),"COLACION")</f>
        <v>COLACION</v>
      </c>
      <c r="D366" s="165" t="str">
        <f>IFERROR(__xludf.DUMMYFUNCTION("""COMPUTED_VALUE"""),"COLACION =  3 DIAS/SEMANA")</f>
        <v>COLACION =  3 DIAS/SEMANA</v>
      </c>
      <c r="E366" s="167">
        <f>IFERROR(__xludf.DUMMYFUNCTION("""COMPUTED_VALUE"""),3.0)</f>
        <v>3</v>
      </c>
      <c r="F366" s="154" t="str">
        <f>IFERROR(__xludf.DUMMYFUNCTION("""COMPUTED_VALUE"""),"SI")</f>
        <v>SI</v>
      </c>
      <c r="G366" s="155"/>
      <c r="H366" s="168"/>
    </row>
    <row r="367" ht="26.25" customHeight="1">
      <c r="A367" s="166" t="str">
        <f>IFERROR(__xludf.DUMMYFUNCTION("""COMPUTED_VALUE"""),"DER_004")</f>
        <v>DER_004</v>
      </c>
      <c r="B367" s="164" t="str">
        <f>IFERROR(__xludf.DUMMYFUNCTION("""COMPUTED_VALUE"""),"DERECHO FUNCIONARIO")</f>
        <v>DERECHO FUNCIONARIO</v>
      </c>
      <c r="C367" s="154" t="str">
        <f>IFERROR(__xludf.DUMMYFUNCTION("""COMPUTED_VALUE"""),"COLACION")</f>
        <v>COLACION</v>
      </c>
      <c r="D367" s="165" t="str">
        <f>IFERROR(__xludf.DUMMYFUNCTION("""COMPUTED_VALUE"""),"COLACION =  4 DIAS/SEMANA")</f>
        <v>COLACION =  4 DIAS/SEMANA</v>
      </c>
      <c r="E367" s="167">
        <f>IFERROR(__xludf.DUMMYFUNCTION("""COMPUTED_VALUE"""),4.0)</f>
        <v>4</v>
      </c>
      <c r="F367" s="154" t="str">
        <f>IFERROR(__xludf.DUMMYFUNCTION("""COMPUTED_VALUE"""),"SI")</f>
        <v>SI</v>
      </c>
      <c r="G367" s="155"/>
      <c r="H367" s="168"/>
    </row>
    <row r="368" ht="26.25" customHeight="1">
      <c r="A368" s="166" t="str">
        <f>IFERROR(__xludf.DUMMYFUNCTION("""COMPUTED_VALUE"""),"DER_005")</f>
        <v>DER_005</v>
      </c>
      <c r="B368" s="164" t="str">
        <f>IFERROR(__xludf.DUMMYFUNCTION("""COMPUTED_VALUE"""),"DERECHO FUNCIONARIO")</f>
        <v>DERECHO FUNCIONARIO</v>
      </c>
      <c r="C368" s="154" t="str">
        <f>IFERROR(__xludf.DUMMYFUNCTION("""COMPUTED_VALUE"""),"COLACION")</f>
        <v>COLACION</v>
      </c>
      <c r="D368" s="165" t="str">
        <f>IFERROR(__xludf.DUMMYFUNCTION("""COMPUTED_VALUE"""),"COLACION =  5 DIAS/SEMANA")</f>
        <v>COLACION =  5 DIAS/SEMANA</v>
      </c>
      <c r="E368" s="167">
        <f>IFERROR(__xludf.DUMMYFUNCTION("""COMPUTED_VALUE"""),5.0)</f>
        <v>5</v>
      </c>
      <c r="F368" s="154" t="str">
        <f>IFERROR(__xludf.DUMMYFUNCTION("""COMPUTED_VALUE"""),"SI")</f>
        <v>SI</v>
      </c>
      <c r="G368" s="155"/>
      <c r="H368" s="168"/>
    </row>
    <row r="369" ht="26.25" customHeight="1">
      <c r="A369" s="166" t="str">
        <f>IFERROR(__xludf.DUMMYFUNCTION("""COMPUTED_VALUE"""),"REU_001")</f>
        <v>REU_001</v>
      </c>
      <c r="B369" s="164" t="str">
        <f>IFERROR(__xludf.DUMMYFUNCTION("""COMPUTED_VALUE"""),"REUNION")</f>
        <v>REUNION</v>
      </c>
      <c r="C369" s="154" t="str">
        <f>IFERROR(__xludf.DUMMYFUNCTION("""COMPUTED_VALUE"""),"COMUNIDAD")</f>
        <v>COMUNIDAD</v>
      </c>
      <c r="D369" s="165" t="str">
        <f>IFERROR(__xludf.DUMMYFUNCTION("""COMPUTED_VALUE"""),"COMSE")</f>
        <v>COMSE</v>
      </c>
      <c r="E369" s="167">
        <f>IFERROR(__xludf.DUMMYFUNCTION("""COMPUTED_VALUE"""),0.75)</f>
        <v>0.75</v>
      </c>
      <c r="F369" s="154" t="str">
        <f>IFERROR(__xludf.DUMMYFUNCTION("""COMPUTED_VALUE"""),"SI")</f>
        <v>SI</v>
      </c>
      <c r="G369" s="155"/>
      <c r="H369" s="168"/>
    </row>
    <row r="370" ht="26.25" customHeight="1">
      <c r="A370" s="166" t="str">
        <f>IFERROR(__xludf.DUMMYFUNCTION("""COMPUTED_VALUE"""),"REU_002")</f>
        <v>REU_002</v>
      </c>
      <c r="B370" s="164" t="str">
        <f>IFERROR(__xludf.DUMMYFUNCTION("""COMPUTED_VALUE"""),"REUNION")</f>
        <v>REUNION</v>
      </c>
      <c r="C370" s="154" t="str">
        <f>IFERROR(__xludf.DUMMYFUNCTION("""COMPUTED_VALUE"""),"COMUNIDAD")</f>
        <v>COMUNIDAD</v>
      </c>
      <c r="D370" s="165" t="str">
        <f>IFERROR(__xludf.DUMMYFUNCTION("""COMPUTED_VALUE"""),"COMSE (3 HRS)")</f>
        <v>COMSE (3 HRS)</v>
      </c>
      <c r="E370" s="167">
        <f>IFERROR(__xludf.DUMMYFUNCTION("""COMPUTED_VALUE"""),0.75)</f>
        <v>0.75</v>
      </c>
      <c r="F370" s="154" t="str">
        <f>IFERROR(__xludf.DUMMYFUNCTION("""COMPUTED_VALUE"""),"SI")</f>
        <v>SI</v>
      </c>
      <c r="G370" s="155"/>
      <c r="H370" s="168"/>
    </row>
    <row r="371" ht="26.25" customHeight="1">
      <c r="A371" s="166" t="str">
        <f>IFERROR(__xludf.DUMMYFUNCTION("""COMPUTED_VALUE"""),"REU_003")</f>
        <v>REU_003</v>
      </c>
      <c r="B371" s="164" t="str">
        <f>IFERROR(__xludf.DUMMYFUNCTION("""COMPUTED_VALUE"""),"REUNION")</f>
        <v>REUNION</v>
      </c>
      <c r="C371" s="154" t="str">
        <f>IFERROR(__xludf.DUMMYFUNCTION("""COMPUTED_VALUE"""),"COMUNIDAD")</f>
        <v>COMUNIDAD</v>
      </c>
      <c r="D371" s="165" t="str">
        <f>IFERROR(__xludf.DUMMYFUNCTION("""COMPUTED_VALUE"""),"COMSE (5 HRS)")</f>
        <v>COMSE (5 HRS)</v>
      </c>
      <c r="E371" s="167">
        <f>IFERROR(__xludf.DUMMYFUNCTION("""COMPUTED_VALUE"""),1.250000000014552)</f>
        <v>1.25</v>
      </c>
      <c r="F371" s="154" t="str">
        <f>IFERROR(__xludf.DUMMYFUNCTION("""COMPUTED_VALUE"""),"SI")</f>
        <v>SI</v>
      </c>
      <c r="G371" s="155"/>
      <c r="H371" s="168"/>
    </row>
    <row r="372" ht="26.25" customHeight="1">
      <c r="A372" s="166" t="str">
        <f>IFERROR(__xludf.DUMMYFUNCTION("""COMPUTED_VALUE"""),"REU_004")</f>
        <v>REU_004</v>
      </c>
      <c r="B372" s="164" t="str">
        <f>IFERROR(__xludf.DUMMYFUNCTION("""COMPUTED_VALUE"""),"REUNION")</f>
        <v>REUNION</v>
      </c>
      <c r="C372" s="154" t="str">
        <f>IFERROR(__xludf.DUMMYFUNCTION("""COMPUTED_VALUE"""),"COMUNIDAD")</f>
        <v>COMUNIDAD</v>
      </c>
      <c r="D372" s="165" t="str">
        <f>IFERROR(__xludf.DUMMYFUNCTION("""COMPUTED_VALUE"""),"MESA DE SEGURIDAD")</f>
        <v>MESA DE SEGURIDAD</v>
      </c>
      <c r="E372" s="167">
        <f>IFERROR(__xludf.DUMMYFUNCTION("""COMPUTED_VALUE"""),0.9)</f>
        <v>0.9</v>
      </c>
      <c r="F372" s="154" t="str">
        <f>IFERROR(__xludf.DUMMYFUNCTION("""COMPUTED_VALUE"""),"SI")</f>
        <v>SI</v>
      </c>
      <c r="G372" s="155"/>
      <c r="H372" s="168"/>
    </row>
    <row r="373" ht="26.25" customHeight="1">
      <c r="A373" s="166" t="str">
        <f>IFERROR(__xludf.DUMMYFUNCTION("""COMPUTED_VALUE"""),"REU_005")</f>
        <v>REU_005</v>
      </c>
      <c r="B373" s="164" t="str">
        <f>IFERROR(__xludf.DUMMYFUNCTION("""COMPUTED_VALUE"""),"REUNION")</f>
        <v>REUNION</v>
      </c>
      <c r="C373" s="154" t="str">
        <f>IFERROR(__xludf.DUMMYFUNCTION("""COMPUTED_VALUE"""),"COMUNIDAD")</f>
        <v>COMUNIDAD</v>
      </c>
      <c r="D373" s="165" t="str">
        <f>IFERROR(__xludf.DUMMYFUNCTION("""COMPUTED_VALUE"""),"PRE COMSE")</f>
        <v>PRE COMSE</v>
      </c>
      <c r="E373" s="167">
        <f>IFERROR(__xludf.DUMMYFUNCTION("""COMPUTED_VALUE"""),0.375)</f>
        <v>0.375</v>
      </c>
      <c r="F373" s="154" t="str">
        <f>IFERROR(__xludf.DUMMYFUNCTION("""COMPUTED_VALUE"""),"SI")</f>
        <v>SI</v>
      </c>
      <c r="G373" s="155"/>
      <c r="H373" s="168"/>
    </row>
    <row r="374" ht="26.25" customHeight="1">
      <c r="A374" s="166" t="str">
        <f>IFERROR(__xludf.DUMMYFUNCTION("""COMPUTED_VALUE"""),"REU_006")</f>
        <v>REU_006</v>
      </c>
      <c r="B374" s="164" t="str">
        <f>IFERROR(__xludf.DUMMYFUNCTION("""COMPUTED_VALUE"""),"REUNION")</f>
        <v>REUNION</v>
      </c>
      <c r="C374" s="154" t="str">
        <f>IFERROR(__xludf.DUMMYFUNCTION("""COMPUTED_VALUE"""),"COMUNIDAD")</f>
        <v>COMUNIDAD</v>
      </c>
      <c r="D374" s="165" t="str">
        <f>IFERROR(__xludf.DUMMYFUNCTION("""COMPUTED_VALUE"""),"PRE COMSE (1,5 HR - X10)")</f>
        <v>PRE COMSE (1,5 HR - X10)</v>
      </c>
      <c r="E374" s="167">
        <f>IFERROR(__xludf.DUMMYFUNCTION("""COMPUTED_VALUE"""),0.375)</f>
        <v>0.375</v>
      </c>
      <c r="F374" s="154" t="str">
        <f>IFERROR(__xludf.DUMMYFUNCTION("""COMPUTED_VALUE"""),"SI")</f>
        <v>SI</v>
      </c>
      <c r="G374" s="155"/>
      <c r="H374" s="168"/>
    </row>
    <row r="375" ht="26.25" customHeight="1">
      <c r="A375" s="166" t="str">
        <f>IFERROR(__xludf.DUMMYFUNCTION("""COMPUTED_VALUE"""),"REU_007")</f>
        <v>REU_007</v>
      </c>
      <c r="B375" s="164" t="str">
        <f>IFERROR(__xludf.DUMMYFUNCTION("""COMPUTED_VALUE"""),"REUNION")</f>
        <v>REUNION</v>
      </c>
      <c r="C375" s="154" t="str">
        <f>IFERROR(__xludf.DUMMYFUNCTION("""COMPUTED_VALUE"""),"COMUNIDAD")</f>
        <v>COMUNIDAD</v>
      </c>
      <c r="D375" s="165" t="str">
        <f>IFERROR(__xludf.DUMMYFUNCTION("""COMPUTED_VALUE"""),"PRE COMSE (3 HRS - X6)")</f>
        <v>PRE COMSE (3 HRS - X6)</v>
      </c>
      <c r="E375" s="167">
        <f>IFERROR(__xludf.DUMMYFUNCTION("""COMPUTED_VALUE"""),0.45)</f>
        <v>0.45</v>
      </c>
      <c r="F375" s="154" t="str">
        <f>IFERROR(__xludf.DUMMYFUNCTION("""COMPUTED_VALUE"""),"SI")</f>
        <v>SI</v>
      </c>
      <c r="G375" s="155"/>
      <c r="H375" s="168"/>
    </row>
    <row r="376" ht="26.25" customHeight="1">
      <c r="A376" s="166" t="str">
        <f>IFERROR(__xludf.DUMMYFUNCTION("""COMPUTED_VALUE"""),"REU_008")</f>
        <v>REU_008</v>
      </c>
      <c r="B376" s="164" t="str">
        <f>IFERROR(__xludf.DUMMYFUNCTION("""COMPUTED_VALUE"""),"REUNION")</f>
        <v>REUNION</v>
      </c>
      <c r="C376" s="154" t="str">
        <f>IFERROR(__xludf.DUMMYFUNCTION("""COMPUTED_VALUE"""),"COMUNIDAD")</f>
        <v>COMUNIDAD</v>
      </c>
      <c r="D376" s="165" t="str">
        <f>IFERROR(__xludf.DUMMYFUNCTION("""COMPUTED_VALUE"""),"REUNION CONSEJO LOCAL DE SALUD")</f>
        <v>REUNION CONSEJO LOCAL DE SALUD</v>
      </c>
      <c r="E376" s="167">
        <f>IFERROR(__xludf.DUMMYFUNCTION("""COMPUTED_VALUE"""),0.75)</f>
        <v>0.75</v>
      </c>
      <c r="F376" s="154" t="str">
        <f>IFERROR(__xludf.DUMMYFUNCTION("""COMPUTED_VALUE"""),"SI")</f>
        <v>SI</v>
      </c>
      <c r="G376" s="155"/>
      <c r="H376" s="168"/>
    </row>
    <row r="377" ht="26.25" customHeight="1">
      <c r="A377" s="166" t="str">
        <f>IFERROR(__xludf.DUMMYFUNCTION("""COMPUTED_VALUE"""),"REU_011")</f>
        <v>REU_011</v>
      </c>
      <c r="B377" s="164" t="str">
        <f>IFERROR(__xludf.DUMMYFUNCTION("""COMPUTED_VALUE"""),"REUNION")</f>
        <v>REUNION</v>
      </c>
      <c r="C377" s="154" t="str">
        <f>IFERROR(__xludf.DUMMYFUNCTION("""COMPUTED_VALUE"""),"COMUNIDAD")</f>
        <v>COMUNIDAD</v>
      </c>
      <c r="D377" s="165" t="str">
        <f>IFERROR(__xludf.DUMMYFUNCTION("""COMPUTED_VALUE"""),"REUNION MESA INTERINSTITUCIONAL ADULTO MAYOR")</f>
        <v>REUNION MESA INTERINSTITUCIONAL ADULTO MAYOR</v>
      </c>
      <c r="E377" s="167">
        <f>IFERROR(__xludf.DUMMYFUNCTION("""COMPUTED_VALUE"""),0.5999999999912689)</f>
        <v>0.6</v>
      </c>
      <c r="F377" s="154" t="str">
        <f>IFERROR(__xludf.DUMMYFUNCTION("""COMPUTED_VALUE"""),"SI")</f>
        <v>SI</v>
      </c>
      <c r="G377" s="155"/>
      <c r="H377" s="168"/>
    </row>
    <row r="378" ht="15.75" customHeight="1">
      <c r="A378" s="56" t="str">
        <f>IFERROR(__xludf.DUMMYFUNCTION("""COMPUTED_VALUE"""),"REU_012")</f>
        <v>REU_012</v>
      </c>
      <c r="B378" s="56" t="str">
        <f>IFERROR(__xludf.DUMMYFUNCTION("""COMPUTED_VALUE"""),"REUNION")</f>
        <v>REUNION</v>
      </c>
      <c r="C378" s="56" t="str">
        <f>IFERROR(__xludf.DUMMYFUNCTION("""COMPUTED_VALUE"""),"COMUNIDAD")</f>
        <v>COMUNIDAD</v>
      </c>
      <c r="D378" s="56" t="str">
        <f>IFERROR(__xludf.DUMMYFUNCTION("""COMPUTED_VALUE"""),"REUNION UCAM UCOM OTROS")</f>
        <v>REUNION UCAM UCOM OTROS</v>
      </c>
      <c r="E378" s="55">
        <f>IFERROR(__xludf.DUMMYFUNCTION("""COMPUTED_VALUE"""),0.2999999999825377)</f>
        <v>0.3</v>
      </c>
      <c r="F378" s="56" t="str">
        <f>IFERROR(__xludf.DUMMYFUNCTION("""COMPUTED_VALUE"""),"SI")</f>
        <v>SI</v>
      </c>
    </row>
    <row r="379" ht="15.75" customHeight="1">
      <c r="A379" s="56" t="str">
        <f>IFERROR(__xludf.DUMMYFUNCTION("""COMPUTED_VALUE"""),"REU_009")</f>
        <v>REU_009</v>
      </c>
      <c r="B379" s="56" t="str">
        <f>IFERROR(__xludf.DUMMYFUNCTION("""COMPUTED_VALUE"""),"REUNION")</f>
        <v>REUNION</v>
      </c>
      <c r="C379" s="56" t="str">
        <f>IFERROR(__xludf.DUMMYFUNCTION("""COMPUTED_VALUE"""),"COMUNIDAD")</f>
        <v>COMUNIDAD</v>
      </c>
      <c r="D379" s="56" t="str">
        <f>IFERROR(__xludf.DUMMYFUNCTION("""COMPUTED_VALUE"""),"REUNIÓN ENCARGADXS PYP (CENTRAL)")</f>
        <v>REUNIÓN ENCARGADXS PYP (CENTRAL)</v>
      </c>
      <c r="E379" s="55">
        <f>IFERROR(__xludf.DUMMYFUNCTION("""COMPUTED_VALUE"""),1.25)</f>
        <v>1.25</v>
      </c>
      <c r="F379" s="56" t="str">
        <f>IFERROR(__xludf.DUMMYFUNCTION("""COMPUTED_VALUE"""),"SI")</f>
        <v>SI</v>
      </c>
    </row>
    <row r="380" ht="15.75" customHeight="1">
      <c r="A380" s="56" t="str">
        <f>IFERROR(__xludf.DUMMYFUNCTION("""COMPUTED_VALUE"""),"REU_010")</f>
        <v>REU_010</v>
      </c>
      <c r="B380" s="56" t="str">
        <f>IFERROR(__xludf.DUMMYFUNCTION("""COMPUTED_VALUE"""),"REUNION")</f>
        <v>REUNION</v>
      </c>
      <c r="C380" s="56" t="str">
        <f>IFERROR(__xludf.DUMMYFUNCTION("""COMPUTED_VALUE"""),"COMUNIDAD")</f>
        <v>COMUNIDAD</v>
      </c>
      <c r="D380" s="56" t="str">
        <f>IFERROR(__xludf.DUMMYFUNCTION("""COMPUTED_VALUE"""),"REUNIÓN EQUIPO SEDE VECINAL (2 HRS - X6)")</f>
        <v>REUNIÓN EQUIPO SEDE VECINAL (2 HRS - X6)</v>
      </c>
      <c r="E380" s="55">
        <f>IFERROR(__xludf.DUMMYFUNCTION("""COMPUTED_VALUE"""),0.2999999999956344)</f>
        <v>0.3</v>
      </c>
      <c r="F380" s="56" t="str">
        <f>IFERROR(__xludf.DUMMYFUNCTION("""COMPUTED_VALUE"""),"SI")</f>
        <v>SI</v>
      </c>
    </row>
    <row r="381" ht="15.75" customHeight="1">
      <c r="A381" s="56" t="str">
        <f>IFERROR(__xludf.DUMMYFUNCTION("""COMPUTED_VALUE"""),"REU_013")</f>
        <v>REU_013</v>
      </c>
      <c r="B381" s="56" t="str">
        <f>IFERROR(__xludf.DUMMYFUNCTION("""COMPUTED_VALUE"""),"REUNION")</f>
        <v>REUNION</v>
      </c>
      <c r="C381" s="56" t="str">
        <f>IFERROR(__xludf.DUMMYFUNCTION("""COMPUTED_VALUE"""),"DERECHOS Y DEBERES")</f>
        <v>DERECHOS Y DEBERES</v>
      </c>
      <c r="D381" s="56" t="str">
        <f>IFERROR(__xludf.DUMMYFUNCTION("""COMPUTED_VALUE"""),"REUNIÓN ENCARGADXS OIRS (CENTRAL)")</f>
        <v>REUNIÓN ENCARGADXS OIRS (CENTRAL)</v>
      </c>
      <c r="E381" s="55">
        <f>IFERROR(__xludf.DUMMYFUNCTION("""COMPUTED_VALUE"""),0.624999999992724)</f>
        <v>0.625</v>
      </c>
      <c r="F381" s="56" t="str">
        <f>IFERROR(__xludf.DUMMYFUNCTION("""COMPUTED_VALUE"""),"SI")</f>
        <v>SI</v>
      </c>
    </row>
    <row r="382" ht="15.75" customHeight="1">
      <c r="A382" s="56" t="str">
        <f>IFERROR(__xludf.DUMMYFUNCTION("""COMPUTED_VALUE"""),"REU_014")</f>
        <v>REU_014</v>
      </c>
      <c r="B382" s="56" t="str">
        <f>IFERROR(__xludf.DUMMYFUNCTION("""COMPUTED_VALUE"""),"REUNION")</f>
        <v>REUNION</v>
      </c>
      <c r="C382" s="56" t="str">
        <f>IFERROR(__xludf.DUMMYFUNCTION("""COMPUTED_VALUE"""),"DERECHOS Y DEBERES")</f>
        <v>DERECHOS Y DEBERES</v>
      </c>
      <c r="D382" s="56" t="str">
        <f>IFERROR(__xludf.DUMMYFUNCTION("""COMPUTED_VALUE"""),"REUNIÓN OIRS - CESFAM (1 HORA)")</f>
        <v>REUNIÓN OIRS - CESFAM (1 HORA)</v>
      </c>
      <c r="E382" s="55">
        <f>IFERROR(__xludf.DUMMYFUNCTION("""COMPUTED_VALUE"""),0.25000000000727596)</f>
        <v>0.25</v>
      </c>
      <c r="F382" s="56" t="str">
        <f>IFERROR(__xludf.DUMMYFUNCTION("""COMPUTED_VALUE"""),"SI")</f>
        <v>SI</v>
      </c>
    </row>
    <row r="383" ht="15.75" customHeight="1">
      <c r="A383" s="56" t="str">
        <f>IFERROR(__xludf.DUMMYFUNCTION("""COMPUTED_VALUE"""),"REU_015")</f>
        <v>REU_015</v>
      </c>
      <c r="B383" s="56" t="str">
        <f>IFERROR(__xludf.DUMMYFUNCTION("""COMPUTED_VALUE"""),"REUNION")</f>
        <v>REUNION</v>
      </c>
      <c r="C383" s="56" t="str">
        <f>IFERROR(__xludf.DUMMYFUNCTION("""COMPUTED_VALUE"""),"DERECHOS Y DEBERES")</f>
        <v>DERECHOS Y DEBERES</v>
      </c>
      <c r="D383" s="56" t="str">
        <f>IFERROR(__xludf.DUMMYFUNCTION("""COMPUTED_VALUE"""),"REUNIÓN OIRS - CESFAM (2 HORA)")</f>
        <v>REUNIÓN OIRS - CESFAM (2 HORA)</v>
      </c>
      <c r="E383" s="55">
        <f>IFERROR(__xludf.DUMMYFUNCTION("""COMPUTED_VALUE"""),0.5000000000145519)</f>
        <v>0.5</v>
      </c>
      <c r="F383" s="56" t="str">
        <f>IFERROR(__xludf.DUMMYFUNCTION("""COMPUTED_VALUE"""),"SI")</f>
        <v>SI</v>
      </c>
    </row>
    <row r="384" ht="15.75" customHeight="1">
      <c r="A384" s="56" t="str">
        <f>IFERROR(__xludf.DUMMYFUNCTION("""COMPUTED_VALUE"""),"REU_016")</f>
        <v>REU_016</v>
      </c>
      <c r="B384" s="56" t="str">
        <f>IFERROR(__xludf.DUMMYFUNCTION("""COMPUTED_VALUE"""),"REUNION")</f>
        <v>REUNION</v>
      </c>
      <c r="C384" s="56" t="str">
        <f>IFERROR(__xludf.DUMMYFUNCTION("""COMPUTED_VALUE"""),"DERECHOS Y DEBERES")</f>
        <v>DERECHOS Y DEBERES</v>
      </c>
      <c r="D384" s="56" t="str">
        <f>IFERROR(__xludf.DUMMYFUNCTION("""COMPUTED_VALUE"""),"REUNIÓN REFERENTE DE MIGRANTES (CENTRAL)")</f>
        <v>REUNIÓN REFERENTE DE MIGRANTES (CENTRAL)</v>
      </c>
      <c r="E384" s="55">
        <f>IFERROR(__xludf.DUMMYFUNCTION("""COMPUTED_VALUE"""),0.624999999992724)</f>
        <v>0.625</v>
      </c>
      <c r="F384" s="56" t="str">
        <f>IFERROR(__xludf.DUMMYFUNCTION("""COMPUTED_VALUE"""),"SI")</f>
        <v>SI</v>
      </c>
    </row>
    <row r="385" ht="15.75" customHeight="1">
      <c r="A385" s="56" t="str">
        <f>IFERROR(__xludf.DUMMYFUNCTION("""COMPUTED_VALUE"""),"REU_017")</f>
        <v>REU_017</v>
      </c>
      <c r="B385" s="56" t="str">
        <f>IFERROR(__xludf.DUMMYFUNCTION("""COMPUTED_VALUE"""),"REUNION")</f>
        <v>REUNION</v>
      </c>
      <c r="C385" s="56" t="str">
        <f>IFERROR(__xludf.DUMMYFUNCTION("""COMPUTED_VALUE"""),"EQUIPO")</f>
        <v>EQUIPO</v>
      </c>
      <c r="D385" s="56" t="str">
        <f>IFERROR(__xludf.DUMMYFUNCTION("""COMPUTED_VALUE"""),"CONSEJO TECNICO AMPLIADO SM")</f>
        <v>CONSEJO TECNICO AMPLIADO SM</v>
      </c>
      <c r="E385" s="55">
        <f>IFERROR(__xludf.DUMMYFUNCTION("""COMPUTED_VALUE"""),0.575)</f>
        <v>0.575</v>
      </c>
      <c r="F385" s="56" t="str">
        <f>IFERROR(__xludf.DUMMYFUNCTION("""COMPUTED_VALUE"""),"SI")</f>
        <v>SI</v>
      </c>
    </row>
    <row r="386" ht="15.75" customHeight="1">
      <c r="A386" s="56" t="str">
        <f>IFERROR(__xludf.DUMMYFUNCTION("""COMPUTED_VALUE"""),"REU_018")</f>
        <v>REU_018</v>
      </c>
      <c r="B386" s="56" t="str">
        <f>IFERROR(__xludf.DUMMYFUNCTION("""COMPUTED_VALUE"""),"REUNION")</f>
        <v>REUNION</v>
      </c>
      <c r="C386" s="56" t="str">
        <f>IFERROR(__xludf.DUMMYFUNCTION("""COMPUTED_VALUE"""),"EQUIPO")</f>
        <v>EQUIPO</v>
      </c>
      <c r="D386" s="56" t="str">
        <f>IFERROR(__xludf.DUMMYFUNCTION("""COMPUTED_VALUE"""),"CONSEJO TECNICO AMPLIADO SM (CENTRAL)")</f>
        <v>CONSEJO TECNICO AMPLIADO SM (CENTRAL)</v>
      </c>
      <c r="E386" s="55">
        <f>IFERROR(__xludf.DUMMYFUNCTION("""COMPUTED_VALUE"""),0.575)</f>
        <v>0.575</v>
      </c>
      <c r="F386" s="56" t="str">
        <f>IFERROR(__xludf.DUMMYFUNCTION("""COMPUTED_VALUE"""),"SI")</f>
        <v>SI</v>
      </c>
    </row>
    <row r="387" ht="15.75" customHeight="1">
      <c r="A387" s="56" t="str">
        <f>IFERROR(__xludf.DUMMYFUNCTION("""COMPUTED_VALUE"""),"REU_019")</f>
        <v>REU_019</v>
      </c>
      <c r="B387" s="56" t="str">
        <f>IFERROR(__xludf.DUMMYFUNCTION("""COMPUTED_VALUE"""),"REUNION")</f>
        <v>REUNION</v>
      </c>
      <c r="C387" s="56" t="str">
        <f>IFERROR(__xludf.DUMMYFUNCTION("""COMPUTED_VALUE"""),"EQUIPO")</f>
        <v>EQUIPO</v>
      </c>
      <c r="D387" s="56" t="str">
        <f>IFERROR(__xludf.DUMMYFUNCTION("""COMPUTED_VALUE"""),"CONSEJO TECNICO TERRITORIAL SM")</f>
        <v>CONSEJO TECNICO TERRITORIAL SM</v>
      </c>
      <c r="E387" s="55">
        <f>IFERROR(__xludf.DUMMYFUNCTION("""COMPUTED_VALUE"""),0.575)</f>
        <v>0.575</v>
      </c>
      <c r="F387" s="56" t="str">
        <f>IFERROR(__xludf.DUMMYFUNCTION("""COMPUTED_VALUE"""),"SI")</f>
        <v>SI</v>
      </c>
    </row>
    <row r="388" ht="15.75" customHeight="1">
      <c r="A388" s="56" t="str">
        <f>IFERROR(__xludf.DUMMYFUNCTION("""COMPUTED_VALUE"""),"REU_020")</f>
        <v>REU_020</v>
      </c>
      <c r="B388" s="56" t="str">
        <f>IFERROR(__xludf.DUMMYFUNCTION("""COMPUTED_VALUE"""),"REUNION")</f>
        <v>REUNION</v>
      </c>
      <c r="C388" s="56" t="str">
        <f>IFERROR(__xludf.DUMMYFUNCTION("""COMPUTED_VALUE"""),"EQUIPO")</f>
        <v>EQUIPO</v>
      </c>
      <c r="D388" s="56" t="str">
        <f>IFERROR(__xludf.DUMMYFUNCTION("""COMPUTED_VALUE"""),"CONSEJO TECNICO TERRITORIAL SM (CENTRAL)")</f>
        <v>CONSEJO TECNICO TERRITORIAL SM (CENTRAL)</v>
      </c>
      <c r="E388" s="55">
        <f>IFERROR(__xludf.DUMMYFUNCTION("""COMPUTED_VALUE"""),0.575)</f>
        <v>0.575</v>
      </c>
      <c r="F388" s="56" t="str">
        <f>IFERROR(__xludf.DUMMYFUNCTION("""COMPUTED_VALUE"""),"SI")</f>
        <v>SI</v>
      </c>
    </row>
    <row r="389" ht="15.75" customHeight="1">
      <c r="A389" s="56" t="str">
        <f>IFERROR(__xludf.DUMMYFUNCTION("""COMPUTED_VALUE"""),"REU_021")</f>
        <v>REU_021</v>
      </c>
      <c r="B389" s="56" t="str">
        <f>IFERROR(__xludf.DUMMYFUNCTION("""COMPUTED_VALUE"""),"REUNION")</f>
        <v>REUNION</v>
      </c>
      <c r="C389" s="56" t="str">
        <f>IFERROR(__xludf.DUMMYFUNCTION("""COMPUTED_VALUE"""),"EQUIPO")</f>
        <v>EQUIPO</v>
      </c>
      <c r="D389" s="56" t="str">
        <f>IFERROR(__xludf.DUMMYFUNCTION("""COMPUTED_VALUE"""),"JEFES DE PROGRAMA")</f>
        <v>JEFES DE PROGRAMA</v>
      </c>
      <c r="E389" s="55">
        <f>IFERROR(__xludf.DUMMYFUNCTION("""COMPUTED_VALUE"""),0.5999999999912689)</f>
        <v>0.6</v>
      </c>
      <c r="F389" s="56" t="str">
        <f>IFERROR(__xludf.DUMMYFUNCTION("""COMPUTED_VALUE"""),"SI")</f>
        <v>SI</v>
      </c>
    </row>
    <row r="390" ht="15.75" customHeight="1">
      <c r="A390" s="56" t="str">
        <f>IFERROR(__xludf.DUMMYFUNCTION("""COMPUTED_VALUE"""),"REU_022")</f>
        <v>REU_022</v>
      </c>
      <c r="B390" s="56" t="str">
        <f>IFERROR(__xludf.DUMMYFUNCTION("""COMPUTED_VALUE"""),"REUNION")</f>
        <v>REUNION</v>
      </c>
      <c r="C390" s="56" t="str">
        <f>IFERROR(__xludf.DUMMYFUNCTION("""COMPUTED_VALUE"""),"EQUIPO")</f>
        <v>EQUIPO</v>
      </c>
      <c r="D390" s="56" t="str">
        <f>IFERROR(__xludf.DUMMYFUNCTION("""COMPUTED_VALUE"""),"PSM - REUNIÓN EQUIPO PSICOSOCIAL")</f>
        <v>PSM - REUNIÓN EQUIPO PSICOSOCIAL</v>
      </c>
      <c r="E390" s="55">
        <f>IFERROR(__xludf.DUMMYFUNCTION("""COMPUTED_VALUE"""),0.9)</f>
        <v>0.9</v>
      </c>
      <c r="F390" s="56" t="str">
        <f>IFERROR(__xludf.DUMMYFUNCTION("""COMPUTED_VALUE"""),"SI")</f>
        <v>SI</v>
      </c>
    </row>
    <row r="391" ht="15.75" customHeight="1">
      <c r="A391" s="56" t="str">
        <f>IFERROR(__xludf.DUMMYFUNCTION("""COMPUTED_VALUE"""),"REU_023")</f>
        <v>REU_023</v>
      </c>
      <c r="B391" s="56" t="str">
        <f>IFERROR(__xludf.DUMMYFUNCTION("""COMPUTED_VALUE"""),"REUNION")</f>
        <v>REUNION</v>
      </c>
      <c r="C391" s="56" t="str">
        <f>IFERROR(__xludf.DUMMYFUNCTION("""COMPUTED_VALUE"""),"EQUIPO")</f>
        <v>EQUIPO</v>
      </c>
      <c r="D391" s="56" t="str">
        <f>IFERROR(__xludf.DUMMYFUNCTION("""COMPUTED_VALUE"""),"PSM - REUNIÓN EQUIPO PSICOSOCIAL (1,5 HRS -X12)")</f>
        <v>PSM - REUNIÓN EQUIPO PSICOSOCIAL (1,5 HRS -X12)</v>
      </c>
      <c r="E391" s="55">
        <f>IFERROR(__xludf.DUMMYFUNCTION("""COMPUTED_VALUE"""),0.45)</f>
        <v>0.45</v>
      </c>
      <c r="F391" s="56" t="str">
        <f>IFERROR(__xludf.DUMMYFUNCTION("""COMPUTED_VALUE"""),"SI")</f>
        <v>SI</v>
      </c>
    </row>
    <row r="392" ht="15.75" customHeight="1">
      <c r="A392" s="56" t="str">
        <f>IFERROR(__xludf.DUMMYFUNCTION("""COMPUTED_VALUE"""),"REU_024")</f>
        <v>REU_024</v>
      </c>
      <c r="B392" s="56" t="str">
        <f>IFERROR(__xludf.DUMMYFUNCTION("""COMPUTED_VALUE"""),"REUNION")</f>
        <v>REUNION</v>
      </c>
      <c r="C392" s="56" t="str">
        <f>IFERROR(__xludf.DUMMYFUNCTION("""COMPUTED_VALUE"""),"EQUIPO")</f>
        <v>EQUIPO</v>
      </c>
      <c r="D392" s="56" t="str">
        <f>IFERROR(__xludf.DUMMYFUNCTION("""COMPUTED_VALUE"""),"PSM - REUNIÓN EQUIPO PSICOSOCIAL (2HRS -X10)")</f>
        <v>PSM - REUNIÓN EQUIPO PSICOSOCIAL (2HRS -X10)</v>
      </c>
      <c r="E392" s="55">
        <f>IFERROR(__xludf.DUMMYFUNCTION("""COMPUTED_VALUE"""),0.49999999999272404)</f>
        <v>0.5</v>
      </c>
      <c r="F392" s="56" t="str">
        <f>IFERROR(__xludf.DUMMYFUNCTION("""COMPUTED_VALUE"""),"SI")</f>
        <v>SI</v>
      </c>
    </row>
    <row r="393" ht="15.75" customHeight="1">
      <c r="A393" s="56" t="str">
        <f>IFERROR(__xludf.DUMMYFUNCTION("""COMPUTED_VALUE"""),"REU_025")</f>
        <v>REU_025</v>
      </c>
      <c r="B393" s="56" t="str">
        <f>IFERROR(__xludf.DUMMYFUNCTION("""COMPUTED_VALUE"""),"REUNION")</f>
        <v>REUNION</v>
      </c>
      <c r="C393" s="56" t="str">
        <f>IFERROR(__xludf.DUMMYFUNCTION("""COMPUTED_VALUE"""),"EQUIPO")</f>
        <v>EQUIPO</v>
      </c>
      <c r="D393" s="56" t="str">
        <f>IFERROR(__xludf.DUMMYFUNCTION("""COMPUTED_VALUE"""),"PSM - REUNIÓN EQUIPO PSICOSOCIAL (2HRS -X12)")</f>
        <v>PSM - REUNIÓN EQUIPO PSICOSOCIAL (2HRS -X12)</v>
      </c>
      <c r="E393" s="55">
        <f>IFERROR(__xludf.DUMMYFUNCTION("""COMPUTED_VALUE"""),0.5999999999912689)</f>
        <v>0.6</v>
      </c>
      <c r="F393" s="56" t="str">
        <f>IFERROR(__xludf.DUMMYFUNCTION("""COMPUTED_VALUE"""),"SI")</f>
        <v>SI</v>
      </c>
    </row>
    <row r="394" ht="15.75" customHeight="1">
      <c r="A394" s="56" t="str">
        <f>IFERROR(__xludf.DUMMYFUNCTION("""COMPUTED_VALUE"""),"REU_026")</f>
        <v>REU_026</v>
      </c>
      <c r="B394" s="56" t="str">
        <f>IFERROR(__xludf.DUMMYFUNCTION("""COMPUTED_VALUE"""),"REUNION")</f>
        <v>REUNION</v>
      </c>
      <c r="C394" s="56" t="str">
        <f>IFERROR(__xludf.DUMMYFUNCTION("""COMPUTED_VALUE"""),"EQUIPO")</f>
        <v>EQUIPO</v>
      </c>
      <c r="D394" s="56" t="str">
        <f>IFERROR(__xludf.DUMMYFUNCTION("""COMPUTED_VALUE"""),"PSM - REUNIÓN EQUIPO PSICOSOCIAL (2HRS -X24)")</f>
        <v>PSM - REUNIÓN EQUIPO PSICOSOCIAL (2HRS -X24)</v>
      </c>
      <c r="E394" s="55">
        <f>IFERROR(__xludf.DUMMYFUNCTION("""COMPUTED_VALUE"""),1.1999999999825377)</f>
        <v>1.2</v>
      </c>
      <c r="F394" s="56" t="str">
        <f>IFERROR(__xludf.DUMMYFUNCTION("""COMPUTED_VALUE"""),"SI")</f>
        <v>SI</v>
      </c>
    </row>
    <row r="395" ht="15.75" customHeight="1">
      <c r="A395" s="56" t="str">
        <f>IFERROR(__xludf.DUMMYFUNCTION("""COMPUTED_VALUE"""),"REU_027")</f>
        <v>REU_027</v>
      </c>
      <c r="B395" s="56" t="str">
        <f>IFERROR(__xludf.DUMMYFUNCTION("""COMPUTED_VALUE"""),"REUNION")</f>
        <v>REUNION</v>
      </c>
      <c r="C395" s="56" t="str">
        <f>IFERROR(__xludf.DUMMYFUNCTION("""COMPUTED_VALUE"""),"EQUIPO")</f>
        <v>EQUIPO</v>
      </c>
      <c r="D395" s="56" t="str">
        <f>IFERROR(__xludf.DUMMYFUNCTION("""COMPUTED_VALUE"""),"PSM - REUNIÓN EQUIPO PSICOSOCIAL CECOSF (2HRS -X40)")</f>
        <v>PSM - REUNIÓN EQUIPO PSICOSOCIAL CECOSF (2HRS -X40)</v>
      </c>
      <c r="E395" s="55">
        <f>IFERROR(__xludf.DUMMYFUNCTION("""COMPUTED_VALUE"""),1.0000000000291038)</f>
        <v>1</v>
      </c>
      <c r="F395" s="56" t="str">
        <f>IFERROR(__xludf.DUMMYFUNCTION("""COMPUTED_VALUE"""),"SI")</f>
        <v>SI</v>
      </c>
    </row>
    <row r="396" ht="15.75" customHeight="1">
      <c r="A396" s="56" t="str">
        <f>IFERROR(__xludf.DUMMYFUNCTION("""COMPUTED_VALUE"""),"REU_032")</f>
        <v>REU_032</v>
      </c>
      <c r="B396" s="56" t="str">
        <f>IFERROR(__xludf.DUMMYFUNCTION("""COMPUTED_VALUE"""),"REUNION")</f>
        <v>REUNION</v>
      </c>
      <c r="C396" s="56" t="str">
        <f>IFERROR(__xludf.DUMMYFUNCTION("""COMPUTED_VALUE"""),"EQUIPO")</f>
        <v>EQUIPO</v>
      </c>
      <c r="D396" s="56" t="str">
        <f>IFERROR(__xludf.DUMMYFUNCTION("""COMPUTED_VALUE"""),"REUNION EQUIPO CUIDADOS MUTUOS")</f>
        <v>REUNION EQUIPO CUIDADOS MUTUOS</v>
      </c>
      <c r="E396" s="55">
        <f>IFERROR(__xludf.DUMMYFUNCTION("""COMPUTED_VALUE"""),0.5999999999912689)</f>
        <v>0.6</v>
      </c>
      <c r="F396" s="56" t="str">
        <f>IFERROR(__xludf.DUMMYFUNCTION("""COMPUTED_VALUE"""),"SI")</f>
        <v>SI</v>
      </c>
    </row>
    <row r="397" ht="15.75" customHeight="1">
      <c r="A397" s="56" t="str">
        <f>IFERROR(__xludf.DUMMYFUNCTION("""COMPUTED_VALUE"""),"REU_033")</f>
        <v>REU_033</v>
      </c>
      <c r="B397" s="56" t="str">
        <f>IFERROR(__xludf.DUMMYFUNCTION("""COMPUTED_VALUE"""),"REUNION")</f>
        <v>REUNION</v>
      </c>
      <c r="C397" s="56" t="str">
        <f>IFERROR(__xludf.DUMMYFUNCTION("""COMPUTED_VALUE"""),"EQUIPO")</f>
        <v>EQUIPO</v>
      </c>
      <c r="D397" s="56" t="str">
        <f>IFERROR(__xludf.DUMMYFUNCTION("""COMPUTED_VALUE"""),"REUNION EQUIPO CUIDADOS MUTUOS  (3 HRS -X12)")</f>
        <v>REUNION EQUIPO CUIDADOS MUTUOS  (3 HRS -X12)</v>
      </c>
      <c r="E397" s="55">
        <f>IFERROR(__xludf.DUMMYFUNCTION("""COMPUTED_VALUE"""),0.9)</f>
        <v>0.9</v>
      </c>
      <c r="F397" s="56" t="str">
        <f>IFERROR(__xludf.DUMMYFUNCTION("""COMPUTED_VALUE"""),"SI")</f>
        <v>SI</v>
      </c>
    </row>
    <row r="398" ht="15.75" customHeight="1">
      <c r="A398" s="56" t="str">
        <f>IFERROR(__xludf.DUMMYFUNCTION("""COMPUTED_VALUE"""),"REU_028")</f>
        <v>REU_028</v>
      </c>
      <c r="B398" s="56" t="str">
        <f>IFERROR(__xludf.DUMMYFUNCTION("""COMPUTED_VALUE"""),"REUNION")</f>
        <v>REUNION</v>
      </c>
      <c r="C398" s="56" t="str">
        <f>IFERROR(__xludf.DUMMYFUNCTION("""COMPUTED_VALUE"""),"EQUIPO")</f>
        <v>EQUIPO</v>
      </c>
      <c r="D398" s="56" t="str">
        <f>IFERROR(__xludf.DUMMYFUNCTION("""COMPUTED_VALUE"""),"REUNIÓN  SALUDABLEMENTE (3 HRS - X 12)")</f>
        <v>REUNIÓN  SALUDABLEMENTE (3 HRS - X 12)</v>
      </c>
      <c r="E398" s="55">
        <f>IFERROR(__xludf.DUMMYFUNCTION("""COMPUTED_VALUE"""),0.9)</f>
        <v>0.9</v>
      </c>
      <c r="F398" s="56" t="str">
        <f>IFERROR(__xludf.DUMMYFUNCTION("""COMPUTED_VALUE"""),"SI")</f>
        <v>SI</v>
      </c>
    </row>
    <row r="399" ht="15.75" customHeight="1">
      <c r="A399" s="56" t="str">
        <f>IFERROR(__xludf.DUMMYFUNCTION("""COMPUTED_VALUE"""),"REU_029")</f>
        <v>REU_029</v>
      </c>
      <c r="B399" s="56" t="str">
        <f>IFERROR(__xludf.DUMMYFUNCTION("""COMPUTED_VALUE"""),"REUNION")</f>
        <v>REUNION</v>
      </c>
      <c r="C399" s="56" t="str">
        <f>IFERROR(__xludf.DUMMYFUNCTION("""COMPUTED_VALUE"""),"EQUIPO")</f>
        <v>EQUIPO</v>
      </c>
      <c r="D399" s="56" t="str">
        <f>IFERROR(__xludf.DUMMYFUNCTION("""COMPUTED_VALUE"""),"REUNIÓN COMITE DIFUSION")</f>
        <v>REUNIÓN COMITE DIFUSION</v>
      </c>
      <c r="E399" s="55">
        <f>IFERROR(__xludf.DUMMYFUNCTION("""COMPUTED_VALUE"""),0.49999999999272404)</f>
        <v>0.5</v>
      </c>
      <c r="F399" s="56" t="str">
        <f>IFERROR(__xludf.DUMMYFUNCTION("""COMPUTED_VALUE"""),"SI")</f>
        <v>SI</v>
      </c>
    </row>
    <row r="400" ht="15.75" customHeight="1">
      <c r="A400" s="56" t="str">
        <f>IFERROR(__xludf.DUMMYFUNCTION("""COMPUTED_VALUE"""),"REU_030")</f>
        <v>REU_030</v>
      </c>
      <c r="B400" s="56" t="str">
        <f>IFERROR(__xludf.DUMMYFUNCTION("""COMPUTED_VALUE"""),"REUNION")</f>
        <v>REUNION</v>
      </c>
      <c r="C400" s="56" t="str">
        <f>IFERROR(__xludf.DUMMYFUNCTION("""COMPUTED_VALUE"""),"EQUIPO")</f>
        <v>EQUIPO</v>
      </c>
      <c r="D400" s="56" t="str">
        <f>IFERROR(__xludf.DUMMYFUNCTION("""COMPUTED_VALUE"""),"REUNIÓN COMITE DIFUSION (2 HRS - X10)")</f>
        <v>REUNIÓN COMITE DIFUSION (2 HRS - X10)</v>
      </c>
      <c r="E400" s="55">
        <f>IFERROR(__xludf.DUMMYFUNCTION("""COMPUTED_VALUE"""),0.49999999999272404)</f>
        <v>0.5</v>
      </c>
      <c r="F400" s="56" t="str">
        <f>IFERROR(__xludf.DUMMYFUNCTION("""COMPUTED_VALUE"""),"SI")</f>
        <v>SI</v>
      </c>
    </row>
    <row r="401" ht="15.75" customHeight="1">
      <c r="A401" s="56" t="str">
        <f>IFERROR(__xludf.DUMMYFUNCTION("""COMPUTED_VALUE"""),"REU_031")</f>
        <v>REU_031</v>
      </c>
      <c r="B401" s="56" t="str">
        <f>IFERROR(__xludf.DUMMYFUNCTION("""COMPUTED_VALUE"""),"REUNION")</f>
        <v>REUNION</v>
      </c>
      <c r="C401" s="56" t="str">
        <f>IFERROR(__xludf.DUMMYFUNCTION("""COMPUTED_VALUE"""),"EQUIPO")</f>
        <v>EQUIPO</v>
      </c>
      <c r="D401" s="56" t="str">
        <f>IFERROR(__xludf.DUMMYFUNCTION("""COMPUTED_VALUE"""),"REUNIÓN COMITE DIFUSION (3 HRS - X3)")</f>
        <v>REUNIÓN COMITE DIFUSION (3 HRS - X3)</v>
      </c>
      <c r="E401" s="55">
        <f>IFERROR(__xludf.DUMMYFUNCTION("""COMPUTED_VALUE"""),0.225)</f>
        <v>0.225</v>
      </c>
      <c r="F401" s="56" t="str">
        <f>IFERROR(__xludf.DUMMYFUNCTION("""COMPUTED_VALUE"""),"SI")</f>
        <v>SI</v>
      </c>
    </row>
    <row r="402" ht="15.75" customHeight="1">
      <c r="A402" s="56" t="str">
        <f>IFERROR(__xludf.DUMMYFUNCTION("""COMPUTED_VALUE"""),"REU_034")</f>
        <v>REU_034</v>
      </c>
      <c r="B402" s="56" t="str">
        <f>IFERROR(__xludf.DUMMYFUNCTION("""COMPUTED_VALUE"""),"REUNION")</f>
        <v>REUNION</v>
      </c>
      <c r="C402" s="56" t="str">
        <f>IFERROR(__xludf.DUMMYFUNCTION("""COMPUTED_VALUE"""),"EQUIPO")</f>
        <v>EQUIPO</v>
      </c>
      <c r="D402" s="56" t="str">
        <f>IFERROR(__xludf.DUMMYFUNCTION("""COMPUTED_VALUE"""),"REUNIÓN EQUIPO DENTAL")</f>
        <v>REUNIÓN EQUIPO DENTAL</v>
      </c>
      <c r="E402" s="55">
        <f>IFERROR(__xludf.DUMMYFUNCTION("""COMPUTED_VALUE"""),0.5499999999919964)</f>
        <v>0.55</v>
      </c>
      <c r="F402" s="56" t="str">
        <f>IFERROR(__xludf.DUMMYFUNCTION("""COMPUTED_VALUE"""),"SI")</f>
        <v>SI</v>
      </c>
    </row>
    <row r="403" ht="15.75" customHeight="1">
      <c r="A403" s="56" t="str">
        <f>IFERROR(__xludf.DUMMYFUNCTION("""COMPUTED_VALUE"""),"REU_035")</f>
        <v>REU_035</v>
      </c>
      <c r="B403" s="56" t="str">
        <f>IFERROR(__xludf.DUMMYFUNCTION("""COMPUTED_VALUE"""),"REUNION")</f>
        <v>REUNION</v>
      </c>
      <c r="C403" s="56" t="str">
        <f>IFERROR(__xludf.DUMMYFUNCTION("""COMPUTED_VALUE"""),"EQUIPO")</f>
        <v>EQUIPO</v>
      </c>
      <c r="D403" s="56" t="str">
        <f>IFERROR(__xludf.DUMMYFUNCTION("""COMPUTED_VALUE"""),"REUNIÓN EQUIPO ENFERMERIA")</f>
        <v>REUNIÓN EQUIPO ENFERMERIA</v>
      </c>
      <c r="E403" s="55">
        <f>IFERROR(__xludf.DUMMYFUNCTION("""COMPUTED_VALUE"""),0.49999999999272404)</f>
        <v>0.5</v>
      </c>
      <c r="F403" s="56" t="str">
        <f>IFERROR(__xludf.DUMMYFUNCTION("""COMPUTED_VALUE"""),"SI")</f>
        <v>SI</v>
      </c>
    </row>
    <row r="404" ht="15.75" customHeight="1">
      <c r="A404" s="56" t="str">
        <f>IFERROR(__xludf.DUMMYFUNCTION("""COMPUTED_VALUE"""),"REU_036")</f>
        <v>REU_036</v>
      </c>
      <c r="B404" s="56" t="str">
        <f>IFERROR(__xludf.DUMMYFUNCTION("""COMPUTED_VALUE"""),"REUNION")</f>
        <v>REUNION</v>
      </c>
      <c r="C404" s="56" t="str">
        <f>IFERROR(__xludf.DUMMYFUNCTION("""COMPUTED_VALUE"""),"EQUIPO")</f>
        <v>EQUIPO</v>
      </c>
      <c r="D404" s="56" t="str">
        <f>IFERROR(__xludf.DUMMYFUNCTION("""COMPUTED_VALUE"""),"REUNIÓN EQUIPO ENFERMERIA ( 3 HRS - X 5)")</f>
        <v>REUNIÓN EQUIPO ENFERMERIA ( 3 HRS - X 5)</v>
      </c>
      <c r="E404" s="55">
        <f>IFERROR(__xludf.DUMMYFUNCTION("""COMPUTED_VALUE"""),0.375)</f>
        <v>0.375</v>
      </c>
      <c r="F404" s="56" t="str">
        <f>IFERROR(__xludf.DUMMYFUNCTION("""COMPUTED_VALUE"""),"SI")</f>
        <v>SI</v>
      </c>
    </row>
    <row r="405" ht="15.75" customHeight="1">
      <c r="A405" s="56" t="str">
        <f>IFERROR(__xludf.DUMMYFUNCTION("""COMPUTED_VALUE"""),"REU_037")</f>
        <v>REU_037</v>
      </c>
      <c r="B405" s="56" t="str">
        <f>IFERROR(__xludf.DUMMYFUNCTION("""COMPUTED_VALUE"""),"REUNION")</f>
        <v>REUNION</v>
      </c>
      <c r="C405" s="56" t="str">
        <f>IFERROR(__xludf.DUMMYFUNCTION("""COMPUTED_VALUE"""),"EQUIPO")</f>
        <v>EQUIPO</v>
      </c>
      <c r="D405" s="56" t="str">
        <f>IFERROR(__xludf.DUMMYFUNCTION("""COMPUTED_VALUE"""),"REUNIÓN EQUIPO ENFERMERIA (1,5 HR - X6)")</f>
        <v>REUNIÓN EQUIPO ENFERMERIA (1,5 HR - X6)</v>
      </c>
      <c r="E405" s="55">
        <f>IFERROR(__xludf.DUMMYFUNCTION("""COMPUTED_VALUE"""),0.225)</f>
        <v>0.225</v>
      </c>
      <c r="F405" s="56" t="str">
        <f>IFERROR(__xludf.DUMMYFUNCTION("""COMPUTED_VALUE"""),"SI")</f>
        <v>SI</v>
      </c>
    </row>
    <row r="406" ht="15.75" customHeight="1">
      <c r="A406" s="56" t="str">
        <f>IFERROR(__xludf.DUMMYFUNCTION("""COMPUTED_VALUE"""),"REU_038")</f>
        <v>REU_038</v>
      </c>
      <c r="B406" s="56" t="str">
        <f>IFERROR(__xludf.DUMMYFUNCTION("""COMPUTED_VALUE"""),"REUNION")</f>
        <v>REUNION</v>
      </c>
      <c r="C406" s="56" t="str">
        <f>IFERROR(__xludf.DUMMYFUNCTION("""COMPUTED_VALUE"""),"EQUIPO")</f>
        <v>EQUIPO</v>
      </c>
      <c r="D406" s="56" t="str">
        <f>IFERROR(__xludf.DUMMYFUNCTION("""COMPUTED_VALUE"""),"REUNIÓN EQUIPO ENFERMERIA (2 HRS - X10)")</f>
        <v>REUNIÓN EQUIPO ENFERMERIA (2 HRS - X10)</v>
      </c>
      <c r="E406" s="55">
        <f>IFERROR(__xludf.DUMMYFUNCTION("""COMPUTED_VALUE"""),0.49999999999272404)</f>
        <v>0.5</v>
      </c>
      <c r="F406" s="56" t="str">
        <f>IFERROR(__xludf.DUMMYFUNCTION("""COMPUTED_VALUE"""),"SI")</f>
        <v>SI</v>
      </c>
    </row>
    <row r="407" ht="15.75" customHeight="1">
      <c r="A407" s="56" t="str">
        <f>IFERROR(__xludf.DUMMYFUNCTION("""COMPUTED_VALUE"""),"REU_039")</f>
        <v>REU_039</v>
      </c>
      <c r="B407" s="56" t="str">
        <f>IFERROR(__xludf.DUMMYFUNCTION("""COMPUTED_VALUE"""),"REUNION")</f>
        <v>REUNION</v>
      </c>
      <c r="C407" s="56" t="str">
        <f>IFERROR(__xludf.DUMMYFUNCTION("""COMPUTED_VALUE"""),"EQUIPO")</f>
        <v>EQUIPO</v>
      </c>
      <c r="D407" s="56" t="str">
        <f>IFERROR(__xludf.DUMMYFUNCTION("""COMPUTED_VALUE"""),"REUNIÓN EQUIPO ENFERMERIA (2HRS - X6)")</f>
        <v>REUNIÓN EQUIPO ENFERMERIA (2HRS - X6)</v>
      </c>
      <c r="E407" s="55">
        <f>IFERROR(__xludf.DUMMYFUNCTION("""COMPUTED_VALUE"""),0.2999999999956344)</f>
        <v>0.3</v>
      </c>
      <c r="F407" s="56" t="str">
        <f>IFERROR(__xludf.DUMMYFUNCTION("""COMPUTED_VALUE"""),"SI")</f>
        <v>SI</v>
      </c>
    </row>
    <row r="408" ht="15.75" customHeight="1">
      <c r="A408" s="56" t="str">
        <f>IFERROR(__xludf.DUMMYFUNCTION("""COMPUTED_VALUE"""),"REU_041")</f>
        <v>REU_041</v>
      </c>
      <c r="B408" s="56" t="str">
        <f>IFERROR(__xludf.DUMMYFUNCTION("""COMPUTED_VALUE"""),"REUNION")</f>
        <v>REUNION</v>
      </c>
      <c r="C408" s="56" t="str">
        <f>IFERROR(__xludf.DUMMYFUNCTION("""COMPUTED_VALUE"""),"EQUIPO")</f>
        <v>EQUIPO</v>
      </c>
      <c r="D408" s="56" t="str">
        <f>IFERROR(__xludf.DUMMYFUNCTION("""COMPUTED_VALUE"""),"REUNIÓN EQUIPO MATRONAS")</f>
        <v>REUNIÓN EQUIPO MATRONAS</v>
      </c>
      <c r="E408" s="55">
        <f>IFERROR(__xludf.DUMMYFUNCTION("""COMPUTED_VALUE"""),0.49999999999272404)</f>
        <v>0.5</v>
      </c>
      <c r="F408" s="56" t="str">
        <f>IFERROR(__xludf.DUMMYFUNCTION("""COMPUTED_VALUE"""),"SI")</f>
        <v>SI</v>
      </c>
    </row>
    <row r="409" ht="15.75" customHeight="1">
      <c r="A409" s="56" t="str">
        <f>IFERROR(__xludf.DUMMYFUNCTION("""COMPUTED_VALUE"""),"REU_042")</f>
        <v>REU_042</v>
      </c>
      <c r="B409" s="56" t="str">
        <f>IFERROR(__xludf.DUMMYFUNCTION("""COMPUTED_VALUE"""),"REUNION")</f>
        <v>REUNION</v>
      </c>
      <c r="C409" s="56" t="str">
        <f>IFERROR(__xludf.DUMMYFUNCTION("""COMPUTED_VALUE"""),"EQUIPO")</f>
        <v>EQUIPO</v>
      </c>
      <c r="D409" s="56" t="str">
        <f>IFERROR(__xludf.DUMMYFUNCTION("""COMPUTED_VALUE"""),"REUNIÓN EQUIPO MATRONAS (1 HRS - X6)")</f>
        <v>REUNIÓN EQUIPO MATRONAS (1 HRS - X6)</v>
      </c>
      <c r="E409" s="55">
        <f>IFERROR(__xludf.DUMMYFUNCTION("""COMPUTED_VALUE"""),0.15000000000436559)</f>
        <v>0.15</v>
      </c>
      <c r="F409" s="56" t="str">
        <f>IFERROR(__xludf.DUMMYFUNCTION("""COMPUTED_VALUE"""),"SI")</f>
        <v>SI</v>
      </c>
    </row>
    <row r="410" ht="15.75" customHeight="1">
      <c r="A410" s="56" t="str">
        <f>IFERROR(__xludf.DUMMYFUNCTION("""COMPUTED_VALUE"""),"REU_234")</f>
        <v>REU_234</v>
      </c>
      <c r="B410" s="56" t="str">
        <f>IFERROR(__xludf.DUMMYFUNCTION("""COMPUTED_VALUE"""),"REUNION")</f>
        <v>REUNION</v>
      </c>
      <c r="C410" s="56" t="str">
        <f>IFERROR(__xludf.DUMMYFUNCTION("""COMPUTED_VALUE"""),"EQUIPO")</f>
        <v>EQUIPO</v>
      </c>
      <c r="D410" s="56" t="str">
        <f>IFERROR(__xludf.DUMMYFUNCTION("""COMPUTED_VALUE"""),"REUNIÓN EQUIPO MATRONAS (1,5 HRS - X 12)")</f>
        <v>REUNIÓN EQUIPO MATRONAS (1,5 HRS - X 12)</v>
      </c>
      <c r="E410" s="55">
        <f>IFERROR(__xludf.DUMMYFUNCTION("""COMPUTED_VALUE"""),0.45)</f>
        <v>0.45</v>
      </c>
      <c r="F410" s="56" t="str">
        <f>IFERROR(__xludf.DUMMYFUNCTION("""COMPUTED_VALUE"""),"SI")</f>
        <v>SI</v>
      </c>
    </row>
    <row r="411" ht="15.75" customHeight="1">
      <c r="A411" s="56" t="str">
        <f>IFERROR(__xludf.DUMMYFUNCTION("""COMPUTED_VALUE"""),"REU_043")</f>
        <v>REU_043</v>
      </c>
      <c r="B411" s="56" t="str">
        <f>IFERROR(__xludf.DUMMYFUNCTION("""COMPUTED_VALUE"""),"REUNION")</f>
        <v>REUNION</v>
      </c>
      <c r="C411" s="56" t="str">
        <f>IFERROR(__xludf.DUMMYFUNCTION("""COMPUTED_VALUE"""),"EQUIPO")</f>
        <v>EQUIPO</v>
      </c>
      <c r="D411" s="56" t="str">
        <f>IFERROR(__xludf.DUMMYFUNCTION("""COMPUTED_VALUE"""),"REUNIÓN EQUIPO MATRONAS (2 HRS - X10)")</f>
        <v>REUNIÓN EQUIPO MATRONAS (2 HRS - X10)</v>
      </c>
      <c r="E411" s="55">
        <f>IFERROR(__xludf.DUMMYFUNCTION("""COMPUTED_VALUE"""),0.49999999999272404)</f>
        <v>0.5</v>
      </c>
      <c r="F411" s="56" t="str">
        <f>IFERROR(__xludf.DUMMYFUNCTION("""COMPUTED_VALUE"""),"SI")</f>
        <v>SI</v>
      </c>
    </row>
    <row r="412" ht="15.75" customHeight="1">
      <c r="A412" s="56" t="str">
        <f>IFERROR(__xludf.DUMMYFUNCTION("""COMPUTED_VALUE"""),"REU_044")</f>
        <v>REU_044</v>
      </c>
      <c r="B412" s="56" t="str">
        <f>IFERROR(__xludf.DUMMYFUNCTION("""COMPUTED_VALUE"""),"REUNION")</f>
        <v>REUNION</v>
      </c>
      <c r="C412" s="56" t="str">
        <f>IFERROR(__xludf.DUMMYFUNCTION("""COMPUTED_VALUE"""),"EQUIPO")</f>
        <v>EQUIPO</v>
      </c>
      <c r="D412" s="56" t="str">
        <f>IFERROR(__xludf.DUMMYFUNCTION("""COMPUTED_VALUE"""),"REUNIÓN EQUIPO MATRONAS (2 HRS - X6)")</f>
        <v>REUNIÓN EQUIPO MATRONAS (2 HRS - X6)</v>
      </c>
      <c r="E412" s="55">
        <f>IFERROR(__xludf.DUMMYFUNCTION("""COMPUTED_VALUE"""),0.2999999999956344)</f>
        <v>0.3</v>
      </c>
      <c r="F412" s="56" t="str">
        <f>IFERROR(__xludf.DUMMYFUNCTION("""COMPUTED_VALUE"""),"SI")</f>
        <v>SI</v>
      </c>
    </row>
    <row r="413" ht="15.75" customHeight="1">
      <c r="A413" s="56" t="str">
        <f>IFERROR(__xludf.DUMMYFUNCTION("""COMPUTED_VALUE"""),"REU_045")</f>
        <v>REU_045</v>
      </c>
      <c r="B413" s="56" t="str">
        <f>IFERROR(__xludf.DUMMYFUNCTION("""COMPUTED_VALUE"""),"REUNION")</f>
        <v>REUNION</v>
      </c>
      <c r="C413" s="56" t="str">
        <f>IFERROR(__xludf.DUMMYFUNCTION("""COMPUTED_VALUE"""),"EQUIPO")</f>
        <v>EQUIPO</v>
      </c>
      <c r="D413" s="56" t="str">
        <f>IFERROR(__xludf.DUMMYFUNCTION("""COMPUTED_VALUE"""),"REUNIÓN EQUIPO MÉDICO (LOCAL)")</f>
        <v>REUNIÓN EQUIPO MÉDICO (LOCAL)</v>
      </c>
      <c r="E413" s="55">
        <f>IFERROR(__xludf.DUMMYFUNCTION("""COMPUTED_VALUE"""),0.49999999999272404)</f>
        <v>0.5</v>
      </c>
      <c r="F413" s="56" t="str">
        <f>IFERROR(__xludf.DUMMYFUNCTION("""COMPUTED_VALUE"""),"SI")</f>
        <v>SI</v>
      </c>
    </row>
    <row r="414" ht="15.75" customHeight="1">
      <c r="A414" s="56" t="str">
        <f>IFERROR(__xludf.DUMMYFUNCTION("""COMPUTED_VALUE"""),"REU_046")</f>
        <v>REU_046</v>
      </c>
      <c r="B414" s="56" t="str">
        <f>IFERROR(__xludf.DUMMYFUNCTION("""COMPUTED_VALUE"""),"REUNION")</f>
        <v>REUNION</v>
      </c>
      <c r="C414" s="56" t="str">
        <f>IFERROR(__xludf.DUMMYFUNCTION("""COMPUTED_VALUE"""),"EQUIPO")</f>
        <v>EQUIPO</v>
      </c>
      <c r="D414" s="56" t="str">
        <f>IFERROR(__xludf.DUMMYFUNCTION("""COMPUTED_VALUE"""),"REUNIÓN EQUIPO MÉDICO (LOCAL) (1 HR-X 12)")</f>
        <v>REUNIÓN EQUIPO MÉDICO (LOCAL) (1 HR-X 12)</v>
      </c>
      <c r="E414" s="55">
        <f>IFERROR(__xludf.DUMMYFUNCTION("""COMPUTED_VALUE"""),0.30000000000873117)</f>
        <v>0.3</v>
      </c>
      <c r="F414" s="56" t="str">
        <f>IFERROR(__xludf.DUMMYFUNCTION("""COMPUTED_VALUE"""),"SI")</f>
        <v>SI</v>
      </c>
    </row>
    <row r="415" ht="15.75" customHeight="1">
      <c r="A415" s="56" t="str">
        <f>IFERROR(__xludf.DUMMYFUNCTION("""COMPUTED_VALUE"""),"REU_047")</f>
        <v>REU_047</v>
      </c>
      <c r="B415" s="56" t="str">
        <f>IFERROR(__xludf.DUMMYFUNCTION("""COMPUTED_VALUE"""),"REUNION")</f>
        <v>REUNION</v>
      </c>
      <c r="C415" s="56" t="str">
        <f>IFERROR(__xludf.DUMMYFUNCTION("""COMPUTED_VALUE"""),"EQUIPO")</f>
        <v>EQUIPO</v>
      </c>
      <c r="D415" s="56" t="str">
        <f>IFERROR(__xludf.DUMMYFUNCTION("""COMPUTED_VALUE"""),"REUNIÓN EQUIPO MÉDICO (LOCAL) (3 HRS-X 5)")</f>
        <v>REUNIÓN EQUIPO MÉDICO (LOCAL) (3 HRS-X 5)</v>
      </c>
      <c r="E415" s="55">
        <f>IFERROR(__xludf.DUMMYFUNCTION("""COMPUTED_VALUE"""),0.375)</f>
        <v>0.375</v>
      </c>
      <c r="F415" s="56" t="str">
        <f>IFERROR(__xludf.DUMMYFUNCTION("""COMPUTED_VALUE"""),"SI")</f>
        <v>SI</v>
      </c>
    </row>
    <row r="416" ht="15.75" customHeight="1">
      <c r="A416" s="56" t="str">
        <f>IFERROR(__xludf.DUMMYFUNCTION("""COMPUTED_VALUE"""),"REU_048")</f>
        <v>REU_048</v>
      </c>
      <c r="B416" s="56" t="str">
        <f>IFERROR(__xludf.DUMMYFUNCTION("""COMPUTED_VALUE"""),"REUNION")</f>
        <v>REUNION</v>
      </c>
      <c r="C416" s="56" t="str">
        <f>IFERROR(__xludf.DUMMYFUNCTION("""COMPUTED_VALUE"""),"EQUIPO")</f>
        <v>EQUIPO</v>
      </c>
      <c r="D416" s="56" t="str">
        <f>IFERROR(__xludf.DUMMYFUNCTION("""COMPUTED_VALUE"""),"REUNIÓN EQUIPO MÉDICO CMV (CENTRAL)")</f>
        <v>REUNIÓN EQUIPO MÉDICO CMV (CENTRAL)</v>
      </c>
      <c r="E416" s="55">
        <f>IFERROR(__xludf.DUMMYFUNCTION("""COMPUTED_VALUE"""),0.4249999999956344)</f>
        <v>0.425</v>
      </c>
      <c r="F416" s="56" t="str">
        <f>IFERROR(__xludf.DUMMYFUNCTION("""COMPUTED_VALUE"""),"SI")</f>
        <v>SI</v>
      </c>
    </row>
    <row r="417" ht="15.75" customHeight="1">
      <c r="A417" s="56" t="str">
        <f>IFERROR(__xludf.DUMMYFUNCTION("""COMPUTED_VALUE"""),"REU_049")</f>
        <v>REU_049</v>
      </c>
      <c r="B417" s="56" t="str">
        <f>IFERROR(__xludf.DUMMYFUNCTION("""COMPUTED_VALUE"""),"REUNION")</f>
        <v>REUNION</v>
      </c>
      <c r="C417" s="56" t="str">
        <f>IFERROR(__xludf.DUMMYFUNCTION("""COMPUTED_VALUE"""),"EQUIPO")</f>
        <v>EQUIPO</v>
      </c>
      <c r="D417" s="56" t="str">
        <f>IFERROR(__xludf.DUMMYFUNCTION("""COMPUTED_VALUE"""),"REUNIÓN EQUIPO NUTRICION")</f>
        <v>REUNIÓN EQUIPO NUTRICION</v>
      </c>
      <c r="E417" s="55">
        <f>IFERROR(__xludf.DUMMYFUNCTION("""COMPUTED_VALUE"""),0.49999999999272404)</f>
        <v>0.5</v>
      </c>
      <c r="F417" s="56" t="str">
        <f>IFERROR(__xludf.DUMMYFUNCTION("""COMPUTED_VALUE"""),"SI")</f>
        <v>SI</v>
      </c>
    </row>
    <row r="418" ht="15.75" customHeight="1">
      <c r="A418" s="56" t="str">
        <f>IFERROR(__xludf.DUMMYFUNCTION("""COMPUTED_VALUE"""),"REU_237")</f>
        <v>REU_237</v>
      </c>
      <c r="B418" s="56" t="str">
        <f>IFERROR(__xludf.DUMMYFUNCTION("""COMPUTED_VALUE"""),"REUNION")</f>
        <v>REUNION</v>
      </c>
      <c r="C418" s="56" t="str">
        <f>IFERROR(__xludf.DUMMYFUNCTION("""COMPUTED_VALUE"""),"EQUIPO")</f>
        <v>EQUIPO</v>
      </c>
      <c r="D418" s="56" t="str">
        <f>IFERROR(__xludf.DUMMYFUNCTION("""COMPUTED_VALUE"""),"REUNIÓN EQUIPO NUTRICION")</f>
        <v>REUNIÓN EQUIPO NUTRICION</v>
      </c>
      <c r="E418" s="55">
        <f>IFERROR(__xludf.DUMMYFUNCTION("""COMPUTED_VALUE"""),0.225)</f>
        <v>0.225</v>
      </c>
      <c r="F418" s="56" t="str">
        <f>IFERROR(__xludf.DUMMYFUNCTION("""COMPUTED_VALUE"""),"SI")</f>
        <v>SI</v>
      </c>
    </row>
    <row r="419" ht="15.75" customHeight="1">
      <c r="A419" s="56" t="str">
        <f>IFERROR(__xludf.DUMMYFUNCTION("""COMPUTED_VALUE"""),"REU_050")</f>
        <v>REU_050</v>
      </c>
      <c r="B419" s="56" t="str">
        <f>IFERROR(__xludf.DUMMYFUNCTION("""COMPUTED_VALUE"""),"REUNION")</f>
        <v>REUNION</v>
      </c>
      <c r="C419" s="56" t="str">
        <f>IFERROR(__xludf.DUMMYFUNCTION("""COMPUTED_VALUE"""),"EQUIPO")</f>
        <v>EQUIPO</v>
      </c>
      <c r="D419" s="56" t="str">
        <f>IFERROR(__xludf.DUMMYFUNCTION("""COMPUTED_VALUE"""),"REUNIÓN EQUIPO NUTRICION (2 HRS - X10)")</f>
        <v>REUNIÓN EQUIPO NUTRICION (2 HRS - X10)</v>
      </c>
      <c r="E419" s="55">
        <f>IFERROR(__xludf.DUMMYFUNCTION("""COMPUTED_VALUE"""),0.49999999999272404)</f>
        <v>0.5</v>
      </c>
      <c r="F419" s="56" t="str">
        <f>IFERROR(__xludf.DUMMYFUNCTION("""COMPUTED_VALUE"""),"SI")</f>
        <v>SI</v>
      </c>
    </row>
    <row r="420" ht="15.75" customHeight="1">
      <c r="A420" s="56" t="str">
        <f>IFERROR(__xludf.DUMMYFUNCTION("""COMPUTED_VALUE"""),"REU_051")</f>
        <v>REU_051</v>
      </c>
      <c r="B420" s="56" t="str">
        <f>IFERROR(__xludf.DUMMYFUNCTION("""COMPUTED_VALUE"""),"REUNION")</f>
        <v>REUNION</v>
      </c>
      <c r="C420" s="56" t="str">
        <f>IFERROR(__xludf.DUMMYFUNCTION("""COMPUTED_VALUE"""),"EQUIPO")</f>
        <v>EQUIPO</v>
      </c>
      <c r="D420" s="56" t="str">
        <f>IFERROR(__xludf.DUMMYFUNCTION("""COMPUTED_VALUE"""),"REUNIÓN EQUIPO NUTRICION (2 HRS - X2)")</f>
        <v>REUNIÓN EQUIPO NUTRICION (2 HRS - X2)</v>
      </c>
      <c r="E420" s="55">
        <f>IFERROR(__xludf.DUMMYFUNCTION("""COMPUTED_VALUE"""),0.2249999999985448)</f>
        <v>0.225</v>
      </c>
      <c r="F420" s="56" t="str">
        <f>IFERROR(__xludf.DUMMYFUNCTION("""COMPUTED_VALUE"""),"SI")</f>
        <v>SI</v>
      </c>
    </row>
    <row r="421" ht="15.75" customHeight="1">
      <c r="A421" s="56" t="str">
        <f>IFERROR(__xludf.DUMMYFUNCTION("""COMPUTED_VALUE"""),"REU_052")</f>
        <v>REU_052</v>
      </c>
      <c r="B421" s="56" t="str">
        <f>IFERROR(__xludf.DUMMYFUNCTION("""COMPUTED_VALUE"""),"REUNION")</f>
        <v>REUNION</v>
      </c>
      <c r="C421" s="56" t="str">
        <f>IFERROR(__xludf.DUMMYFUNCTION("""COMPUTED_VALUE"""),"EQUIPO")</f>
        <v>EQUIPO</v>
      </c>
      <c r="D421" s="56" t="str">
        <f>IFERROR(__xludf.DUMMYFUNCTION("""COMPUTED_VALUE"""),"REUNIÓN EQUIPO PYP CESFAM")</f>
        <v>REUNIÓN EQUIPO PYP CESFAM</v>
      </c>
      <c r="E421" s="55">
        <f>IFERROR(__xludf.DUMMYFUNCTION("""COMPUTED_VALUE"""),0.9)</f>
        <v>0.9</v>
      </c>
      <c r="F421" s="56" t="str">
        <f>IFERROR(__xludf.DUMMYFUNCTION("""COMPUTED_VALUE"""),"SI")</f>
        <v>SI</v>
      </c>
    </row>
    <row r="422" ht="15.75" customHeight="1">
      <c r="A422" s="56" t="str">
        <f>IFERROR(__xludf.DUMMYFUNCTION("""COMPUTED_VALUE"""),"REU_053")</f>
        <v>REU_053</v>
      </c>
      <c r="B422" s="56" t="str">
        <f>IFERROR(__xludf.DUMMYFUNCTION("""COMPUTED_VALUE"""),"REUNION")</f>
        <v>REUNION</v>
      </c>
      <c r="C422" s="56" t="str">
        <f>IFERROR(__xludf.DUMMYFUNCTION("""COMPUTED_VALUE"""),"EQUIPO")</f>
        <v>EQUIPO</v>
      </c>
      <c r="D422" s="56" t="str">
        <f>IFERROR(__xludf.DUMMYFUNCTION("""COMPUTED_VALUE"""),"REUNIÓN EQUIPO PYP CESFAM (1 HR- X 12)")</f>
        <v>REUNIÓN EQUIPO PYP CESFAM (1 HR- X 12)</v>
      </c>
      <c r="E422" s="55">
        <f>IFERROR(__xludf.DUMMYFUNCTION("""COMPUTED_VALUE"""),0.30000000000873117)</f>
        <v>0.3</v>
      </c>
      <c r="F422" s="56" t="str">
        <f>IFERROR(__xludf.DUMMYFUNCTION("""COMPUTED_VALUE"""),"SI")</f>
        <v>SI</v>
      </c>
    </row>
    <row r="423" ht="15.75" customHeight="1">
      <c r="A423" s="56" t="str">
        <f>IFERROR(__xludf.DUMMYFUNCTION("""COMPUTED_VALUE"""),"REU_054")</f>
        <v>REU_054</v>
      </c>
      <c r="B423" s="56" t="str">
        <f>IFERROR(__xludf.DUMMYFUNCTION("""COMPUTED_VALUE"""),"REUNION")</f>
        <v>REUNION</v>
      </c>
      <c r="C423" s="56" t="str">
        <f>IFERROR(__xludf.DUMMYFUNCTION("""COMPUTED_VALUE"""),"EQUIPO")</f>
        <v>EQUIPO</v>
      </c>
      <c r="D423" s="56" t="str">
        <f>IFERROR(__xludf.DUMMYFUNCTION("""COMPUTED_VALUE"""),"REUNIÓN EQUIPO PYP INTERSECTOR")</f>
        <v>REUNIÓN EQUIPO PYP INTERSECTOR</v>
      </c>
      <c r="E423" s="55">
        <f>IFERROR(__xludf.DUMMYFUNCTION("""COMPUTED_VALUE"""),0.30000000000873117)</f>
        <v>0.3</v>
      </c>
      <c r="F423" s="56" t="str">
        <f>IFERROR(__xludf.DUMMYFUNCTION("""COMPUTED_VALUE"""),"SI")</f>
        <v>SI</v>
      </c>
    </row>
    <row r="424" ht="15.75" customHeight="1">
      <c r="A424" s="56" t="str">
        <f>IFERROR(__xludf.DUMMYFUNCTION("""COMPUTED_VALUE"""),"REU_055")</f>
        <v>REU_055</v>
      </c>
      <c r="B424" s="56" t="str">
        <f>IFERROR(__xludf.DUMMYFUNCTION("""COMPUTED_VALUE"""),"REUNION")</f>
        <v>REUNION</v>
      </c>
      <c r="C424" s="56" t="str">
        <f>IFERROR(__xludf.DUMMYFUNCTION("""COMPUTED_VALUE"""),"EQUIPO")</f>
        <v>EQUIPO</v>
      </c>
      <c r="D424" s="56" t="str">
        <f>IFERROR(__xludf.DUMMYFUNCTION("""COMPUTED_VALUE"""),"REUNIÓN EQUIPO PYP INTERSECTOR (1 HR - X12)")</f>
        <v>REUNIÓN EQUIPO PYP INTERSECTOR (1 HR - X12)</v>
      </c>
      <c r="E424" s="55">
        <f>IFERROR(__xludf.DUMMYFUNCTION("""COMPUTED_VALUE"""),0.30000000000873117)</f>
        <v>0.3</v>
      </c>
      <c r="F424" s="56" t="str">
        <f>IFERROR(__xludf.DUMMYFUNCTION("""COMPUTED_VALUE"""),"SI")</f>
        <v>SI</v>
      </c>
    </row>
    <row r="425" ht="15.75" customHeight="1">
      <c r="A425" s="56" t="str">
        <f>IFERROR(__xludf.DUMMYFUNCTION("""COMPUTED_VALUE"""),"REU_056")</f>
        <v>REU_056</v>
      </c>
      <c r="B425" s="56" t="str">
        <f>IFERROR(__xludf.DUMMYFUNCTION("""COMPUTED_VALUE"""),"REUNION")</f>
        <v>REUNION</v>
      </c>
      <c r="C425" s="56" t="str">
        <f>IFERROR(__xludf.DUMMYFUNCTION("""COMPUTED_VALUE"""),"EQUIPO")</f>
        <v>EQUIPO</v>
      </c>
      <c r="D425" s="56" t="str">
        <f>IFERROR(__xludf.DUMMYFUNCTION("""COMPUTED_VALUE"""),"REUNIÓN EQUIPO PYP INTERSECTOR (3 HRS - X12)")</f>
        <v>REUNIÓN EQUIPO PYP INTERSECTOR (3 HRS - X12)</v>
      </c>
      <c r="E425" s="55">
        <f>IFERROR(__xludf.DUMMYFUNCTION("""COMPUTED_VALUE"""),0.9)</f>
        <v>0.9</v>
      </c>
      <c r="F425" s="56" t="str">
        <f>IFERROR(__xludf.DUMMYFUNCTION("""COMPUTED_VALUE"""),"SI")</f>
        <v>SI</v>
      </c>
    </row>
    <row r="426" ht="15.75" customHeight="1">
      <c r="A426" s="56" t="str">
        <f>IFERROR(__xludf.DUMMYFUNCTION("""COMPUTED_VALUE"""),"REU_057")</f>
        <v>REU_057</v>
      </c>
      <c r="B426" s="56" t="str">
        <f>IFERROR(__xludf.DUMMYFUNCTION("""COMPUTED_VALUE"""),"REUNION")</f>
        <v>REUNION</v>
      </c>
      <c r="C426" s="56" t="str">
        <f>IFERROR(__xludf.DUMMYFUNCTION("""COMPUTED_VALUE"""),"EQUIPO")</f>
        <v>EQUIPO</v>
      </c>
      <c r="D426" s="56" t="str">
        <f>IFERROR(__xludf.DUMMYFUNCTION("""COMPUTED_VALUE"""),"REUNIÓN EQUIPO SUPERV - TENS")</f>
        <v>REUNIÓN EQUIPO SUPERV - TENS</v>
      </c>
      <c r="E426" s="55">
        <f>IFERROR(__xludf.DUMMYFUNCTION("""COMPUTED_VALUE"""),0.49999999999272404)</f>
        <v>0.5</v>
      </c>
      <c r="F426" s="56" t="str">
        <f>IFERROR(__xludf.DUMMYFUNCTION("""COMPUTED_VALUE"""),"SI")</f>
        <v>SI</v>
      </c>
    </row>
    <row r="427" ht="15.75" customHeight="1">
      <c r="A427" s="56" t="str">
        <f>IFERROR(__xludf.DUMMYFUNCTION("""COMPUTED_VALUE"""),"REU_058")</f>
        <v>REU_058</v>
      </c>
      <c r="B427" s="56" t="str">
        <f>IFERROR(__xludf.DUMMYFUNCTION("""COMPUTED_VALUE"""),"REUNION")</f>
        <v>REUNION</v>
      </c>
      <c r="C427" s="56" t="str">
        <f>IFERROR(__xludf.DUMMYFUNCTION("""COMPUTED_VALUE"""),"EQUIPO")</f>
        <v>EQUIPO</v>
      </c>
      <c r="D427" s="56" t="str">
        <f>IFERROR(__xludf.DUMMYFUNCTION("""COMPUTED_VALUE"""),"REUNIÓN EQUIPO SUPERV - TENS (2HRS-X 3)")</f>
        <v>REUNIÓN EQUIPO SUPERV - TENS (2HRS-X 3)</v>
      </c>
      <c r="E427" s="55">
        <f>IFERROR(__xludf.DUMMYFUNCTION("""COMPUTED_VALUE"""),0.1499999999978172)</f>
        <v>0.15</v>
      </c>
      <c r="F427" s="56" t="str">
        <f>IFERROR(__xludf.DUMMYFUNCTION("""COMPUTED_VALUE"""),"SI")</f>
        <v>SI</v>
      </c>
    </row>
    <row r="428" ht="15.75" customHeight="1">
      <c r="A428" s="56" t="str">
        <f>IFERROR(__xludf.DUMMYFUNCTION("""COMPUTED_VALUE"""),"REU_059")</f>
        <v>REU_059</v>
      </c>
      <c r="B428" s="56" t="str">
        <f>IFERROR(__xludf.DUMMYFUNCTION("""COMPUTED_VALUE"""),"REUNION")</f>
        <v>REUNION</v>
      </c>
      <c r="C428" s="56" t="str">
        <f>IFERROR(__xludf.DUMMYFUNCTION("""COMPUTED_VALUE"""),"EQUIPO")</f>
        <v>EQUIPO</v>
      </c>
      <c r="D428" s="56" t="str">
        <f>IFERROR(__xludf.DUMMYFUNCTION("""COMPUTED_VALUE"""),"REUNIÓN EQUIPO TRABAJO SOCIAL")</f>
        <v>REUNIÓN EQUIPO TRABAJO SOCIAL</v>
      </c>
      <c r="E428" s="55">
        <f>IFERROR(__xludf.DUMMYFUNCTION("""COMPUTED_VALUE"""),0.49999999999272404)</f>
        <v>0.5</v>
      </c>
      <c r="F428" s="56" t="str">
        <f>IFERROR(__xludf.DUMMYFUNCTION("""COMPUTED_VALUE"""),"SI")</f>
        <v>SI</v>
      </c>
    </row>
    <row r="429" ht="15.75" customHeight="1">
      <c r="A429" s="56" t="str">
        <f>IFERROR(__xludf.DUMMYFUNCTION("""COMPUTED_VALUE"""),"REU_060")</f>
        <v>REU_060</v>
      </c>
      <c r="B429" s="56" t="str">
        <f>IFERROR(__xludf.DUMMYFUNCTION("""COMPUTED_VALUE"""),"REUNION")</f>
        <v>REUNION</v>
      </c>
      <c r="C429" s="56" t="str">
        <f>IFERROR(__xludf.DUMMYFUNCTION("""COMPUTED_VALUE"""),"EQUIPO")</f>
        <v>EQUIPO</v>
      </c>
      <c r="D429" s="56" t="str">
        <f>IFERROR(__xludf.DUMMYFUNCTION("""COMPUTED_VALUE"""),"REUNIÓN EQUIPO UNIDAD DE SOME (2 HRS - X10)")</f>
        <v>REUNIÓN EQUIPO UNIDAD DE SOME (2 HRS - X10)</v>
      </c>
      <c r="E429" s="55">
        <f>IFERROR(__xludf.DUMMYFUNCTION("""COMPUTED_VALUE"""),0.49999999999272404)</f>
        <v>0.5</v>
      </c>
      <c r="F429" s="56" t="str">
        <f>IFERROR(__xludf.DUMMYFUNCTION("""COMPUTED_VALUE"""),"SI")</f>
        <v>SI</v>
      </c>
    </row>
    <row r="430" ht="15.75" customHeight="1">
      <c r="A430" s="56" t="str">
        <f>IFERROR(__xludf.DUMMYFUNCTION("""COMPUTED_VALUE"""),"REU_061")</f>
        <v>REU_061</v>
      </c>
      <c r="B430" s="56" t="str">
        <f>IFERROR(__xludf.DUMMYFUNCTION("""COMPUTED_VALUE"""),"REUNION")</f>
        <v>REUNION</v>
      </c>
      <c r="C430" s="56" t="str">
        <f>IFERROR(__xludf.DUMMYFUNCTION("""COMPUTED_VALUE"""),"EQUIPO")</f>
        <v>EQUIPO</v>
      </c>
      <c r="D430" s="56" t="str">
        <f>IFERROR(__xludf.DUMMYFUNCTION("""COMPUTED_VALUE"""),"REUNIÓN EQUIPO UNIDAD DE SOME (2 HRS - X12)")</f>
        <v>REUNIÓN EQUIPO UNIDAD DE SOME (2 HRS - X12)</v>
      </c>
      <c r="E430" s="55">
        <f>IFERROR(__xludf.DUMMYFUNCTION("""COMPUTED_VALUE"""),0.5999999999912689)</f>
        <v>0.6</v>
      </c>
      <c r="F430" s="56" t="str">
        <f>IFERROR(__xludf.DUMMYFUNCTION("""COMPUTED_VALUE"""),"SI")</f>
        <v>SI</v>
      </c>
    </row>
    <row r="431" ht="15.75" customHeight="1">
      <c r="A431" s="56" t="str">
        <f>IFERROR(__xludf.DUMMYFUNCTION("""COMPUTED_VALUE"""),"REU_062")</f>
        <v>REU_062</v>
      </c>
      <c r="B431" s="56" t="str">
        <f>IFERROR(__xludf.DUMMYFUNCTION("""COMPUTED_VALUE"""),"REUNION")</f>
        <v>REUNION</v>
      </c>
      <c r="C431" s="56" t="str">
        <f>IFERROR(__xludf.DUMMYFUNCTION("""COMPUTED_VALUE"""),"EQUIPO")</f>
        <v>EQUIPO</v>
      </c>
      <c r="D431" s="56" t="str">
        <f>IFERROR(__xludf.DUMMYFUNCTION("""COMPUTED_VALUE"""),"REUNIÓN JEFATURAS DE SECTOR")</f>
        <v>REUNIÓN JEFATURAS DE SECTOR</v>
      </c>
      <c r="E431" s="55">
        <f>IFERROR(__xludf.DUMMYFUNCTION("""COMPUTED_VALUE"""),0.5999999999912689)</f>
        <v>0.6</v>
      </c>
      <c r="F431" s="56" t="str">
        <f>IFERROR(__xludf.DUMMYFUNCTION("""COMPUTED_VALUE"""),"SI")</f>
        <v>SI</v>
      </c>
    </row>
    <row r="432" ht="15.75" customHeight="1">
      <c r="A432" s="56" t="str">
        <f>IFERROR(__xludf.DUMMYFUNCTION("""COMPUTED_VALUE"""),"REU_063")</f>
        <v>REU_063</v>
      </c>
      <c r="B432" s="56" t="str">
        <f>IFERROR(__xludf.DUMMYFUNCTION("""COMPUTED_VALUE"""),"REUNION")</f>
        <v>REUNION</v>
      </c>
      <c r="C432" s="56" t="str">
        <f>IFERROR(__xludf.DUMMYFUNCTION("""COMPUTED_VALUE"""),"FUNCIONARIO")</f>
        <v>FUNCIONARIO</v>
      </c>
      <c r="D432" s="56" t="str">
        <f>IFERROR(__xludf.DUMMYFUNCTION("""COMPUTED_VALUE"""),"AUTOCUIDADO")</f>
        <v>AUTOCUIDADO</v>
      </c>
      <c r="E432" s="55">
        <f>IFERROR(__xludf.DUMMYFUNCTION("""COMPUTED_VALUE"""),0.5999999999912689)</f>
        <v>0.6</v>
      </c>
      <c r="F432" s="56" t="str">
        <f>IFERROR(__xludf.DUMMYFUNCTION("""COMPUTED_VALUE"""),"SI")</f>
        <v>SI</v>
      </c>
    </row>
    <row r="433" ht="15.75" customHeight="1">
      <c r="A433" s="56" t="str">
        <f>IFERROR(__xludf.DUMMYFUNCTION("""COMPUTED_VALUE"""),"REU_064")</f>
        <v>REU_064</v>
      </c>
      <c r="B433" s="56" t="str">
        <f>IFERROR(__xludf.DUMMYFUNCTION("""COMPUTED_VALUE"""),"REUNION")</f>
        <v>REUNION</v>
      </c>
      <c r="C433" s="56" t="str">
        <f>IFERROR(__xludf.DUMMYFUNCTION("""COMPUTED_VALUE"""),"FUNCIONARIO")</f>
        <v>FUNCIONARIO</v>
      </c>
      <c r="D433" s="56" t="str">
        <f>IFERROR(__xludf.DUMMYFUNCTION("""COMPUTED_VALUE"""),"AUTOCUIDADO (2 HRS)")</f>
        <v>AUTOCUIDADO (2 HRS)</v>
      </c>
      <c r="E433" s="55">
        <f>IFERROR(__xludf.DUMMYFUNCTION("""COMPUTED_VALUE"""),0.5999999999912689)</f>
        <v>0.6</v>
      </c>
      <c r="F433" s="56" t="str">
        <f>IFERROR(__xludf.DUMMYFUNCTION("""COMPUTED_VALUE"""),"SI")</f>
        <v>SI</v>
      </c>
    </row>
    <row r="434" ht="15.75" customHeight="1">
      <c r="A434" s="56" t="str">
        <f>IFERROR(__xludf.DUMMYFUNCTION("""COMPUTED_VALUE"""),"REU_065")</f>
        <v>REU_065</v>
      </c>
      <c r="B434" s="56" t="str">
        <f>IFERROR(__xludf.DUMMYFUNCTION("""COMPUTED_VALUE"""),"REUNION")</f>
        <v>REUNION</v>
      </c>
      <c r="C434" s="56" t="str">
        <f>IFERROR(__xludf.DUMMYFUNCTION("""COMPUTED_VALUE"""),"FUNCIONARIO")</f>
        <v>FUNCIONARIO</v>
      </c>
      <c r="D434" s="56" t="str">
        <f>IFERROR(__xludf.DUMMYFUNCTION("""COMPUTED_VALUE"""),"AUTOCUIDADO (3 HRS)")</f>
        <v>AUTOCUIDADO (3 HRS)</v>
      </c>
      <c r="E434" s="55">
        <f>IFERROR(__xludf.DUMMYFUNCTION("""COMPUTED_VALUE"""),0.9)</f>
        <v>0.9</v>
      </c>
      <c r="F434" s="56" t="str">
        <f>IFERROR(__xludf.DUMMYFUNCTION("""COMPUTED_VALUE"""),"SI")</f>
        <v>SI</v>
      </c>
    </row>
    <row r="435" ht="15.75" customHeight="1">
      <c r="A435" s="56" t="str">
        <f>IFERROR(__xludf.DUMMYFUNCTION("""COMPUTED_VALUE"""),"REU_070")</f>
        <v>REU_070</v>
      </c>
      <c r="B435" s="56" t="str">
        <f>IFERROR(__xludf.DUMMYFUNCTION("""COMPUTED_VALUE"""),"REUNION")</f>
        <v>REUNION</v>
      </c>
      <c r="C435" s="56" t="str">
        <f>IFERROR(__xludf.DUMMYFUNCTION("""COMPUTED_VALUE"""),"FUNCIONARIO")</f>
        <v>FUNCIONARIO</v>
      </c>
      <c r="D435" s="56" t="str">
        <f>IFERROR(__xludf.DUMMYFUNCTION("""COMPUTED_VALUE"""),"REUNION BUEN TRATO MUTUAL")</f>
        <v>REUNION BUEN TRATO MUTUAL</v>
      </c>
      <c r="E435" s="55">
        <f>IFERROR(__xludf.DUMMYFUNCTION("""COMPUTED_VALUE"""),0.49999999999272404)</f>
        <v>0.5</v>
      </c>
      <c r="F435" s="56" t="str">
        <f>IFERROR(__xludf.DUMMYFUNCTION("""COMPUTED_VALUE"""),"SI")</f>
        <v>SI</v>
      </c>
    </row>
    <row r="436" ht="15.75" customHeight="1">
      <c r="A436" s="56" t="str">
        <f>IFERROR(__xludf.DUMMYFUNCTION("""COMPUTED_VALUE"""),"REU_071")</f>
        <v>REU_071</v>
      </c>
      <c r="B436" s="56" t="str">
        <f>IFERROR(__xludf.DUMMYFUNCTION("""COMPUTED_VALUE"""),"REUNION")</f>
        <v>REUNION</v>
      </c>
      <c r="C436" s="56" t="str">
        <f>IFERROR(__xludf.DUMMYFUNCTION("""COMPUTED_VALUE"""),"FUNCIONARIO")</f>
        <v>FUNCIONARIO</v>
      </c>
      <c r="D436" s="56" t="str">
        <f>IFERROR(__xludf.DUMMYFUNCTION("""COMPUTED_VALUE"""),"REUNION BUEN TRATO MUTUAL (3 HRS - X10)")</f>
        <v>REUNION BUEN TRATO MUTUAL (3 HRS - X10)</v>
      </c>
      <c r="E436" s="55">
        <f>IFERROR(__xludf.DUMMYFUNCTION("""COMPUTED_VALUE"""),0.75)</f>
        <v>0.75</v>
      </c>
      <c r="F436" s="56" t="str">
        <f>IFERROR(__xludf.DUMMYFUNCTION("""COMPUTED_VALUE"""),"SI")</f>
        <v>SI</v>
      </c>
    </row>
    <row r="437" ht="15.75" customHeight="1">
      <c r="A437" s="56" t="str">
        <f>IFERROR(__xludf.DUMMYFUNCTION("""COMPUTED_VALUE"""),"REU_066")</f>
        <v>REU_066</v>
      </c>
      <c r="B437" s="56" t="str">
        <f>IFERROR(__xludf.DUMMYFUNCTION("""COMPUTED_VALUE"""),"REUNION")</f>
        <v>REUNION</v>
      </c>
      <c r="C437" s="56" t="str">
        <f>IFERROR(__xludf.DUMMYFUNCTION("""COMPUTED_VALUE"""),"FUNCIONARIO")</f>
        <v>FUNCIONARIO</v>
      </c>
      <c r="D437" s="56" t="str">
        <f>IFERROR(__xludf.DUMMYFUNCTION("""COMPUTED_VALUE"""),"REUNIÓN AFUSAM")</f>
        <v>REUNIÓN AFUSAM</v>
      </c>
      <c r="E437" s="55">
        <f>IFERROR(__xludf.DUMMYFUNCTION("""COMPUTED_VALUE"""),0.25000000000727596)</f>
        <v>0.25</v>
      </c>
      <c r="F437" s="56" t="str">
        <f>IFERROR(__xludf.DUMMYFUNCTION("""COMPUTED_VALUE"""),"SI")</f>
        <v>SI</v>
      </c>
    </row>
    <row r="438" ht="15.75" customHeight="1">
      <c r="A438" s="56" t="str">
        <f>IFERROR(__xludf.DUMMYFUNCTION("""COMPUTED_VALUE"""),"REU_067")</f>
        <v>REU_067</v>
      </c>
      <c r="B438" s="56" t="str">
        <f>IFERROR(__xludf.DUMMYFUNCTION("""COMPUTED_VALUE"""),"REUNION")</f>
        <v>REUNION</v>
      </c>
      <c r="C438" s="56" t="str">
        <f>IFERROR(__xludf.DUMMYFUNCTION("""COMPUTED_VALUE"""),"FUNCIONARIO")</f>
        <v>FUNCIONARIO</v>
      </c>
      <c r="D438" s="56" t="str">
        <f>IFERROR(__xludf.DUMMYFUNCTION("""COMPUTED_VALUE"""),"REUNIÓN APRUSAM (1 HR)")</f>
        <v>REUNIÓN APRUSAM (1 HR)</v>
      </c>
      <c r="E438" s="55">
        <f>IFERROR(__xludf.DUMMYFUNCTION("""COMPUTED_VALUE"""),0.30000000000873117)</f>
        <v>0.3</v>
      </c>
      <c r="F438" s="56" t="str">
        <f>IFERROR(__xludf.DUMMYFUNCTION("""COMPUTED_VALUE"""),"SI")</f>
        <v>SI</v>
      </c>
    </row>
    <row r="439" ht="15.75" customHeight="1">
      <c r="A439" s="56" t="str">
        <f>IFERROR(__xludf.DUMMYFUNCTION("""COMPUTED_VALUE"""),"REU_068")</f>
        <v>REU_068</v>
      </c>
      <c r="B439" s="56" t="str">
        <f>IFERROR(__xludf.DUMMYFUNCTION("""COMPUTED_VALUE"""),"REUNION")</f>
        <v>REUNION</v>
      </c>
      <c r="C439" s="56" t="str">
        <f>IFERROR(__xludf.DUMMYFUNCTION("""COMPUTED_VALUE"""),"FUNCIONARIO")</f>
        <v>FUNCIONARIO</v>
      </c>
      <c r="D439" s="56" t="str">
        <f>IFERROR(__xludf.DUMMYFUNCTION("""COMPUTED_VALUE"""),"REUNIÓN APRUSAM (1,5 HR X 10)")</f>
        <v>REUNIÓN APRUSAM (1,5 HR X 10)</v>
      </c>
      <c r="E439" s="55">
        <f>IFERROR(__xludf.DUMMYFUNCTION("""COMPUTED_VALUE"""),0.375)</f>
        <v>0.375</v>
      </c>
      <c r="F439" s="56" t="str">
        <f>IFERROR(__xludf.DUMMYFUNCTION("""COMPUTED_VALUE"""),"SI")</f>
        <v>SI</v>
      </c>
    </row>
    <row r="440" ht="15.75" customHeight="1">
      <c r="A440" s="56" t="str">
        <f>IFERROR(__xludf.DUMMYFUNCTION("""COMPUTED_VALUE"""),"REU_069")</f>
        <v>REU_069</v>
      </c>
      <c r="B440" s="56" t="str">
        <f>IFERROR(__xludf.DUMMYFUNCTION("""COMPUTED_VALUE"""),"REUNION")</f>
        <v>REUNION</v>
      </c>
      <c r="C440" s="56" t="str">
        <f>IFERROR(__xludf.DUMMYFUNCTION("""COMPUTED_VALUE"""),"FUNCIONARIO")</f>
        <v>FUNCIONARIO</v>
      </c>
      <c r="D440" s="56" t="str">
        <f>IFERROR(__xludf.DUMMYFUNCTION("""COMPUTED_VALUE"""),"REUNIÓN APRUSAM (1,5 HR)")</f>
        <v>REUNIÓN APRUSAM (1,5 HR)</v>
      </c>
      <c r="E440" s="55">
        <f>IFERROR(__xludf.DUMMYFUNCTION("""COMPUTED_VALUE"""),0.45)</f>
        <v>0.45</v>
      </c>
      <c r="F440" s="56" t="str">
        <f>IFERROR(__xludf.DUMMYFUNCTION("""COMPUTED_VALUE"""),"SI")</f>
        <v>SI</v>
      </c>
    </row>
    <row r="441" ht="15.75" customHeight="1">
      <c r="A441" s="56" t="str">
        <f>IFERROR(__xludf.DUMMYFUNCTION("""COMPUTED_VALUE"""),"REU_072")</f>
        <v>REU_072</v>
      </c>
      <c r="B441" s="56" t="str">
        <f>IFERROR(__xludf.DUMMYFUNCTION("""COMPUTED_VALUE"""),"REUNION")</f>
        <v>REUNION</v>
      </c>
      <c r="C441" s="56" t="str">
        <f>IFERROR(__xludf.DUMMYFUNCTION("""COMPUTED_VALUE"""),"FUNCIONARIO")</f>
        <v>FUNCIONARIO</v>
      </c>
      <c r="D441" s="56" t="str">
        <f>IFERROR(__xludf.DUMMYFUNCTION("""COMPUTED_VALUE"""),"REUNIÓN COMITÉ DE CAPACITACIÓN (CENTRAL)")</f>
        <v>REUNIÓN COMITÉ DE CAPACITACIÓN (CENTRAL)</v>
      </c>
      <c r="E441" s="55">
        <f>IFERROR(__xludf.DUMMYFUNCTION("""COMPUTED_VALUE"""),0.624999999992724)</f>
        <v>0.625</v>
      </c>
      <c r="F441" s="56" t="str">
        <f>IFERROR(__xludf.DUMMYFUNCTION("""COMPUTED_VALUE"""),"SI")</f>
        <v>SI</v>
      </c>
    </row>
    <row r="442" ht="15.75" customHeight="1">
      <c r="A442" s="56" t="str">
        <f>IFERROR(__xludf.DUMMYFUNCTION("""COMPUTED_VALUE"""),"REU_073")</f>
        <v>REU_073</v>
      </c>
      <c r="B442" s="56" t="str">
        <f>IFERROR(__xludf.DUMMYFUNCTION("""COMPUTED_VALUE"""),"REUNION")</f>
        <v>REUNION</v>
      </c>
      <c r="C442" s="56" t="str">
        <f>IFERROR(__xludf.DUMMYFUNCTION("""COMPUTED_VALUE"""),"FUNCIONARIO")</f>
        <v>FUNCIONARIO</v>
      </c>
      <c r="D442" s="56" t="str">
        <f>IFERROR(__xludf.DUMMYFUNCTION("""COMPUTED_VALUE"""),"REUNIÓN COMITÉ PARITARIO")</f>
        <v>REUNIÓN COMITÉ PARITARIO</v>
      </c>
      <c r="E442" s="55">
        <f>IFERROR(__xludf.DUMMYFUNCTION("""COMPUTED_VALUE"""),0.45)</f>
        <v>0.45</v>
      </c>
      <c r="F442" s="56" t="str">
        <f>IFERROR(__xludf.DUMMYFUNCTION("""COMPUTED_VALUE"""),"SI")</f>
        <v>SI</v>
      </c>
    </row>
    <row r="443" ht="15.75" customHeight="1">
      <c r="A443" s="56" t="str">
        <f>IFERROR(__xludf.DUMMYFUNCTION("""COMPUTED_VALUE"""),"REU_074")</f>
        <v>REU_074</v>
      </c>
      <c r="B443" s="56" t="str">
        <f>IFERROR(__xludf.DUMMYFUNCTION("""COMPUTED_VALUE"""),"REUNION")</f>
        <v>REUNION</v>
      </c>
      <c r="C443" s="56" t="str">
        <f>IFERROR(__xludf.DUMMYFUNCTION("""COMPUTED_VALUE"""),"FUNCIONARIO")</f>
        <v>FUNCIONARIO</v>
      </c>
      <c r="D443" s="56" t="str">
        <f>IFERROR(__xludf.DUMMYFUNCTION("""COMPUTED_VALUE"""),"REUNIÓN COMITÉ PARITARIO (1 HR-X 12)")</f>
        <v>REUNIÓN COMITÉ PARITARIO (1 HR-X 12)</v>
      </c>
      <c r="E443" s="55">
        <f>IFERROR(__xludf.DUMMYFUNCTION("""COMPUTED_VALUE"""),0.30000000000873117)</f>
        <v>0.3</v>
      </c>
      <c r="F443" s="56" t="str">
        <f>IFERROR(__xludf.DUMMYFUNCTION("""COMPUTED_VALUE"""),"SI")</f>
        <v>SI</v>
      </c>
    </row>
    <row r="444" ht="15.75" customHeight="1">
      <c r="A444" s="56" t="str">
        <f>IFERROR(__xludf.DUMMYFUNCTION("""COMPUTED_VALUE"""),"REU_075")</f>
        <v>REU_075</v>
      </c>
      <c r="B444" s="56" t="str">
        <f>IFERROR(__xludf.DUMMYFUNCTION("""COMPUTED_VALUE"""),"REUNION")</f>
        <v>REUNION</v>
      </c>
      <c r="C444" s="56" t="str">
        <f>IFERROR(__xludf.DUMMYFUNCTION("""COMPUTED_VALUE"""),"FUNCIONARIO")</f>
        <v>FUNCIONARIO</v>
      </c>
      <c r="D444" s="56" t="str">
        <f>IFERROR(__xludf.DUMMYFUNCTION("""COMPUTED_VALUE"""),"REUNIÓN COMITÉ PARITARIO (1,5 HR - X12)")</f>
        <v>REUNIÓN COMITÉ PARITARIO (1,5 HR - X12)</v>
      </c>
      <c r="E444" s="55">
        <f>IFERROR(__xludf.DUMMYFUNCTION("""COMPUTED_VALUE"""),0.45)</f>
        <v>0.45</v>
      </c>
      <c r="F444" s="56" t="str">
        <f>IFERROR(__xludf.DUMMYFUNCTION("""COMPUTED_VALUE"""),"SI")</f>
        <v>SI</v>
      </c>
    </row>
    <row r="445" ht="15.75" customHeight="1">
      <c r="A445" s="56" t="str">
        <f>IFERROR(__xludf.DUMMYFUNCTION("""COMPUTED_VALUE"""),"REU_076")</f>
        <v>REU_076</v>
      </c>
      <c r="B445" s="56" t="str">
        <f>IFERROR(__xludf.DUMMYFUNCTION("""COMPUTED_VALUE"""),"REUNION")</f>
        <v>REUNION</v>
      </c>
      <c r="C445" s="56" t="str">
        <f>IFERROR(__xludf.DUMMYFUNCTION("""COMPUTED_VALUE"""),"FUNCIONARIO")</f>
        <v>FUNCIONARIO</v>
      </c>
      <c r="D445" s="56" t="str">
        <f>IFERROR(__xludf.DUMMYFUNCTION("""COMPUTED_VALUE"""),"REUNIÓN COMITÉ PARITARIO (2 HRS - X12)")</f>
        <v>REUNIÓN COMITÉ PARITARIO (2 HRS - X12)</v>
      </c>
      <c r="E445" s="55">
        <f>IFERROR(__xludf.DUMMYFUNCTION("""COMPUTED_VALUE"""),0.5999999999912689)</f>
        <v>0.6</v>
      </c>
      <c r="F445" s="56" t="str">
        <f>IFERROR(__xludf.DUMMYFUNCTION("""COMPUTED_VALUE"""),"SI")</f>
        <v>SI</v>
      </c>
    </row>
    <row r="446" ht="15.75" customHeight="1">
      <c r="A446" s="56" t="str">
        <f>IFERROR(__xludf.DUMMYFUNCTION("""COMPUTED_VALUE"""),"REU_077")</f>
        <v>REU_077</v>
      </c>
      <c r="B446" s="56" t="str">
        <f>IFERROR(__xludf.DUMMYFUNCTION("""COMPUTED_VALUE"""),"REUNION")</f>
        <v>REUNION</v>
      </c>
      <c r="C446" s="56" t="str">
        <f>IFERROR(__xludf.DUMMYFUNCTION("""COMPUTED_VALUE"""),"FUNCIONARIO")</f>
        <v>FUNCIONARIO</v>
      </c>
      <c r="D446" s="56" t="str">
        <f>IFERROR(__xludf.DUMMYFUNCTION("""COMPUTED_VALUE"""),"REUNIÓN COMITÉ PARITARIO (2,5 HR - X2)")</f>
        <v>REUNIÓN COMITÉ PARITARIO (2,5 HR - X2)</v>
      </c>
      <c r="E446" s="55">
        <f>IFERROR(__xludf.DUMMYFUNCTION("""COMPUTED_VALUE"""),0.1250000000014552)</f>
        <v>0.125</v>
      </c>
      <c r="F446" s="56" t="str">
        <f>IFERROR(__xludf.DUMMYFUNCTION("""COMPUTED_VALUE"""),"SI")</f>
        <v>SI</v>
      </c>
    </row>
    <row r="447" ht="15.75" customHeight="1">
      <c r="A447" s="56" t="str">
        <f>IFERROR(__xludf.DUMMYFUNCTION("""COMPUTED_VALUE"""),"REU_078")</f>
        <v>REU_078</v>
      </c>
      <c r="B447" s="56" t="str">
        <f>IFERROR(__xludf.DUMMYFUNCTION("""COMPUTED_VALUE"""),"REUNION")</f>
        <v>REUNION</v>
      </c>
      <c r="C447" s="56" t="str">
        <f>IFERROR(__xludf.DUMMYFUNCTION("""COMPUTED_VALUE"""),"FUNCIONARIO")</f>
        <v>FUNCIONARIO</v>
      </c>
      <c r="D447" s="56" t="str">
        <f>IFERROR(__xludf.DUMMYFUNCTION("""COMPUTED_VALUE"""),"REUNIÓN DELEGADOS APRUSAM (CENTRAL)")</f>
        <v>REUNIÓN DELEGADOS APRUSAM (CENTRAL)</v>
      </c>
      <c r="E447" s="55">
        <f>IFERROR(__xludf.DUMMYFUNCTION("""COMPUTED_VALUE"""),0.875)</f>
        <v>0.875</v>
      </c>
      <c r="F447" s="56" t="str">
        <f>IFERROR(__xludf.DUMMYFUNCTION("""COMPUTED_VALUE"""),"SI")</f>
        <v>SI</v>
      </c>
    </row>
    <row r="448" ht="15.75" customHeight="1">
      <c r="A448" s="56" t="str">
        <f>IFERROR(__xludf.DUMMYFUNCTION("""COMPUTED_VALUE"""),"REU_079")</f>
        <v>REU_079</v>
      </c>
      <c r="B448" s="56" t="str">
        <f>IFERROR(__xludf.DUMMYFUNCTION("""COMPUTED_VALUE"""),"REUNION")</f>
        <v>REUNION</v>
      </c>
      <c r="C448" s="56" t="str">
        <f>IFERROR(__xludf.DUMMYFUNCTION("""COMPUTED_VALUE"""),"FUNCIONARIO")</f>
        <v>FUNCIONARIO</v>
      </c>
      <c r="D448" s="56" t="str">
        <f>IFERROR(__xludf.DUMMYFUNCTION("""COMPUTED_VALUE"""),"REUNIÓN EDF")</f>
        <v>REUNIÓN EDF</v>
      </c>
      <c r="E448" s="55">
        <f>IFERROR(__xludf.DUMMYFUNCTION("""COMPUTED_VALUE"""),0.5999999999912689)</f>
        <v>0.6</v>
      </c>
      <c r="F448" s="56" t="str">
        <f>IFERROR(__xludf.DUMMYFUNCTION("""COMPUTED_VALUE"""),"SI")</f>
        <v>SI</v>
      </c>
    </row>
    <row r="449" ht="15.75" customHeight="1">
      <c r="A449" s="56" t="str">
        <f>IFERROR(__xludf.DUMMYFUNCTION("""COMPUTED_VALUE"""),"REU_080")</f>
        <v>REU_080</v>
      </c>
      <c r="B449" s="56" t="str">
        <f>IFERROR(__xludf.DUMMYFUNCTION("""COMPUTED_VALUE"""),"REUNION")</f>
        <v>REUNION</v>
      </c>
      <c r="C449" s="56" t="str">
        <f>IFERROR(__xludf.DUMMYFUNCTION("""COMPUTED_VALUE"""),"FUNCIONARIO")</f>
        <v>FUNCIONARIO</v>
      </c>
      <c r="D449" s="56" t="str">
        <f>IFERROR(__xludf.DUMMYFUNCTION("""COMPUTED_VALUE"""),"REUNIÓN ENCARGADOS COMITE PARITARIO")</f>
        <v>REUNIÓN ENCARGADOS COMITE PARITARIO</v>
      </c>
      <c r="E449" s="55">
        <f>IFERROR(__xludf.DUMMYFUNCTION("""COMPUTED_VALUE"""),0.4249999999956344)</f>
        <v>0.425</v>
      </c>
      <c r="F449" s="56" t="str">
        <f>IFERROR(__xludf.DUMMYFUNCTION("""COMPUTED_VALUE"""),"SI")</f>
        <v>SI</v>
      </c>
    </row>
    <row r="450" ht="15.75" customHeight="1">
      <c r="A450" s="56" t="str">
        <f>IFERROR(__xludf.DUMMYFUNCTION("""COMPUTED_VALUE"""),"REU_081")</f>
        <v>REU_081</v>
      </c>
      <c r="B450" s="56" t="str">
        <f>IFERROR(__xludf.DUMMYFUNCTION("""COMPUTED_VALUE"""),"REUNION")</f>
        <v>REUNION</v>
      </c>
      <c r="C450" s="56" t="str">
        <f>IFERROR(__xludf.DUMMYFUNCTION("""COMPUTED_VALUE"""),"FUNCIONARIO")</f>
        <v>FUNCIONARIO</v>
      </c>
      <c r="D450" s="56" t="str">
        <f>IFERROR(__xludf.DUMMYFUNCTION("""COMPUTED_VALUE"""),"REUNIÓN GREMIAL (1 HR-X 12)")</f>
        <v>REUNIÓN GREMIAL (1 HR-X 12)</v>
      </c>
      <c r="E450" s="55">
        <f>IFERROR(__xludf.DUMMYFUNCTION("""COMPUTED_VALUE"""),0.30000000000873117)</f>
        <v>0.3</v>
      </c>
      <c r="F450" s="56" t="str">
        <f>IFERROR(__xludf.DUMMYFUNCTION("""COMPUTED_VALUE"""),"SI")</f>
        <v>SI</v>
      </c>
    </row>
    <row r="451" ht="15.75" customHeight="1">
      <c r="A451" s="56" t="str">
        <f>IFERROR(__xludf.DUMMYFUNCTION("""COMPUTED_VALUE"""),"REU_235")</f>
        <v>REU_235</v>
      </c>
      <c r="B451" s="56" t="str">
        <f>IFERROR(__xludf.DUMMYFUNCTION("""COMPUTED_VALUE"""),"REUNION")</f>
        <v>REUNION</v>
      </c>
      <c r="C451" s="56" t="str">
        <f>IFERROR(__xludf.DUMMYFUNCTION("""COMPUTED_VALUE"""),"GESTION CLINICA")</f>
        <v>GESTION CLINICA</v>
      </c>
      <c r="D451" s="56" t="str">
        <f>IFERROR(__xludf.DUMMYFUNCTION("""COMPUTED_VALUE"""),"MONITOR GES (3 HRS X 2)")</f>
        <v>MONITOR GES (3 HRS X 2)</v>
      </c>
      <c r="E451" s="55">
        <f>IFERROR(__xludf.DUMMYFUNCTION("""COMPUTED_VALUE"""),0.275)</f>
        <v>0.275</v>
      </c>
      <c r="F451" s="56" t="str">
        <f>IFERROR(__xludf.DUMMYFUNCTION("""COMPUTED_VALUE"""),"SI")</f>
        <v>SI</v>
      </c>
    </row>
    <row r="452" ht="15.75" customHeight="1">
      <c r="A452" s="56" t="str">
        <f>IFERROR(__xludf.DUMMYFUNCTION("""COMPUTED_VALUE"""),"REU_082")</f>
        <v>REU_082</v>
      </c>
      <c r="B452" s="56" t="str">
        <f>IFERROR(__xludf.DUMMYFUNCTION("""COMPUTED_VALUE"""),"REUNION")</f>
        <v>REUNION</v>
      </c>
      <c r="C452" s="56" t="str">
        <f>IFERROR(__xludf.DUMMYFUNCTION("""COMPUTED_VALUE"""),"GESTION CLINICA")</f>
        <v>GESTION CLINICA</v>
      </c>
      <c r="D452" s="56" t="str">
        <f>IFERROR(__xludf.DUMMYFUNCTION("""COMPUTED_VALUE"""),"REUNIÓN CALIDAD")</f>
        <v>REUNIÓN CALIDAD</v>
      </c>
      <c r="E452" s="55">
        <f>IFERROR(__xludf.DUMMYFUNCTION("""COMPUTED_VALUE"""),0.375)</f>
        <v>0.375</v>
      </c>
      <c r="F452" s="56" t="str">
        <f>IFERROR(__xludf.DUMMYFUNCTION("""COMPUTED_VALUE"""),"SI")</f>
        <v>SI</v>
      </c>
    </row>
    <row r="453" ht="15.75" customHeight="1">
      <c r="A453" s="56" t="str">
        <f>IFERROR(__xludf.DUMMYFUNCTION("""COMPUTED_VALUE"""),"REU_083")</f>
        <v>REU_083</v>
      </c>
      <c r="B453" s="56" t="str">
        <f>IFERROR(__xludf.DUMMYFUNCTION("""COMPUTED_VALUE"""),"REUNION")</f>
        <v>REUNION</v>
      </c>
      <c r="C453" s="56" t="str">
        <f>IFERROR(__xludf.DUMMYFUNCTION("""COMPUTED_VALUE"""),"GESTION CLINICA")</f>
        <v>GESTION CLINICA</v>
      </c>
      <c r="D453" s="56" t="str">
        <f>IFERROR(__xludf.DUMMYFUNCTION("""COMPUTED_VALUE"""),"REUNIÓN CALIDAD (1,5 HR)")</f>
        <v>REUNIÓN CALIDAD (1,5 HR)</v>
      </c>
      <c r="E453" s="55">
        <f>IFERROR(__xludf.DUMMYFUNCTION("""COMPUTED_VALUE"""),0.375)</f>
        <v>0.375</v>
      </c>
      <c r="F453" s="56" t="str">
        <f>IFERROR(__xludf.DUMMYFUNCTION("""COMPUTED_VALUE"""),"SI")</f>
        <v>SI</v>
      </c>
    </row>
    <row r="454" ht="15.75" customHeight="1">
      <c r="A454" s="56" t="str">
        <f>IFERROR(__xludf.DUMMYFUNCTION("""COMPUTED_VALUE"""),"REU_084")</f>
        <v>REU_084</v>
      </c>
      <c r="B454" s="56" t="str">
        <f>IFERROR(__xludf.DUMMYFUNCTION("""COMPUTED_VALUE"""),"REUNION")</f>
        <v>REUNION</v>
      </c>
      <c r="C454" s="56" t="str">
        <f>IFERROR(__xludf.DUMMYFUNCTION("""COMPUTED_VALUE"""),"GESTION CLINICA")</f>
        <v>GESTION CLINICA</v>
      </c>
      <c r="D454" s="56" t="str">
        <f>IFERROR(__xludf.DUMMYFUNCTION("""COMPUTED_VALUE"""),"REUNIÓN CALIDAD (3 HRS)")</f>
        <v>REUNIÓN CALIDAD (3 HRS)</v>
      </c>
      <c r="E454" s="55">
        <f>IFERROR(__xludf.DUMMYFUNCTION("""COMPUTED_VALUE"""),0.9)</f>
        <v>0.9</v>
      </c>
      <c r="F454" s="56" t="str">
        <f>IFERROR(__xludf.DUMMYFUNCTION("""COMPUTED_VALUE"""),"SI")</f>
        <v>SI</v>
      </c>
    </row>
    <row r="455" ht="15.75" customHeight="1">
      <c r="A455" s="56" t="str">
        <f>IFERROR(__xludf.DUMMYFUNCTION("""COMPUTED_VALUE"""),"REU_088")</f>
        <v>REU_088</v>
      </c>
      <c r="B455" s="56" t="str">
        <f>IFERROR(__xludf.DUMMYFUNCTION("""COMPUTED_VALUE"""),"REUNION")</f>
        <v>REUNION</v>
      </c>
      <c r="C455" s="56" t="str">
        <f>IFERROR(__xludf.DUMMYFUNCTION("""COMPUTED_VALUE"""),"GESTION CLINICA")</f>
        <v>GESTION CLINICA</v>
      </c>
      <c r="D455" s="56" t="str">
        <f>IFERROR(__xludf.DUMMYFUNCTION("""COMPUTED_VALUE"""),"REUNIÓN COMITE CAPACITACIÓN LOCAL (2 HRS - X10)")</f>
        <v>REUNIÓN COMITE CAPACITACIÓN LOCAL (2 HRS - X10)</v>
      </c>
      <c r="E455" s="55">
        <f>IFERROR(__xludf.DUMMYFUNCTION("""COMPUTED_VALUE"""),0.49999999999272404)</f>
        <v>0.5</v>
      </c>
      <c r="F455" s="56" t="str">
        <f>IFERROR(__xludf.DUMMYFUNCTION("""COMPUTED_VALUE"""),"SI")</f>
        <v>SI</v>
      </c>
    </row>
    <row r="456" ht="15.75" customHeight="1">
      <c r="A456" s="56" t="str">
        <f>IFERROR(__xludf.DUMMYFUNCTION("""COMPUTED_VALUE"""),"REU_089")</f>
        <v>REU_089</v>
      </c>
      <c r="B456" s="56" t="str">
        <f>IFERROR(__xludf.DUMMYFUNCTION("""COMPUTED_VALUE"""),"REUNION")</f>
        <v>REUNION</v>
      </c>
      <c r="C456" s="56" t="str">
        <f>IFERROR(__xludf.DUMMYFUNCTION("""COMPUTED_VALUE"""),"GESTION CLINICA")</f>
        <v>GESTION CLINICA</v>
      </c>
      <c r="D456" s="56" t="str">
        <f>IFERROR(__xludf.DUMMYFUNCTION("""COMPUTED_VALUE"""),"REUNIÓN COMITE CAPACITACIÓN LOCAL (2 HRS - X12)")</f>
        <v>REUNIÓN COMITE CAPACITACIÓN LOCAL (2 HRS - X12)</v>
      </c>
      <c r="E456" s="55">
        <f>IFERROR(__xludf.DUMMYFUNCTION("""COMPUTED_VALUE"""),0.5999999999912689)</f>
        <v>0.6</v>
      </c>
      <c r="F456" s="56" t="str">
        <f>IFERROR(__xludf.DUMMYFUNCTION("""COMPUTED_VALUE"""),"SI")</f>
        <v>SI</v>
      </c>
    </row>
    <row r="457" ht="15.75" customHeight="1">
      <c r="A457" s="56" t="str">
        <f>IFERROR(__xludf.DUMMYFUNCTION("""COMPUTED_VALUE"""),"REU_090")</f>
        <v>REU_090</v>
      </c>
      <c r="B457" s="56" t="str">
        <f>IFERROR(__xludf.DUMMYFUNCTION("""COMPUTED_VALUE"""),"REUNION")</f>
        <v>REUNION</v>
      </c>
      <c r="C457" s="56" t="str">
        <f>IFERROR(__xludf.DUMMYFUNCTION("""COMPUTED_VALUE"""),"GESTION CLINICA")</f>
        <v>GESTION CLINICA</v>
      </c>
      <c r="D457" s="56" t="str">
        <f>IFERROR(__xludf.DUMMYFUNCTION("""COMPUTED_VALUE"""),"REUNIÓN COMITE CAPACITACIÓN LOCAL (4 HRS - X12)")</f>
        <v>REUNIÓN COMITE CAPACITACIÓN LOCAL (4 HRS - X12)</v>
      </c>
      <c r="E457" s="55">
        <f>IFERROR(__xludf.DUMMYFUNCTION("""COMPUTED_VALUE"""),1.2000000000087312)</f>
        <v>1.2</v>
      </c>
      <c r="F457" s="56" t="str">
        <f>IFERROR(__xludf.DUMMYFUNCTION("""COMPUTED_VALUE"""),"SI")</f>
        <v>SI</v>
      </c>
    </row>
    <row r="458" ht="15.75" customHeight="1">
      <c r="A458" s="56" t="str">
        <f>IFERROR(__xludf.DUMMYFUNCTION("""COMPUTED_VALUE"""),"REU_092")</f>
        <v>REU_092</v>
      </c>
      <c r="B458" s="56" t="str">
        <f>IFERROR(__xludf.DUMMYFUNCTION("""COMPUTED_VALUE"""),"REUNION")</f>
        <v>REUNION</v>
      </c>
      <c r="C458" s="56" t="str">
        <f>IFERROR(__xludf.DUMMYFUNCTION("""COMPUTED_VALUE"""),"GESTION CLINICA")</f>
        <v>GESTION CLINICA</v>
      </c>
      <c r="D458" s="56" t="str">
        <f>IFERROR(__xludf.DUMMYFUNCTION("""COMPUTED_VALUE"""),"REUNIÓN COMITE GES")</f>
        <v>REUNIÓN COMITE GES</v>
      </c>
      <c r="E458" s="55">
        <f>IFERROR(__xludf.DUMMYFUNCTION("""COMPUTED_VALUE"""),0.5999999999912689)</f>
        <v>0.6</v>
      </c>
      <c r="F458" s="56" t="str">
        <f>IFERROR(__xludf.DUMMYFUNCTION("""COMPUTED_VALUE"""),"SI")</f>
        <v>SI</v>
      </c>
    </row>
    <row r="459" ht="15.75" customHeight="1">
      <c r="A459" s="56" t="str">
        <f>IFERROR(__xludf.DUMMYFUNCTION("""COMPUTED_VALUE"""),"REU_085")</f>
        <v>REU_085</v>
      </c>
      <c r="B459" s="56" t="str">
        <f>IFERROR(__xludf.DUMMYFUNCTION("""COMPUTED_VALUE"""),"REUNION")</f>
        <v>REUNION</v>
      </c>
      <c r="C459" s="56" t="str">
        <f>IFERROR(__xludf.DUMMYFUNCTION("""COMPUTED_VALUE"""),"GESTION CLINICA")</f>
        <v>GESTION CLINICA</v>
      </c>
      <c r="D459" s="56" t="str">
        <f>IFERROR(__xludf.DUMMYFUNCTION("""COMPUTED_VALUE"""),"REUNIÓN COMITÉ CALIDAD")</f>
        <v>REUNIÓN COMITÉ CALIDAD</v>
      </c>
      <c r="E459" s="55">
        <f>IFERROR(__xludf.DUMMYFUNCTION("""COMPUTED_VALUE"""),0.5999999999912689)</f>
        <v>0.6</v>
      </c>
      <c r="F459" s="56" t="str">
        <f>IFERROR(__xludf.DUMMYFUNCTION("""COMPUTED_VALUE"""),"SI")</f>
        <v>SI</v>
      </c>
    </row>
    <row r="460" ht="15.75" customHeight="1">
      <c r="A460" s="56" t="str">
        <f>IFERROR(__xludf.DUMMYFUNCTION("""COMPUTED_VALUE"""),"REU_086")</f>
        <v>REU_086</v>
      </c>
      <c r="B460" s="56" t="str">
        <f>IFERROR(__xludf.DUMMYFUNCTION("""COMPUTED_VALUE"""),"REUNION")</f>
        <v>REUNION</v>
      </c>
      <c r="C460" s="56" t="str">
        <f>IFERROR(__xludf.DUMMYFUNCTION("""COMPUTED_VALUE"""),"GESTION CLINICA")</f>
        <v>GESTION CLINICA</v>
      </c>
      <c r="D460" s="56" t="str">
        <f>IFERROR(__xludf.DUMMYFUNCTION("""COMPUTED_VALUE"""),"REUNIÓN COMITÉ CALIDAD (CENTRAL)")</f>
        <v>REUNIÓN COMITÉ CALIDAD (CENTRAL)</v>
      </c>
      <c r="E460" s="55">
        <f>IFERROR(__xludf.DUMMYFUNCTION("""COMPUTED_VALUE"""),0.7249999999912689)</f>
        <v>0.725</v>
      </c>
      <c r="F460" s="56" t="str">
        <f>IFERROR(__xludf.DUMMYFUNCTION("""COMPUTED_VALUE"""),"SI")</f>
        <v>SI</v>
      </c>
    </row>
    <row r="461" ht="15.75" customHeight="1">
      <c r="A461" s="56" t="str">
        <f>IFERROR(__xludf.DUMMYFUNCTION("""COMPUTED_VALUE"""),"REU_087")</f>
        <v>REU_087</v>
      </c>
      <c r="B461" s="56" t="str">
        <f>IFERROR(__xludf.DUMMYFUNCTION("""COMPUTED_VALUE"""),"REUNION")</f>
        <v>REUNION</v>
      </c>
      <c r="C461" s="56" t="str">
        <f>IFERROR(__xludf.DUMMYFUNCTION("""COMPUTED_VALUE"""),"GESTION CLINICA")</f>
        <v>GESTION CLINICA</v>
      </c>
      <c r="D461" s="56" t="str">
        <f>IFERROR(__xludf.DUMMYFUNCTION("""COMPUTED_VALUE"""),"REUNIÓN COMITÉ CALIDAD (SSVSA)")</f>
        <v>REUNIÓN COMITÉ CALIDAD (SSVSA)</v>
      </c>
      <c r="E461" s="55">
        <f>IFERROR(__xludf.DUMMYFUNCTION("""COMPUTED_VALUE"""),0.3750000000029104)</f>
        <v>0.375</v>
      </c>
      <c r="F461" s="56" t="str">
        <f>IFERROR(__xludf.DUMMYFUNCTION("""COMPUTED_VALUE"""),"SI")</f>
        <v>SI</v>
      </c>
    </row>
    <row r="462" ht="15.75" customHeight="1">
      <c r="A462" s="56" t="str">
        <f>IFERROR(__xludf.DUMMYFUNCTION("""COMPUTED_VALUE"""),"REU_091")</f>
        <v>REU_091</v>
      </c>
      <c r="B462" s="56" t="str">
        <f>IFERROR(__xludf.DUMMYFUNCTION("""COMPUTED_VALUE"""),"REUNION")</f>
        <v>REUNION</v>
      </c>
      <c r="C462" s="56" t="str">
        <f>IFERROR(__xludf.DUMMYFUNCTION("""COMPUTED_VALUE"""),"GESTION CLINICA")</f>
        <v>GESTION CLINICA</v>
      </c>
      <c r="D462" s="56" t="str">
        <f>IFERROR(__xludf.DUMMYFUNCTION("""COMPUTED_VALUE"""),"REUNIÓN COMITÉ CUIDADOS PALIATIVOS NO ONCOLOGICOS (SSVSA)")</f>
        <v>REUNIÓN COMITÉ CUIDADOS PALIATIVOS NO ONCOLOGICOS (SSVSA)</v>
      </c>
      <c r="E462" s="55">
        <f>IFERROR(__xludf.DUMMYFUNCTION("""COMPUTED_VALUE"""),0.7249999999912689)</f>
        <v>0.725</v>
      </c>
      <c r="F462" s="56" t="str">
        <f>IFERROR(__xludf.DUMMYFUNCTION("""COMPUTED_VALUE"""),"SI")</f>
        <v>SI</v>
      </c>
    </row>
    <row r="463" ht="15.75" customHeight="1">
      <c r="A463" s="56" t="str">
        <f>IFERROR(__xludf.DUMMYFUNCTION("""COMPUTED_VALUE"""),"REU_093")</f>
        <v>REU_093</v>
      </c>
      <c r="B463" s="56" t="str">
        <f>IFERROR(__xludf.DUMMYFUNCTION("""COMPUTED_VALUE"""),"REUNION")</f>
        <v>REUNION</v>
      </c>
      <c r="C463" s="56" t="str">
        <f>IFERROR(__xludf.DUMMYFUNCTION("""COMPUTED_VALUE"""),"GESTION CLINICA")</f>
        <v>GESTION CLINICA</v>
      </c>
      <c r="D463" s="56" t="str">
        <f>IFERROR(__xludf.DUMMYFUNCTION("""COMPUTED_VALUE"""),"REUNIÓN DE MÉDICOS CONTRALORES (CENTRAL)")</f>
        <v>REUNIÓN DE MÉDICOS CONTRALORES (CENTRAL)</v>
      </c>
      <c r="E463" s="55">
        <f>IFERROR(__xludf.DUMMYFUNCTION("""COMPUTED_VALUE"""),0.875)</f>
        <v>0.875</v>
      </c>
      <c r="F463" s="56" t="str">
        <f>IFERROR(__xludf.DUMMYFUNCTION("""COMPUTED_VALUE"""),"SI")</f>
        <v>SI</v>
      </c>
    </row>
    <row r="464" ht="15.75" customHeight="1">
      <c r="A464" s="56" t="str">
        <f>IFERROR(__xludf.DUMMYFUNCTION("""COMPUTED_VALUE"""),"REU_094")</f>
        <v>REU_094</v>
      </c>
      <c r="B464" s="56" t="str">
        <f>IFERROR(__xludf.DUMMYFUNCTION("""COMPUTED_VALUE"""),"REUNION")</f>
        <v>REUNION</v>
      </c>
      <c r="C464" s="56" t="str">
        <f>IFERROR(__xludf.DUMMYFUNCTION("""COMPUTED_VALUE"""),"GESTION CLINICA")</f>
        <v>GESTION CLINICA</v>
      </c>
      <c r="D464" s="56" t="str">
        <f>IFERROR(__xludf.DUMMYFUNCTION("""COMPUTED_VALUE"""),"REUNIÓN DE MÉDICOS CONTRALORES (SSVSA)")</f>
        <v>REUNIÓN DE MÉDICOS CONTRALORES (SSVSA)</v>
      </c>
      <c r="E464" s="55">
        <f>IFERROR(__xludf.DUMMYFUNCTION("""COMPUTED_VALUE"""),0.875)</f>
        <v>0.875</v>
      </c>
      <c r="F464" s="56" t="str">
        <f>IFERROR(__xludf.DUMMYFUNCTION("""COMPUTED_VALUE"""),"SI")</f>
        <v>SI</v>
      </c>
    </row>
    <row r="465" ht="15.75" customHeight="1">
      <c r="A465" s="56" t="str">
        <f>IFERROR(__xludf.DUMMYFUNCTION("""COMPUTED_VALUE"""),"REU_095")</f>
        <v>REU_095</v>
      </c>
      <c r="B465" s="56" t="str">
        <f>IFERROR(__xludf.DUMMYFUNCTION("""COMPUTED_VALUE"""),"REUNION")</f>
        <v>REUNION</v>
      </c>
      <c r="C465" s="56" t="str">
        <f>IFERROR(__xludf.DUMMYFUNCTION("""COMPUTED_VALUE"""),"GESTION CLINICA")</f>
        <v>GESTION CLINICA</v>
      </c>
      <c r="D465" s="56" t="str">
        <f>IFERROR(__xludf.DUMMYFUNCTION("""COMPUTED_VALUE"""),"REUNIÓN DE ODONTOLOGO CONTRALOR (1 HR -X 10)")</f>
        <v>REUNIÓN DE ODONTOLOGO CONTRALOR (1 HR -X 10)</v>
      </c>
      <c r="E465" s="55">
        <f>IFERROR(__xludf.DUMMYFUNCTION("""COMPUTED_VALUE"""),0.24999999998544808)</f>
        <v>0.25</v>
      </c>
      <c r="F465" s="56" t="str">
        <f>IFERROR(__xludf.DUMMYFUNCTION("""COMPUTED_VALUE"""),"SI")</f>
        <v>SI</v>
      </c>
    </row>
    <row r="466" ht="15.75" customHeight="1">
      <c r="A466" s="56" t="str">
        <f>IFERROR(__xludf.DUMMYFUNCTION("""COMPUTED_VALUE"""),"REU_096")</f>
        <v>REU_096</v>
      </c>
      <c r="B466" s="56" t="str">
        <f>IFERROR(__xludf.DUMMYFUNCTION("""COMPUTED_VALUE"""),"REUNION")</f>
        <v>REUNION</v>
      </c>
      <c r="C466" s="56" t="str">
        <f>IFERROR(__xludf.DUMMYFUNCTION("""COMPUTED_VALUE"""),"GESTION CLINICA")</f>
        <v>GESTION CLINICA</v>
      </c>
      <c r="D466" s="56" t="str">
        <f>IFERROR(__xludf.DUMMYFUNCTION("""COMPUTED_VALUE"""),"REUNIÓN PROA (SSVSA)")</f>
        <v>REUNIÓN PROA (SSVSA)</v>
      </c>
      <c r="E466" s="55">
        <f>IFERROR(__xludf.DUMMYFUNCTION("""COMPUTED_VALUE"""),0.42500000000873117)</f>
        <v>0.425</v>
      </c>
      <c r="F466" s="56" t="str">
        <f>IFERROR(__xludf.DUMMYFUNCTION("""COMPUTED_VALUE"""),"SI")</f>
        <v>SI</v>
      </c>
    </row>
    <row r="467" ht="15.75" customHeight="1">
      <c r="A467" s="56" t="str">
        <f>IFERROR(__xludf.DUMMYFUNCTION("""COMPUTED_VALUE"""),"REU_097")</f>
        <v>REU_097</v>
      </c>
      <c r="B467" s="56" t="str">
        <f>IFERROR(__xludf.DUMMYFUNCTION("""COMPUTED_VALUE"""),"REUNION")</f>
        <v>REUNION</v>
      </c>
      <c r="C467" s="56" t="str">
        <f>IFERROR(__xludf.DUMMYFUNCTION("""COMPUTED_VALUE"""),"GESTION CLINICA")</f>
        <v>GESTION CLINICA</v>
      </c>
      <c r="D467" s="56" t="str">
        <f>IFERROR(__xludf.DUMMYFUNCTION("""COMPUTED_VALUE"""),"REUNIÓN PROGRAMACION (SSVSA)")</f>
        <v>REUNIÓN PROGRAMACION (SSVSA)</v>
      </c>
      <c r="E467" s="55">
        <f>IFERROR(__xludf.DUMMYFUNCTION("""COMPUTED_VALUE"""),0.4249999999956344)</f>
        <v>0.425</v>
      </c>
      <c r="F467" s="56" t="str">
        <f>IFERROR(__xludf.DUMMYFUNCTION("""COMPUTED_VALUE"""),"SI")</f>
        <v>SI</v>
      </c>
    </row>
    <row r="468" ht="15.75" customHeight="1">
      <c r="A468" s="56" t="str">
        <f>IFERROR(__xludf.DUMMYFUNCTION("""COMPUTED_VALUE"""),"REU_098")</f>
        <v>REU_098</v>
      </c>
      <c r="B468" s="56" t="str">
        <f>IFERROR(__xludf.DUMMYFUNCTION("""COMPUTED_VALUE"""),"REUNION")</f>
        <v>REUNION</v>
      </c>
      <c r="C468" s="56" t="str">
        <f>IFERROR(__xludf.DUMMYFUNCTION("""COMPUTED_VALUE"""),"MAISFC")</f>
        <v>MAISFC</v>
      </c>
      <c r="D468" s="56" t="str">
        <f>IFERROR(__xludf.DUMMYFUNCTION("""COMPUTED_VALUE"""),"CONSEJO AMPLIADO")</f>
        <v>CONSEJO AMPLIADO</v>
      </c>
      <c r="E468" s="55">
        <f>IFERROR(__xludf.DUMMYFUNCTION("""COMPUTED_VALUE"""),0.49999999999272404)</f>
        <v>0.5</v>
      </c>
      <c r="F468" s="56" t="str">
        <f>IFERROR(__xludf.DUMMYFUNCTION("""COMPUTED_VALUE"""),"SI")</f>
        <v>SI</v>
      </c>
    </row>
    <row r="469" ht="15.75" customHeight="1">
      <c r="A469" s="56" t="str">
        <f>IFERROR(__xludf.DUMMYFUNCTION("""COMPUTED_VALUE"""),"REU_099")</f>
        <v>REU_099</v>
      </c>
      <c r="B469" s="56" t="str">
        <f>IFERROR(__xludf.DUMMYFUNCTION("""COMPUTED_VALUE"""),"REUNION")</f>
        <v>REUNION</v>
      </c>
      <c r="C469" s="56" t="str">
        <f>IFERROR(__xludf.DUMMYFUNCTION("""COMPUTED_VALUE"""),"MAISFC")</f>
        <v>MAISFC</v>
      </c>
      <c r="D469" s="56" t="str">
        <f>IFERROR(__xludf.DUMMYFUNCTION("""COMPUTED_VALUE"""),"CONSEJO AMPLIADO (1 HR - 12)")</f>
        <v>CONSEJO AMPLIADO (1 HR - 12)</v>
      </c>
      <c r="E469" s="55">
        <f>IFERROR(__xludf.DUMMYFUNCTION("""COMPUTED_VALUE"""),0.30000000000873117)</f>
        <v>0.3</v>
      </c>
      <c r="F469" s="56" t="str">
        <f>IFERROR(__xludf.DUMMYFUNCTION("""COMPUTED_VALUE"""),"SI")</f>
        <v>SI</v>
      </c>
    </row>
    <row r="470" ht="15.75" customHeight="1">
      <c r="A470" s="56" t="str">
        <f>IFERROR(__xludf.DUMMYFUNCTION("""COMPUTED_VALUE"""),"REU_100")</f>
        <v>REU_100</v>
      </c>
      <c r="B470" s="56" t="str">
        <f>IFERROR(__xludf.DUMMYFUNCTION("""COMPUTED_VALUE"""),"REUNION")</f>
        <v>REUNION</v>
      </c>
      <c r="C470" s="56" t="str">
        <f>IFERROR(__xludf.DUMMYFUNCTION("""COMPUTED_VALUE"""),"MAISFC")</f>
        <v>MAISFC</v>
      </c>
      <c r="D470" s="56" t="str">
        <f>IFERROR(__xludf.DUMMYFUNCTION("""COMPUTED_VALUE"""),"CONSEJO AMPLIADO (1 HR)")</f>
        <v>CONSEJO AMPLIADO (1 HR)</v>
      </c>
      <c r="E470" s="55">
        <f>IFERROR(__xludf.DUMMYFUNCTION("""COMPUTED_VALUE"""),0.25000000000727596)</f>
        <v>0.25</v>
      </c>
      <c r="F470" s="56" t="str">
        <f>IFERROR(__xludf.DUMMYFUNCTION("""COMPUTED_VALUE"""),"SI")</f>
        <v>SI</v>
      </c>
    </row>
    <row r="471" ht="15.75" customHeight="1">
      <c r="A471" s="56" t="str">
        <f>IFERROR(__xludf.DUMMYFUNCTION("""COMPUTED_VALUE"""),"REU_101")</f>
        <v>REU_101</v>
      </c>
      <c r="B471" s="56" t="str">
        <f>IFERROR(__xludf.DUMMYFUNCTION("""COMPUTED_VALUE"""),"REUNION")</f>
        <v>REUNION</v>
      </c>
      <c r="C471" s="56" t="str">
        <f>IFERROR(__xludf.DUMMYFUNCTION("""COMPUTED_VALUE"""),"MAISFC")</f>
        <v>MAISFC</v>
      </c>
      <c r="D471" s="56" t="str">
        <f>IFERROR(__xludf.DUMMYFUNCTION("""COMPUTED_VALUE"""),"CONSEJO AMPLIADO (2 HRS)")</f>
        <v>CONSEJO AMPLIADO (2 HRS)</v>
      </c>
      <c r="E471" s="55">
        <f>IFERROR(__xludf.DUMMYFUNCTION("""COMPUTED_VALUE"""),0.49999999999272404)</f>
        <v>0.5</v>
      </c>
      <c r="F471" s="56" t="str">
        <f>IFERROR(__xludf.DUMMYFUNCTION("""COMPUTED_VALUE"""),"SI")</f>
        <v>SI</v>
      </c>
    </row>
    <row r="472" ht="15.75" customHeight="1">
      <c r="A472" s="56" t="str">
        <f>IFERROR(__xludf.DUMMYFUNCTION("""COMPUTED_VALUE"""),"REU_102")</f>
        <v>REU_102</v>
      </c>
      <c r="B472" s="56" t="str">
        <f>IFERROR(__xludf.DUMMYFUNCTION("""COMPUTED_VALUE"""),"REUNION")</f>
        <v>REUNION</v>
      </c>
      <c r="C472" s="56" t="str">
        <f>IFERROR(__xludf.DUMMYFUNCTION("""COMPUTED_VALUE"""),"MAISFC")</f>
        <v>MAISFC</v>
      </c>
      <c r="D472" s="56" t="str">
        <f>IFERROR(__xludf.DUMMYFUNCTION("""COMPUTED_VALUE"""),"CONSEJO AMPLIADO (3 HRS)")</f>
        <v>CONSEJO AMPLIADO (3 HRS)</v>
      </c>
      <c r="E472" s="55">
        <f>IFERROR(__xludf.DUMMYFUNCTION("""COMPUTED_VALUE"""),0.9)</f>
        <v>0.9</v>
      </c>
      <c r="F472" s="56" t="str">
        <f>IFERROR(__xludf.DUMMYFUNCTION("""COMPUTED_VALUE"""),"SI")</f>
        <v>SI</v>
      </c>
    </row>
    <row r="473" ht="15.75" customHeight="1">
      <c r="A473" s="56" t="str">
        <f>IFERROR(__xludf.DUMMYFUNCTION("""COMPUTED_VALUE"""),"REU_103")</f>
        <v>REU_103</v>
      </c>
      <c r="B473" s="56" t="str">
        <f>IFERROR(__xludf.DUMMYFUNCTION("""COMPUTED_VALUE"""),"REUNION")</f>
        <v>REUNION</v>
      </c>
      <c r="C473" s="56" t="str">
        <f>IFERROR(__xludf.DUMMYFUNCTION("""COMPUTED_VALUE"""),"MAISFC")</f>
        <v>MAISFC</v>
      </c>
      <c r="D473" s="56" t="str">
        <f>IFERROR(__xludf.DUMMYFUNCTION("""COMPUTED_VALUE"""),"CONSEJO TÉCNICO DE GESTIÓN")</f>
        <v>CONSEJO TÉCNICO DE GESTIÓN</v>
      </c>
      <c r="E473" s="55">
        <f>IFERROR(__xludf.DUMMYFUNCTION("""COMPUTED_VALUE"""),0.49999999999272404)</f>
        <v>0.5</v>
      </c>
      <c r="F473" s="56" t="str">
        <f>IFERROR(__xludf.DUMMYFUNCTION("""COMPUTED_VALUE"""),"SI")</f>
        <v>SI</v>
      </c>
    </row>
    <row r="474" ht="15.75" customHeight="1">
      <c r="A474" s="56" t="str">
        <f>IFERROR(__xludf.DUMMYFUNCTION("""COMPUTED_VALUE"""),"REU_104")</f>
        <v>REU_104</v>
      </c>
      <c r="B474" s="56" t="str">
        <f>IFERROR(__xludf.DUMMYFUNCTION("""COMPUTED_VALUE"""),"REUNION")</f>
        <v>REUNION</v>
      </c>
      <c r="C474" s="56" t="str">
        <f>IFERROR(__xludf.DUMMYFUNCTION("""COMPUTED_VALUE"""),"MAISFC")</f>
        <v>MAISFC</v>
      </c>
      <c r="D474" s="56" t="str">
        <f>IFERROR(__xludf.DUMMYFUNCTION("""COMPUTED_VALUE"""),"CONSEJO TÉCNICO DE GESTIÓN (1 HR - X 26)")</f>
        <v>CONSEJO TÉCNICO DE GESTIÓN (1 HR - X 26)</v>
      </c>
      <c r="E474" s="55">
        <f>IFERROR(__xludf.DUMMYFUNCTION("""COMPUTED_VALUE"""),0.6500000000189174)</f>
        <v>0.65</v>
      </c>
      <c r="F474" s="56" t="str">
        <f>IFERROR(__xludf.DUMMYFUNCTION("""COMPUTED_VALUE"""),"SI")</f>
        <v>SI</v>
      </c>
    </row>
    <row r="475" ht="15.75" customHeight="1">
      <c r="A475" s="56" t="str">
        <f>IFERROR(__xludf.DUMMYFUNCTION("""COMPUTED_VALUE"""),"REU_105")</f>
        <v>REU_105</v>
      </c>
      <c r="B475" s="56" t="str">
        <f>IFERROR(__xludf.DUMMYFUNCTION("""COMPUTED_VALUE"""),"REUNION")</f>
        <v>REUNION</v>
      </c>
      <c r="C475" s="56" t="str">
        <f>IFERROR(__xludf.DUMMYFUNCTION("""COMPUTED_VALUE"""),"MAISFC")</f>
        <v>MAISFC</v>
      </c>
      <c r="D475" s="56" t="str">
        <f>IFERROR(__xludf.DUMMYFUNCTION("""COMPUTED_VALUE"""),"CONSEJO TÉCNICO DE GESTIÓN (1 HR)")</f>
        <v>CONSEJO TÉCNICO DE GESTIÓN (1 HR)</v>
      </c>
      <c r="E475" s="55">
        <f>IFERROR(__xludf.DUMMYFUNCTION("""COMPUTED_VALUE"""),0.30000000000873117)</f>
        <v>0.3</v>
      </c>
      <c r="F475" s="56" t="str">
        <f>IFERROR(__xludf.DUMMYFUNCTION("""COMPUTED_VALUE"""),"SI")</f>
        <v>SI</v>
      </c>
    </row>
    <row r="476" ht="15.75" customHeight="1">
      <c r="A476" s="56" t="str">
        <f>IFERROR(__xludf.DUMMYFUNCTION("""COMPUTED_VALUE"""),"REU_106")</f>
        <v>REU_106</v>
      </c>
      <c r="B476" s="56" t="str">
        <f>IFERROR(__xludf.DUMMYFUNCTION("""COMPUTED_VALUE"""),"REUNION")</f>
        <v>REUNION</v>
      </c>
      <c r="C476" s="56" t="str">
        <f>IFERROR(__xludf.DUMMYFUNCTION("""COMPUTED_VALUE"""),"MAISFC")</f>
        <v>MAISFC</v>
      </c>
      <c r="D476" s="56" t="str">
        <f>IFERROR(__xludf.DUMMYFUNCTION("""COMPUTED_VALUE"""),"CONSEJO TÉCNICO DE GESTIÓN (2 HRS)")</f>
        <v>CONSEJO TÉCNICO DE GESTIÓN (2 HRS)</v>
      </c>
      <c r="E476" s="55">
        <f>IFERROR(__xludf.DUMMYFUNCTION("""COMPUTED_VALUE"""),0.5999999999912689)</f>
        <v>0.6</v>
      </c>
      <c r="F476" s="56" t="str">
        <f>IFERROR(__xludf.DUMMYFUNCTION("""COMPUTED_VALUE"""),"SI")</f>
        <v>SI</v>
      </c>
    </row>
    <row r="477" ht="15.75" customHeight="1">
      <c r="A477" s="56" t="str">
        <f>IFERROR(__xludf.DUMMYFUNCTION("""COMPUTED_VALUE"""),"REU_107")</f>
        <v>REU_107</v>
      </c>
      <c r="B477" s="56" t="str">
        <f>IFERROR(__xludf.DUMMYFUNCTION("""COMPUTED_VALUE"""),"REUNION")</f>
        <v>REUNION</v>
      </c>
      <c r="C477" s="56" t="str">
        <f>IFERROR(__xludf.DUMMYFUNCTION("""COMPUTED_VALUE"""),"MAISFC")</f>
        <v>MAISFC</v>
      </c>
      <c r="D477" s="56" t="str">
        <f>IFERROR(__xludf.DUMMYFUNCTION("""COMPUTED_VALUE"""),"CONSEJO TÉCNICO DE GESTIÓN (3 HRS)")</f>
        <v>CONSEJO TÉCNICO DE GESTIÓN (3 HRS)</v>
      </c>
      <c r="E477" s="55">
        <f>IFERROR(__xludf.DUMMYFUNCTION("""COMPUTED_VALUE"""),0.9)</f>
        <v>0.9</v>
      </c>
      <c r="F477" s="56" t="str">
        <f>IFERROR(__xludf.DUMMYFUNCTION("""COMPUTED_VALUE"""),"SI")</f>
        <v>SI</v>
      </c>
    </row>
    <row r="478" ht="15.75" customHeight="1">
      <c r="A478" s="56" t="str">
        <f>IFERROR(__xludf.DUMMYFUNCTION("""COMPUTED_VALUE"""),"REU_108")</f>
        <v>REU_108</v>
      </c>
      <c r="B478" s="56" t="str">
        <f>IFERROR(__xludf.DUMMYFUNCTION("""COMPUTED_VALUE"""),"REUNION")</f>
        <v>REUNION</v>
      </c>
      <c r="C478" s="56" t="str">
        <f>IFERROR(__xludf.DUMMYFUNCTION("""COMPUTED_VALUE"""),"MAISFC")</f>
        <v>MAISFC</v>
      </c>
      <c r="D478" s="56" t="str">
        <f>IFERROR(__xludf.DUMMYFUNCTION("""COMPUTED_VALUE"""),"CONSEJO TÉCNICO DE GESTIÓN CECOSF  (2 HRS -X10)")</f>
        <v>CONSEJO TÉCNICO DE GESTIÓN CECOSF  (2 HRS -X10)</v>
      </c>
      <c r="E478" s="55">
        <f>IFERROR(__xludf.DUMMYFUNCTION("""COMPUTED_VALUE"""),0.49999999999272404)</f>
        <v>0.5</v>
      </c>
      <c r="F478" s="56" t="str">
        <f>IFERROR(__xludf.DUMMYFUNCTION("""COMPUTED_VALUE"""),"SI")</f>
        <v>SI</v>
      </c>
    </row>
    <row r="479" ht="15.75" customHeight="1">
      <c r="A479" s="56" t="str">
        <f>IFERROR(__xludf.DUMMYFUNCTION("""COMPUTED_VALUE"""),"REU_109")</f>
        <v>REU_109</v>
      </c>
      <c r="B479" s="56" t="str">
        <f>IFERROR(__xludf.DUMMYFUNCTION("""COMPUTED_VALUE"""),"REUNION")</f>
        <v>REUNION</v>
      </c>
      <c r="C479" s="56" t="str">
        <f>IFERROR(__xludf.DUMMYFUNCTION("""COMPUTED_VALUE"""),"MAISFC")</f>
        <v>MAISFC</v>
      </c>
      <c r="D479" s="56" t="str">
        <f>IFERROR(__xludf.DUMMYFUNCTION("""COMPUTED_VALUE"""),"CONSEJO TÉCNICO TERRITORIAL CECOSF  (2 HRS -X10)")</f>
        <v>CONSEJO TÉCNICO TERRITORIAL CECOSF  (2 HRS -X10)</v>
      </c>
      <c r="E479" s="55">
        <f>IFERROR(__xludf.DUMMYFUNCTION("""COMPUTED_VALUE"""),0.49999999999272404)</f>
        <v>0.5</v>
      </c>
      <c r="F479" s="56" t="str">
        <f>IFERROR(__xludf.DUMMYFUNCTION("""COMPUTED_VALUE"""),"SI")</f>
        <v>SI</v>
      </c>
    </row>
    <row r="480" ht="15.75" customHeight="1">
      <c r="A480" s="56" t="str">
        <f>IFERROR(__xludf.DUMMYFUNCTION("""COMPUTED_VALUE"""),"REU_110")</f>
        <v>REU_110</v>
      </c>
      <c r="B480" s="56" t="str">
        <f>IFERROR(__xludf.DUMMYFUNCTION("""COMPUTED_VALUE"""),"REUNION")</f>
        <v>REUNION</v>
      </c>
      <c r="C480" s="56" t="str">
        <f>IFERROR(__xludf.DUMMYFUNCTION("""COMPUTED_VALUE"""),"MAISFC")</f>
        <v>MAISFC</v>
      </c>
      <c r="D480" s="56" t="str">
        <f>IFERROR(__xludf.DUMMYFUNCTION("""COMPUTED_VALUE"""),"REUNIÓN CON ENCARGADXS MAISF")</f>
        <v>REUNIÓN CON ENCARGADXS MAISF</v>
      </c>
      <c r="E480" s="55">
        <f>IFERROR(__xludf.DUMMYFUNCTION("""COMPUTED_VALUE"""),0.575)</f>
        <v>0.575</v>
      </c>
      <c r="F480" s="56" t="str">
        <f>IFERROR(__xludf.DUMMYFUNCTION("""COMPUTED_VALUE"""),"SI")</f>
        <v>SI</v>
      </c>
    </row>
    <row r="481" ht="15.75" customHeight="1">
      <c r="A481" s="56" t="str">
        <f>IFERROR(__xludf.DUMMYFUNCTION("""COMPUTED_VALUE"""),"REU_111")</f>
        <v>REU_111</v>
      </c>
      <c r="B481" s="56" t="str">
        <f>IFERROR(__xludf.DUMMYFUNCTION("""COMPUTED_VALUE"""),"REUNION")</f>
        <v>REUNION</v>
      </c>
      <c r="C481" s="56" t="str">
        <f>IFERROR(__xludf.DUMMYFUNCTION("""COMPUTED_VALUE"""),"MAISFC")</f>
        <v>MAISFC</v>
      </c>
      <c r="D481" s="56" t="str">
        <f>IFERROR(__xludf.DUMMYFUNCTION("""COMPUTED_VALUE"""),"REUNIÓN ENCARGADXS ECICEP (CENTRAL)")</f>
        <v>REUNIÓN ENCARGADXS ECICEP (CENTRAL)</v>
      </c>
      <c r="E481" s="55">
        <f>IFERROR(__xludf.DUMMYFUNCTION("""COMPUTED_VALUE"""),0.875)</f>
        <v>0.875</v>
      </c>
      <c r="F481" s="56" t="str">
        <f>IFERROR(__xludf.DUMMYFUNCTION("""COMPUTED_VALUE"""),"SI")</f>
        <v>SI</v>
      </c>
    </row>
    <row r="482" ht="15.75" customHeight="1">
      <c r="A482" s="56" t="str">
        <f>IFERROR(__xludf.DUMMYFUNCTION("""COMPUTED_VALUE"""),"REU_112")</f>
        <v>REU_112</v>
      </c>
      <c r="B482" s="56" t="str">
        <f>IFERROR(__xludf.DUMMYFUNCTION("""COMPUTED_VALUE"""),"REUNION")</f>
        <v>REUNION</v>
      </c>
      <c r="C482" s="56" t="str">
        <f>IFERROR(__xludf.DUMMYFUNCTION("""COMPUTED_VALUE"""),"MAISFC")</f>
        <v>MAISFC</v>
      </c>
      <c r="D482" s="56" t="str">
        <f>IFERROR(__xludf.DUMMYFUNCTION("""COMPUTED_VALUE"""),"REUNIÓN ENCARGADXS ECICEP (SSVSA)")</f>
        <v>REUNIÓN ENCARGADXS ECICEP (SSVSA)</v>
      </c>
      <c r="E482" s="55">
        <f>IFERROR(__xludf.DUMMYFUNCTION("""COMPUTED_VALUE"""),0.575)</f>
        <v>0.575</v>
      </c>
      <c r="F482" s="56" t="str">
        <f>IFERROR(__xludf.DUMMYFUNCTION("""COMPUTED_VALUE"""),"SI")</f>
        <v>SI</v>
      </c>
    </row>
    <row r="483" ht="15.75" customHeight="1">
      <c r="A483" s="56" t="str">
        <f>IFERROR(__xludf.DUMMYFUNCTION("""COMPUTED_VALUE"""),"REU_113")</f>
        <v>REU_113</v>
      </c>
      <c r="B483" s="56" t="str">
        <f>IFERROR(__xludf.DUMMYFUNCTION("""COMPUTED_VALUE"""),"REUNION")</f>
        <v>REUNION</v>
      </c>
      <c r="C483" s="56" t="str">
        <f>IFERROR(__xludf.DUMMYFUNCTION("""COMPUTED_VALUE"""),"MAISFC")</f>
        <v>MAISFC</v>
      </c>
      <c r="D483" s="56" t="str">
        <f>IFERROR(__xludf.DUMMYFUNCTION("""COMPUTED_VALUE"""),"REUNIÓN EQUIPO CABECERA")</f>
        <v>REUNIÓN EQUIPO CABECERA</v>
      </c>
      <c r="E483" s="55">
        <f>IFERROR(__xludf.DUMMYFUNCTION("""COMPUTED_VALUE"""),0.49999999999272404)</f>
        <v>0.5</v>
      </c>
      <c r="F483" s="56" t="str">
        <f>IFERROR(__xludf.DUMMYFUNCTION("""COMPUTED_VALUE"""),"SI")</f>
        <v>SI</v>
      </c>
    </row>
    <row r="484" ht="15.75" customHeight="1">
      <c r="A484" s="56" t="str">
        <f>IFERROR(__xludf.DUMMYFUNCTION("""COMPUTED_VALUE"""),"REU_114")</f>
        <v>REU_114</v>
      </c>
      <c r="B484" s="56" t="str">
        <f>IFERROR(__xludf.DUMMYFUNCTION("""COMPUTED_VALUE"""),"REUNION")</f>
        <v>REUNION</v>
      </c>
      <c r="C484" s="56" t="str">
        <f>IFERROR(__xludf.DUMMYFUNCTION("""COMPUTED_VALUE"""),"MAISFC")</f>
        <v>MAISFC</v>
      </c>
      <c r="D484" s="56" t="str">
        <f>IFERROR(__xludf.DUMMYFUNCTION("""COMPUTED_VALUE"""),"REUNIÓN EQUIPO CABECERA (2 HRS - X10)")</f>
        <v>REUNIÓN EQUIPO CABECERA (2 HRS - X10)</v>
      </c>
      <c r="E484" s="55">
        <f>IFERROR(__xludf.DUMMYFUNCTION("""COMPUTED_VALUE"""),0.49999999999272404)</f>
        <v>0.5</v>
      </c>
      <c r="F484" s="56" t="str">
        <f>IFERROR(__xludf.DUMMYFUNCTION("""COMPUTED_VALUE"""),"SI")</f>
        <v>SI</v>
      </c>
    </row>
    <row r="485" ht="15.75" customHeight="1">
      <c r="A485" s="56" t="str">
        <f>IFERROR(__xludf.DUMMYFUNCTION("""COMPUTED_VALUE"""),"REU_115")</f>
        <v>REU_115</v>
      </c>
      <c r="B485" s="56" t="str">
        <f>IFERROR(__xludf.DUMMYFUNCTION("""COMPUTED_VALUE"""),"REUNION")</f>
        <v>REUNION</v>
      </c>
      <c r="C485" s="56" t="str">
        <f>IFERROR(__xludf.DUMMYFUNCTION("""COMPUTED_VALUE"""),"MAISFC")</f>
        <v>MAISFC</v>
      </c>
      <c r="D485" s="56" t="str">
        <f>IFERROR(__xludf.DUMMYFUNCTION("""COMPUTED_VALUE"""),"REUNIÓN EQUIPO CABECERA (3 HRS - X12)")</f>
        <v>REUNIÓN EQUIPO CABECERA (3 HRS - X12)</v>
      </c>
      <c r="E485" s="55">
        <f>IFERROR(__xludf.DUMMYFUNCTION("""COMPUTED_VALUE"""),0.9)</f>
        <v>0.9</v>
      </c>
      <c r="F485" s="56" t="str">
        <f>IFERROR(__xludf.DUMMYFUNCTION("""COMPUTED_VALUE"""),"SI")</f>
        <v>SI</v>
      </c>
    </row>
    <row r="486" ht="15.75" customHeight="1">
      <c r="A486" s="56" t="str">
        <f>IFERROR(__xludf.DUMMYFUNCTION("""COMPUTED_VALUE"""),"REU_116")</f>
        <v>REU_116</v>
      </c>
      <c r="B486" s="56" t="str">
        <f>IFERROR(__xludf.DUMMYFUNCTION("""COMPUTED_VALUE"""),"REUNION")</f>
        <v>REUNION</v>
      </c>
      <c r="C486" s="56" t="str">
        <f>IFERROR(__xludf.DUMMYFUNCTION("""COMPUTED_VALUE"""),"MAISFC")</f>
        <v>MAISFC</v>
      </c>
      <c r="D486" s="56" t="str">
        <f>IFERROR(__xludf.DUMMYFUNCTION("""COMPUTED_VALUE"""),"REUNIÓN EQUIPO CABECERA (4 HRS - X10)")</f>
        <v>REUNIÓN EQUIPO CABECERA (4 HRS - X10)</v>
      </c>
      <c r="E486" s="55">
        <f>IFERROR(__xludf.DUMMYFUNCTION("""COMPUTED_VALUE"""),0.9999999999854481)</f>
        <v>1</v>
      </c>
      <c r="F486" s="56" t="str">
        <f>IFERROR(__xludf.DUMMYFUNCTION("""COMPUTED_VALUE"""),"SI")</f>
        <v>SI</v>
      </c>
    </row>
    <row r="487" ht="15.75" customHeight="1">
      <c r="A487" s="56" t="str">
        <f>IFERROR(__xludf.DUMMYFUNCTION("""COMPUTED_VALUE"""),"REU_117")</f>
        <v>REU_117</v>
      </c>
      <c r="B487" s="56" t="str">
        <f>IFERROR(__xludf.DUMMYFUNCTION("""COMPUTED_VALUE"""),"REUNION")</f>
        <v>REUNION</v>
      </c>
      <c r="C487" s="56" t="str">
        <f>IFERROR(__xludf.DUMMYFUNCTION("""COMPUTED_VALUE"""),"MAISFC")</f>
        <v>MAISFC</v>
      </c>
      <c r="D487" s="56" t="str">
        <f>IFERROR(__xludf.DUMMYFUNCTION("""COMPUTED_VALUE"""),"REUNIÓN EQUIPO MOTOR ECICEP (LOCAL)")</f>
        <v>REUNIÓN EQUIPO MOTOR ECICEP (LOCAL)</v>
      </c>
      <c r="E487" s="55">
        <f>IFERROR(__xludf.DUMMYFUNCTION("""COMPUTED_VALUE"""),0.49999999999272404)</f>
        <v>0.5</v>
      </c>
      <c r="F487" s="56" t="str">
        <f>IFERROR(__xludf.DUMMYFUNCTION("""COMPUTED_VALUE"""),"SI")</f>
        <v>SI</v>
      </c>
    </row>
    <row r="488" ht="15.75" customHeight="1">
      <c r="A488" s="56" t="str">
        <f>IFERROR(__xludf.DUMMYFUNCTION("""COMPUTED_VALUE"""),"REU_118")</f>
        <v>REU_118</v>
      </c>
      <c r="B488" s="56" t="str">
        <f>IFERROR(__xludf.DUMMYFUNCTION("""COMPUTED_VALUE"""),"REUNION")</f>
        <v>REUNION</v>
      </c>
      <c r="C488" s="56" t="str">
        <f>IFERROR(__xludf.DUMMYFUNCTION("""COMPUTED_VALUE"""),"MAISFC")</f>
        <v>MAISFC</v>
      </c>
      <c r="D488" s="56" t="str">
        <f>IFERROR(__xludf.DUMMYFUNCTION("""COMPUTED_VALUE"""),"REUNIÓN EQUIPO MOTOR ECICEP (LOCAL) (1 HRS - X12)")</f>
        <v>REUNIÓN EQUIPO MOTOR ECICEP (LOCAL) (1 HRS - X12)</v>
      </c>
      <c r="E488" s="55">
        <f>IFERROR(__xludf.DUMMYFUNCTION("""COMPUTED_VALUE"""),0.2999999999825377)</f>
        <v>0.3</v>
      </c>
      <c r="F488" s="56" t="str">
        <f>IFERROR(__xludf.DUMMYFUNCTION("""COMPUTED_VALUE"""),"SI")</f>
        <v>SI</v>
      </c>
    </row>
    <row r="489" ht="15.75" customHeight="1">
      <c r="A489" s="56" t="str">
        <f>IFERROR(__xludf.DUMMYFUNCTION("""COMPUTED_VALUE"""),"REU_119")</f>
        <v>REU_119</v>
      </c>
      <c r="B489" s="56" t="str">
        <f>IFERROR(__xludf.DUMMYFUNCTION("""COMPUTED_VALUE"""),"REUNION")</f>
        <v>REUNION</v>
      </c>
      <c r="C489" s="56" t="str">
        <f>IFERROR(__xludf.DUMMYFUNCTION("""COMPUTED_VALUE"""),"MAISFC")</f>
        <v>MAISFC</v>
      </c>
      <c r="D489" s="56" t="str">
        <f>IFERROR(__xludf.DUMMYFUNCTION("""COMPUTED_VALUE"""),"REUNIÓN EQUIPO MOTOR ECICEP (LOCAL) (2 HRS - X10)")</f>
        <v>REUNIÓN EQUIPO MOTOR ECICEP (LOCAL) (2 HRS - X10)</v>
      </c>
      <c r="E489" s="55">
        <f>IFERROR(__xludf.DUMMYFUNCTION("""COMPUTED_VALUE"""),0.49999999999272404)</f>
        <v>0.5</v>
      </c>
      <c r="F489" s="56" t="str">
        <f>IFERROR(__xludf.DUMMYFUNCTION("""COMPUTED_VALUE"""),"SI")</f>
        <v>SI</v>
      </c>
    </row>
    <row r="490" ht="15.75" customHeight="1">
      <c r="A490" s="56" t="str">
        <f>IFERROR(__xludf.DUMMYFUNCTION("""COMPUTED_VALUE"""),"REU_120")</f>
        <v>REU_120</v>
      </c>
      <c r="B490" s="56" t="str">
        <f>IFERROR(__xludf.DUMMYFUNCTION("""COMPUTED_VALUE"""),"REUNION")</f>
        <v>REUNION</v>
      </c>
      <c r="C490" s="56" t="str">
        <f>IFERROR(__xludf.DUMMYFUNCTION("""COMPUTED_VALUE"""),"MAISFC")</f>
        <v>MAISFC</v>
      </c>
      <c r="D490" s="56" t="str">
        <f>IFERROR(__xludf.DUMMYFUNCTION("""COMPUTED_VALUE"""),"REUNIÓN EQUIPO MOTOR ECICEP (LOCAL) (3 HRS - X12)")</f>
        <v>REUNIÓN EQUIPO MOTOR ECICEP (LOCAL) (3 HRS - X12)</v>
      </c>
      <c r="E490" s="55">
        <f>IFERROR(__xludf.DUMMYFUNCTION("""COMPUTED_VALUE"""),0.5999999999912689)</f>
        <v>0.6</v>
      </c>
      <c r="F490" s="56" t="str">
        <f>IFERROR(__xludf.DUMMYFUNCTION("""COMPUTED_VALUE"""),"SI")</f>
        <v>SI</v>
      </c>
    </row>
    <row r="491" ht="15.75" customHeight="1">
      <c r="A491" s="56" t="str">
        <f>IFERROR(__xludf.DUMMYFUNCTION("""COMPUTED_VALUE"""),"REU_121")</f>
        <v>REU_121</v>
      </c>
      <c r="B491" s="56" t="str">
        <f>IFERROR(__xludf.DUMMYFUNCTION("""COMPUTED_VALUE"""),"REUNION")</f>
        <v>REUNION</v>
      </c>
      <c r="C491" s="56" t="str">
        <f>IFERROR(__xludf.DUMMYFUNCTION("""COMPUTED_VALUE"""),"MAISFC")</f>
        <v>MAISFC</v>
      </c>
      <c r="D491" s="56" t="str">
        <f>IFERROR(__xludf.DUMMYFUNCTION("""COMPUTED_VALUE"""),"REUNIÓN GESTIÓN SALUD FAMILIAR (1a parte)")</f>
        <v>REUNIÓN GESTIÓN SALUD FAMILIAR (1a parte)</v>
      </c>
      <c r="E491" s="55">
        <f>IFERROR(__xludf.DUMMYFUNCTION("""COMPUTED_VALUE"""),0.12499999999272404)</f>
        <v>0.125</v>
      </c>
      <c r="F491" s="56" t="str">
        <f>IFERROR(__xludf.DUMMYFUNCTION("""COMPUTED_VALUE"""),"SI")</f>
        <v>SI</v>
      </c>
    </row>
    <row r="492" ht="15.75" customHeight="1">
      <c r="A492" s="56" t="str">
        <f>IFERROR(__xludf.DUMMYFUNCTION("""COMPUTED_VALUE"""),"REU_122")</f>
        <v>REU_122</v>
      </c>
      <c r="B492" s="56" t="str">
        <f>IFERROR(__xludf.DUMMYFUNCTION("""COMPUTED_VALUE"""),"REUNION")</f>
        <v>REUNION</v>
      </c>
      <c r="C492" s="56" t="str">
        <f>IFERROR(__xludf.DUMMYFUNCTION("""COMPUTED_VALUE"""),"MAISFC")</f>
        <v>MAISFC</v>
      </c>
      <c r="D492" s="56" t="str">
        <f>IFERROR(__xludf.DUMMYFUNCTION("""COMPUTED_VALUE"""),"REUNIÓN GESTIÓN SALUD FAMILIAR (2a parte)")</f>
        <v>REUNIÓN GESTIÓN SALUD FAMILIAR (2a parte)</v>
      </c>
      <c r="E492" s="55">
        <f>IFERROR(__xludf.DUMMYFUNCTION("""COMPUTED_VALUE"""),0.25000000000727596)</f>
        <v>0.25</v>
      </c>
      <c r="F492" s="56" t="str">
        <f>IFERROR(__xludf.DUMMYFUNCTION("""COMPUTED_VALUE"""),"SI")</f>
        <v>SI</v>
      </c>
    </row>
    <row r="493" ht="15.75" customHeight="1">
      <c r="A493" s="56" t="str">
        <f>IFERROR(__xludf.DUMMYFUNCTION("""COMPUTED_VALUE"""),"REU_123")</f>
        <v>REU_123</v>
      </c>
      <c r="B493" s="56" t="str">
        <f>IFERROR(__xludf.DUMMYFUNCTION("""COMPUTED_VALUE"""),"REUNION")</f>
        <v>REUNION</v>
      </c>
      <c r="C493" s="56" t="str">
        <f>IFERROR(__xludf.DUMMYFUNCTION("""COMPUTED_VALUE"""),"MAISFC")</f>
        <v>MAISFC</v>
      </c>
      <c r="D493" s="56" t="str">
        <f>IFERROR(__xludf.DUMMYFUNCTION("""COMPUTED_VALUE"""),"REUNIÓN GESTIÓN SALUD FAMILIAR (3 HRS - X10)")</f>
        <v>REUNIÓN GESTIÓN SALUD FAMILIAR (3 HRS - X10)</v>
      </c>
      <c r="E493" s="55">
        <f>IFERROR(__xludf.DUMMYFUNCTION("""COMPUTED_VALUE"""),0.75)</f>
        <v>0.75</v>
      </c>
      <c r="F493" s="56" t="str">
        <f>IFERROR(__xludf.DUMMYFUNCTION("""COMPUTED_VALUE"""),"SI")</f>
        <v>SI</v>
      </c>
    </row>
    <row r="494" ht="15.75" customHeight="1">
      <c r="A494" s="56" t="str">
        <f>IFERROR(__xludf.DUMMYFUNCTION("""COMPUTED_VALUE"""),"REU_124")</f>
        <v>REU_124</v>
      </c>
      <c r="B494" s="56" t="str">
        <f>IFERROR(__xludf.DUMMYFUNCTION("""COMPUTED_VALUE"""),"REUNION")</f>
        <v>REUNION</v>
      </c>
      <c r="C494" s="56" t="str">
        <f>IFERROR(__xludf.DUMMYFUNCTION("""COMPUTED_VALUE"""),"MAISFC")</f>
        <v>MAISFC</v>
      </c>
      <c r="D494" s="56" t="str">
        <f>IFERROR(__xludf.DUMMYFUNCTION("""COMPUTED_VALUE"""),"REUNIÓN GESTIÓN SALUD FAMILIAR (4 HRS - X12)")</f>
        <v>REUNIÓN GESTIÓN SALUD FAMILIAR (4 HRS - X12)</v>
      </c>
      <c r="E494" s="55">
        <f>IFERROR(__xludf.DUMMYFUNCTION("""COMPUTED_VALUE"""),1.1999999999825377)</f>
        <v>1.2</v>
      </c>
      <c r="F494" s="56" t="str">
        <f>IFERROR(__xludf.DUMMYFUNCTION("""COMPUTED_VALUE"""),"SI")</f>
        <v>SI</v>
      </c>
    </row>
    <row r="495" ht="15.75" customHeight="1">
      <c r="A495" s="56" t="str">
        <f>IFERROR(__xludf.DUMMYFUNCTION("""COMPUTED_VALUE"""),"REU_125")</f>
        <v>REU_125</v>
      </c>
      <c r="B495" s="56" t="str">
        <f>IFERROR(__xludf.DUMMYFUNCTION("""COMPUTED_VALUE"""),"REUNION")</f>
        <v>REUNION</v>
      </c>
      <c r="C495" s="56" t="str">
        <f>IFERROR(__xludf.DUMMYFUNCTION("""COMPUTED_VALUE"""),"MAISFC")</f>
        <v>MAISFC</v>
      </c>
      <c r="D495" s="56" t="str">
        <f>IFERROR(__xludf.DUMMYFUNCTION("""COMPUTED_VALUE"""),"REUNIÓN GESTIÓN SALUD FAMILIAR CECOSF  (2HRS -X20)")</f>
        <v>REUNIÓN GESTIÓN SALUD FAMILIAR CECOSF  (2HRS -X20)</v>
      </c>
      <c r="E495" s="55">
        <f>IFERROR(__xludf.DUMMYFUNCTION("""COMPUTED_VALUE"""),0.9999999999854481)</f>
        <v>1</v>
      </c>
      <c r="F495" s="56" t="str">
        <f>IFERROR(__xludf.DUMMYFUNCTION("""COMPUTED_VALUE"""),"SI")</f>
        <v>SI</v>
      </c>
    </row>
    <row r="496" ht="15.75" customHeight="1">
      <c r="A496" s="56" t="str">
        <f>IFERROR(__xludf.DUMMYFUNCTION("""COMPUTED_VALUE"""),"REU_126")</f>
        <v>REU_126</v>
      </c>
      <c r="B496" s="56" t="str">
        <f>IFERROR(__xludf.DUMMYFUNCTION("""COMPUTED_VALUE"""),"REUNION")</f>
        <v>REUNION</v>
      </c>
      <c r="C496" s="56" t="str">
        <f>IFERROR(__xludf.DUMMYFUNCTION("""COMPUTED_VALUE"""),"MAISFC")</f>
        <v>MAISFC</v>
      </c>
      <c r="D496" s="56" t="str">
        <f>IFERROR(__xludf.DUMMYFUNCTION("""COMPUTED_VALUE"""),"REUNIÓN SECTOR (1 HRS - X12)")</f>
        <v>REUNIÓN SECTOR (1 HRS - X12)</v>
      </c>
      <c r="E496" s="55">
        <f>IFERROR(__xludf.DUMMYFUNCTION("""COMPUTED_VALUE"""),0.2999999999825377)</f>
        <v>0.3</v>
      </c>
      <c r="F496" s="56" t="str">
        <f>IFERROR(__xludf.DUMMYFUNCTION("""COMPUTED_VALUE"""),"SI")</f>
        <v>SI</v>
      </c>
    </row>
    <row r="497" ht="15.75" customHeight="1">
      <c r="A497" s="56" t="str">
        <f>IFERROR(__xludf.DUMMYFUNCTION("""COMPUTED_VALUE"""),"REU_127")</f>
        <v>REU_127</v>
      </c>
      <c r="B497" s="56" t="str">
        <f>IFERROR(__xludf.DUMMYFUNCTION("""COMPUTED_VALUE"""),"REUNION")</f>
        <v>REUNION</v>
      </c>
      <c r="C497" s="56" t="str">
        <f>IFERROR(__xludf.DUMMYFUNCTION("""COMPUTED_VALUE"""),"MAISFC")</f>
        <v>MAISFC</v>
      </c>
      <c r="D497" s="56" t="str">
        <f>IFERROR(__xludf.DUMMYFUNCTION("""COMPUTED_VALUE"""),"REUNIÓN SECTOR (2 HRS - X10)")</f>
        <v>REUNIÓN SECTOR (2 HRS - X10)</v>
      </c>
      <c r="E497" s="55">
        <f>IFERROR(__xludf.DUMMYFUNCTION("""COMPUTED_VALUE"""),0.49999999999272404)</f>
        <v>0.5</v>
      </c>
      <c r="F497" s="56" t="str">
        <f>IFERROR(__xludf.DUMMYFUNCTION("""COMPUTED_VALUE"""),"SI")</f>
        <v>SI</v>
      </c>
    </row>
    <row r="498" ht="15.75" customHeight="1">
      <c r="A498" s="56" t="str">
        <f>IFERROR(__xludf.DUMMYFUNCTION("""COMPUTED_VALUE"""),"REU_128")</f>
        <v>REU_128</v>
      </c>
      <c r="B498" s="56" t="str">
        <f>IFERROR(__xludf.DUMMYFUNCTION("""COMPUTED_VALUE"""),"REUNION")</f>
        <v>REUNION</v>
      </c>
      <c r="C498" s="56" t="str">
        <f>IFERROR(__xludf.DUMMYFUNCTION("""COMPUTED_VALUE"""),"MAISFC")</f>
        <v>MAISFC</v>
      </c>
      <c r="D498" s="56" t="str">
        <f>IFERROR(__xludf.DUMMYFUNCTION("""COMPUTED_VALUE"""),"REUNIÓN SECTOR (2 HRS - X10)")</f>
        <v>REUNIÓN SECTOR (2 HRS - X10)</v>
      </c>
      <c r="E498" s="55">
        <f>IFERROR(__xludf.DUMMYFUNCTION("""COMPUTED_VALUE"""),0.5999999999912689)</f>
        <v>0.6</v>
      </c>
      <c r="F498" s="56" t="str">
        <f>IFERROR(__xludf.DUMMYFUNCTION("""COMPUTED_VALUE"""),"SI")</f>
        <v>SI</v>
      </c>
    </row>
    <row r="499" ht="15.75" customHeight="1">
      <c r="A499" s="56" t="str">
        <f>IFERROR(__xludf.DUMMYFUNCTION("""COMPUTED_VALUE"""),"REU_129")</f>
        <v>REU_129</v>
      </c>
      <c r="B499" s="56" t="str">
        <f>IFERROR(__xludf.DUMMYFUNCTION("""COMPUTED_VALUE"""),"REUNION")</f>
        <v>REUNION</v>
      </c>
      <c r="C499" s="56" t="str">
        <f>IFERROR(__xludf.DUMMYFUNCTION("""COMPUTED_VALUE"""),"MAISFC")</f>
        <v>MAISFC</v>
      </c>
      <c r="D499" s="56" t="str">
        <f>IFERROR(__xludf.DUMMYFUNCTION("""COMPUTED_VALUE"""),"REUNIÓN SECTOR (2 HRS - X12)")</f>
        <v>REUNIÓN SECTOR (2 HRS - X12)</v>
      </c>
      <c r="E499" s="55">
        <f>IFERROR(__xludf.DUMMYFUNCTION("""COMPUTED_VALUE"""),0.5999999999912689)</f>
        <v>0.6</v>
      </c>
      <c r="F499" s="56" t="str">
        <f>IFERROR(__xludf.DUMMYFUNCTION("""COMPUTED_VALUE"""),"SI")</f>
        <v>SI</v>
      </c>
    </row>
    <row r="500" ht="15.75" customHeight="1">
      <c r="A500" s="56" t="str">
        <f>IFERROR(__xludf.DUMMYFUNCTION("""COMPUTED_VALUE"""),"REU_130")</f>
        <v>REU_130</v>
      </c>
      <c r="B500" s="56" t="str">
        <f>IFERROR(__xludf.DUMMYFUNCTION("""COMPUTED_VALUE"""),"REUNION")</f>
        <v>REUNION</v>
      </c>
      <c r="C500" s="56" t="str">
        <f>IFERROR(__xludf.DUMMYFUNCTION("""COMPUTED_VALUE"""),"MAISFC")</f>
        <v>MAISFC</v>
      </c>
      <c r="D500" s="56" t="str">
        <f>IFERROR(__xludf.DUMMYFUNCTION("""COMPUTED_VALUE"""),"REUNIÓN SECTOR (3 HRS - X10)")</f>
        <v>REUNIÓN SECTOR (3 HRS - X10)</v>
      </c>
      <c r="E500" s="55">
        <f>IFERROR(__xludf.DUMMYFUNCTION("""COMPUTED_VALUE"""),0.75)</f>
        <v>0.75</v>
      </c>
      <c r="F500" s="56" t="str">
        <f>IFERROR(__xludf.DUMMYFUNCTION("""COMPUTED_VALUE"""),"SI")</f>
        <v>SI</v>
      </c>
    </row>
    <row r="501" ht="15.75" customHeight="1">
      <c r="A501" s="56" t="str">
        <f>IFERROR(__xludf.DUMMYFUNCTION("""COMPUTED_VALUE"""),"REU_131")</f>
        <v>REU_131</v>
      </c>
      <c r="B501" s="56" t="str">
        <f>IFERROR(__xludf.DUMMYFUNCTION("""COMPUTED_VALUE"""),"REUNION")</f>
        <v>REUNION</v>
      </c>
      <c r="C501" s="56" t="str">
        <f>IFERROR(__xludf.DUMMYFUNCTION("""COMPUTED_VALUE"""),"MAISFC")</f>
        <v>MAISFC</v>
      </c>
      <c r="D501" s="56" t="str">
        <f>IFERROR(__xludf.DUMMYFUNCTION("""COMPUTED_VALUE"""),"REUNIÓN SECTOR (3 HRS - X12)")</f>
        <v>REUNIÓN SECTOR (3 HRS - X12)</v>
      </c>
      <c r="E501" s="55">
        <f>IFERROR(__xludf.DUMMYFUNCTION("""COMPUTED_VALUE"""),0.9)</f>
        <v>0.9</v>
      </c>
      <c r="F501" s="56" t="str">
        <f>IFERROR(__xludf.DUMMYFUNCTION("""COMPUTED_VALUE"""),"SI")</f>
        <v>SI</v>
      </c>
    </row>
    <row r="502" ht="15.75" customHeight="1">
      <c r="A502" s="56" t="str">
        <f>IFERROR(__xludf.DUMMYFUNCTION("""COMPUTED_VALUE"""),"REU_132")</f>
        <v>REU_132</v>
      </c>
      <c r="B502" s="56" t="str">
        <f>IFERROR(__xludf.DUMMYFUNCTION("""COMPUTED_VALUE"""),"REUNION")</f>
        <v>REUNION</v>
      </c>
      <c r="C502" s="56" t="str">
        <f>IFERROR(__xludf.DUMMYFUNCTION("""COMPUTED_VALUE"""),"MAISFC")</f>
        <v>MAISFC</v>
      </c>
      <c r="D502" s="56" t="str">
        <f>IFERROR(__xludf.DUMMYFUNCTION("""COMPUTED_VALUE"""),"REUNIÓN SECTOR (4 HRS - X10)")</f>
        <v>REUNIÓN SECTOR (4 HRS - X10)</v>
      </c>
      <c r="E502" s="55">
        <f>IFERROR(__xludf.DUMMYFUNCTION("""COMPUTED_VALUE"""),0.9999999999854481)</f>
        <v>1</v>
      </c>
      <c r="F502" s="56" t="str">
        <f>IFERROR(__xludf.DUMMYFUNCTION("""COMPUTED_VALUE"""),"SI")</f>
        <v>SI</v>
      </c>
    </row>
    <row r="503" ht="15.75" customHeight="1">
      <c r="A503" s="56" t="str">
        <f>IFERROR(__xludf.DUMMYFUNCTION("""COMPUTED_VALUE"""),"REU_133")</f>
        <v>REU_133</v>
      </c>
      <c r="B503" s="56" t="str">
        <f>IFERROR(__xludf.DUMMYFUNCTION("""COMPUTED_VALUE"""),"REUNION")</f>
        <v>REUNION</v>
      </c>
      <c r="C503" s="56" t="str">
        <f>IFERROR(__xludf.DUMMYFUNCTION("""COMPUTED_VALUE"""),"MAISFC")</f>
        <v>MAISFC</v>
      </c>
      <c r="D503" s="56" t="str">
        <f>IFERROR(__xludf.DUMMYFUNCTION("""COMPUTED_VALUE"""),"SECTOR 1 (a)")</f>
        <v>SECTOR 1 (a)</v>
      </c>
      <c r="E503" s="55">
        <f>IFERROR(__xludf.DUMMYFUNCTION("""COMPUTED_VALUE"""),0.375)</f>
        <v>0.375</v>
      </c>
      <c r="F503" s="56" t="str">
        <f>IFERROR(__xludf.DUMMYFUNCTION("""COMPUTED_VALUE"""),"SI")</f>
        <v>SI</v>
      </c>
    </row>
    <row r="504" ht="15.75" customHeight="1">
      <c r="A504" s="56" t="str">
        <f>IFERROR(__xludf.DUMMYFUNCTION("""COMPUTED_VALUE"""),"REU_134")</f>
        <v>REU_134</v>
      </c>
      <c r="B504" s="56" t="str">
        <f>IFERROR(__xludf.DUMMYFUNCTION("""COMPUTED_VALUE"""),"REUNION")</f>
        <v>REUNION</v>
      </c>
      <c r="C504" s="56" t="str">
        <f>IFERROR(__xludf.DUMMYFUNCTION("""COMPUTED_VALUE"""),"MAISFC")</f>
        <v>MAISFC</v>
      </c>
      <c r="D504" s="56" t="str">
        <f>IFERROR(__xludf.DUMMYFUNCTION("""COMPUTED_VALUE"""),"SECTOR 1 (a)")</f>
        <v>SECTOR 1 (a)</v>
      </c>
      <c r="E504" s="55">
        <f>IFERROR(__xludf.DUMMYFUNCTION("""COMPUTED_VALUE"""),0.9)</f>
        <v>0.9</v>
      </c>
      <c r="F504" s="56" t="str">
        <f>IFERROR(__xludf.DUMMYFUNCTION("""COMPUTED_VALUE"""),"SI")</f>
        <v>SI</v>
      </c>
    </row>
    <row r="505" ht="15.75" customHeight="1">
      <c r="A505" s="56" t="str">
        <f>IFERROR(__xludf.DUMMYFUNCTION("""COMPUTED_VALUE"""),"REU_135")</f>
        <v>REU_135</v>
      </c>
      <c r="B505" s="56" t="str">
        <f>IFERROR(__xludf.DUMMYFUNCTION("""COMPUTED_VALUE"""),"REUNION")</f>
        <v>REUNION</v>
      </c>
      <c r="C505" s="56" t="str">
        <f>IFERROR(__xludf.DUMMYFUNCTION("""COMPUTED_VALUE"""),"MAISFC")</f>
        <v>MAISFC</v>
      </c>
      <c r="D505" s="56" t="str">
        <f>IFERROR(__xludf.DUMMYFUNCTION("""COMPUTED_VALUE"""),"SECTOR 1 (b)")</f>
        <v>SECTOR 1 (b)</v>
      </c>
      <c r="E505" s="55">
        <f>IFERROR(__xludf.DUMMYFUNCTION("""COMPUTED_VALUE"""),0.375)</f>
        <v>0.375</v>
      </c>
      <c r="F505" s="56" t="str">
        <f>IFERROR(__xludf.DUMMYFUNCTION("""COMPUTED_VALUE"""),"SI")</f>
        <v>SI</v>
      </c>
    </row>
    <row r="506" ht="15.75" customHeight="1">
      <c r="A506" s="56" t="str">
        <f>IFERROR(__xludf.DUMMYFUNCTION("""COMPUTED_VALUE"""),"REU_136")</f>
        <v>REU_136</v>
      </c>
      <c r="B506" s="56" t="str">
        <f>IFERROR(__xludf.DUMMYFUNCTION("""COMPUTED_VALUE"""),"REUNION")</f>
        <v>REUNION</v>
      </c>
      <c r="C506" s="56" t="str">
        <f>IFERROR(__xludf.DUMMYFUNCTION("""COMPUTED_VALUE"""),"MAISFC")</f>
        <v>MAISFC</v>
      </c>
      <c r="D506" s="56" t="str">
        <f>IFERROR(__xludf.DUMMYFUNCTION("""COMPUTED_VALUE"""),"SECTOR 2 (a)")</f>
        <v>SECTOR 2 (a)</v>
      </c>
      <c r="E506" s="55">
        <f>IFERROR(__xludf.DUMMYFUNCTION("""COMPUTED_VALUE"""),0.375)</f>
        <v>0.375</v>
      </c>
      <c r="F506" s="56" t="str">
        <f>IFERROR(__xludf.DUMMYFUNCTION("""COMPUTED_VALUE"""),"SI")</f>
        <v>SI</v>
      </c>
    </row>
    <row r="507" ht="15.75" customHeight="1">
      <c r="A507" s="56" t="str">
        <f>IFERROR(__xludf.DUMMYFUNCTION("""COMPUTED_VALUE"""),"REU_137")</f>
        <v>REU_137</v>
      </c>
      <c r="B507" s="56" t="str">
        <f>IFERROR(__xludf.DUMMYFUNCTION("""COMPUTED_VALUE"""),"REUNION")</f>
        <v>REUNION</v>
      </c>
      <c r="C507" s="56" t="str">
        <f>IFERROR(__xludf.DUMMYFUNCTION("""COMPUTED_VALUE"""),"MAISFC")</f>
        <v>MAISFC</v>
      </c>
      <c r="D507" s="56" t="str">
        <f>IFERROR(__xludf.DUMMYFUNCTION("""COMPUTED_VALUE"""),"SECTOR 2 (b)")</f>
        <v>SECTOR 2 (b)</v>
      </c>
      <c r="E507" s="55">
        <f>IFERROR(__xludf.DUMMYFUNCTION("""COMPUTED_VALUE"""),0.375)</f>
        <v>0.375</v>
      </c>
      <c r="F507" s="56" t="str">
        <f>IFERROR(__xludf.DUMMYFUNCTION("""COMPUTED_VALUE"""),"SI")</f>
        <v>SI</v>
      </c>
    </row>
    <row r="508" ht="15.75" customHeight="1">
      <c r="A508" s="56" t="str">
        <f>IFERROR(__xludf.DUMMYFUNCTION("""COMPUTED_VALUE"""),"REU_138")</f>
        <v>REU_138</v>
      </c>
      <c r="B508" s="56" t="str">
        <f>IFERROR(__xludf.DUMMYFUNCTION("""COMPUTED_VALUE"""),"REUNION")</f>
        <v>REUNION</v>
      </c>
      <c r="C508" s="56" t="str">
        <f>IFERROR(__xludf.DUMMYFUNCTION("""COMPUTED_VALUE"""),"PROGRAMA - CICLO VITAL")</f>
        <v>PROGRAMA - CICLO VITAL</v>
      </c>
      <c r="D508" s="56" t="str">
        <f>IFERROR(__xludf.DUMMYFUNCTION("""COMPUTED_VALUE"""),"PSM - CONSULTORÍA ADULTO HDS (PROGRAMABLE)")</f>
        <v>PSM - CONSULTORÍA ADULTO HDS (PROGRAMABLE)</v>
      </c>
      <c r="E508" s="55">
        <f>IFERROR(__xludf.DUMMYFUNCTION("""COMPUTED_VALUE"""),0.75)</f>
        <v>0.75</v>
      </c>
      <c r="F508" s="56" t="str">
        <f>IFERROR(__xludf.DUMMYFUNCTION("""COMPUTED_VALUE"""),"SI")</f>
        <v>SI</v>
      </c>
    </row>
    <row r="509" ht="15.75" customHeight="1">
      <c r="A509" s="56" t="str">
        <f>IFERROR(__xludf.DUMMYFUNCTION("""COMPUTED_VALUE"""),"REU_139")</f>
        <v>REU_139</v>
      </c>
      <c r="B509" s="56" t="str">
        <f>IFERROR(__xludf.DUMMYFUNCTION("""COMPUTED_VALUE"""),"REUNION")</f>
        <v>REUNION</v>
      </c>
      <c r="C509" s="56" t="str">
        <f>IFERROR(__xludf.DUMMYFUNCTION("""COMPUTED_VALUE"""),"PROGRAMA - CICLO VITAL")</f>
        <v>PROGRAMA - CICLO VITAL</v>
      </c>
      <c r="D509" s="56" t="str">
        <f>IFERROR(__xludf.DUMMYFUNCTION("""COMPUTED_VALUE"""),"PSM - CONSULTORÍA API (PROGRAMABLE)")</f>
        <v>PSM - CONSULTORÍA API (PROGRAMABLE)</v>
      </c>
      <c r="E509" s="55">
        <f>IFERROR(__xludf.DUMMYFUNCTION("""COMPUTED_VALUE"""),0.75)</f>
        <v>0.75</v>
      </c>
      <c r="F509" s="56" t="str">
        <f>IFERROR(__xludf.DUMMYFUNCTION("""COMPUTED_VALUE"""),"SI")</f>
        <v>SI</v>
      </c>
    </row>
    <row r="510" ht="15.75" customHeight="1">
      <c r="A510" s="56" t="str">
        <f>IFERROR(__xludf.DUMMYFUNCTION("""COMPUTED_VALUE"""),"REU_140")</f>
        <v>REU_140</v>
      </c>
      <c r="B510" s="56" t="str">
        <f>IFERROR(__xludf.DUMMYFUNCTION("""COMPUTED_VALUE"""),"REUNION")</f>
        <v>REUNION</v>
      </c>
      <c r="C510" s="56" t="str">
        <f>IFERROR(__xludf.DUMMYFUNCTION("""COMPUTED_VALUE"""),"PROGRAMA - CICLO VITAL")</f>
        <v>PROGRAMA - CICLO VITAL</v>
      </c>
      <c r="D510" s="56" t="str">
        <f>IFERROR(__xludf.DUMMYFUNCTION("""COMPUTED_VALUE"""),"PSM - PRECONSULTORÍA ADULTO")</f>
        <v>PSM - PRECONSULTORÍA ADULTO</v>
      </c>
      <c r="E510" s="55">
        <f>IFERROR(__xludf.DUMMYFUNCTION("""COMPUTED_VALUE"""),0.49999999999272404)</f>
        <v>0.5</v>
      </c>
      <c r="F510" s="56" t="str">
        <f>IFERROR(__xludf.DUMMYFUNCTION("""COMPUTED_VALUE"""),"SI")</f>
        <v>SI</v>
      </c>
    </row>
    <row r="511" ht="15.75" customHeight="1">
      <c r="A511" s="56" t="str">
        <f>IFERROR(__xludf.DUMMYFUNCTION("""COMPUTED_VALUE"""),"REU_141")</f>
        <v>REU_141</v>
      </c>
      <c r="B511" s="56" t="str">
        <f>IFERROR(__xludf.DUMMYFUNCTION("""COMPUTED_VALUE"""),"REUNION")</f>
        <v>REUNION</v>
      </c>
      <c r="C511" s="56" t="str">
        <f>IFERROR(__xludf.DUMMYFUNCTION("""COMPUTED_VALUE"""),"PROGRAMA - CICLO VITAL")</f>
        <v>PROGRAMA - CICLO VITAL</v>
      </c>
      <c r="D511" s="56" t="str">
        <f>IFERROR(__xludf.DUMMYFUNCTION("""COMPUTED_VALUE"""),"PSM - PRECONSULTORÍA INFANTO-JUVENIL SM")</f>
        <v>PSM - PRECONSULTORÍA INFANTO-JUVENIL SM</v>
      </c>
      <c r="E511" s="55">
        <f>IFERROR(__xludf.DUMMYFUNCTION("""COMPUTED_VALUE"""),0.49999999999272404)</f>
        <v>0.5</v>
      </c>
      <c r="F511" s="56" t="str">
        <f>IFERROR(__xludf.DUMMYFUNCTION("""COMPUTED_VALUE"""),"SI")</f>
        <v>SI</v>
      </c>
    </row>
    <row r="512" ht="15.75" customHeight="1">
      <c r="A512" s="56" t="str">
        <f>IFERROR(__xludf.DUMMYFUNCTION("""COMPUTED_VALUE"""),"REU_142")</f>
        <v>REU_142</v>
      </c>
      <c r="B512" s="56" t="str">
        <f>IFERROR(__xludf.DUMMYFUNCTION("""COMPUTED_VALUE"""),"REUNION")</f>
        <v>REUNION</v>
      </c>
      <c r="C512" s="56" t="str">
        <f>IFERROR(__xludf.DUMMYFUNCTION("""COMPUTED_VALUE"""),"PROGRAMA - CICLO VITAL")</f>
        <v>PROGRAMA - CICLO VITAL</v>
      </c>
      <c r="D512" s="56" t="str">
        <f>IFERROR(__xludf.DUMMYFUNCTION("""COMPUTED_VALUE"""),"REUNIÓN CARDIOVASCULAR")</f>
        <v>REUNIÓN CARDIOVASCULAR</v>
      </c>
      <c r="E512" s="55">
        <f>IFERROR(__xludf.DUMMYFUNCTION("""COMPUTED_VALUE"""),1.6249999999912688)</f>
        <v>1.625</v>
      </c>
      <c r="F512" s="56" t="str">
        <f>IFERROR(__xludf.DUMMYFUNCTION("""COMPUTED_VALUE"""),"SI")</f>
        <v>SI</v>
      </c>
    </row>
    <row r="513" ht="15.75" customHeight="1">
      <c r="A513" s="56" t="str">
        <f>IFERROR(__xludf.DUMMYFUNCTION("""COMPUTED_VALUE"""),"REU_143")</f>
        <v>REU_143</v>
      </c>
      <c r="B513" s="56" t="str">
        <f>IFERROR(__xludf.DUMMYFUNCTION("""COMPUTED_VALUE"""),"REUNION")</f>
        <v>REUNION</v>
      </c>
      <c r="C513" s="56" t="str">
        <f>IFERROR(__xludf.DUMMYFUNCTION("""COMPUTED_VALUE"""),"PROGRAMA - CICLO VITAL")</f>
        <v>PROGRAMA - CICLO VITAL</v>
      </c>
      <c r="D513" s="56" t="str">
        <f>IFERROR(__xludf.DUMMYFUNCTION("""COMPUTED_VALUE"""),"REUNIÓN CARDIOVASCULAR (1HR- X 24)")</f>
        <v>REUNIÓN CARDIOVASCULAR (1HR- X 24)</v>
      </c>
      <c r="E513" s="55">
        <f>IFERROR(__xludf.DUMMYFUNCTION("""COMPUTED_VALUE"""),0.6000000000174623)</f>
        <v>0.6</v>
      </c>
      <c r="F513" s="56" t="str">
        <f>IFERROR(__xludf.DUMMYFUNCTION("""COMPUTED_VALUE"""),"SI")</f>
        <v>SI</v>
      </c>
    </row>
    <row r="514" ht="15.75" customHeight="1">
      <c r="A514" s="56" t="str">
        <f>IFERROR(__xludf.DUMMYFUNCTION("""COMPUTED_VALUE"""),"REU_144")</f>
        <v>REU_144</v>
      </c>
      <c r="B514" s="56" t="str">
        <f>IFERROR(__xludf.DUMMYFUNCTION("""COMPUTED_VALUE"""),"REUNION")</f>
        <v>REUNION</v>
      </c>
      <c r="C514" s="56" t="str">
        <f>IFERROR(__xludf.DUMMYFUNCTION("""COMPUTED_VALUE"""),"PROGRAMA - CICLO VITAL")</f>
        <v>PROGRAMA - CICLO VITAL</v>
      </c>
      <c r="D514" s="56" t="str">
        <f>IFERROR(__xludf.DUMMYFUNCTION("""COMPUTED_VALUE"""),"REUNIÓN CARDIOVASCULAR (CENTRAL )")</f>
        <v>REUNIÓN CARDIOVASCULAR (CENTRAL )</v>
      </c>
      <c r="E514" s="55">
        <f>IFERROR(__xludf.DUMMYFUNCTION("""COMPUTED_VALUE"""),0.425)</f>
        <v>0.425</v>
      </c>
      <c r="F514" s="56" t="str">
        <f>IFERROR(__xludf.DUMMYFUNCTION("""COMPUTED_VALUE"""),"SI")</f>
        <v>SI</v>
      </c>
    </row>
    <row r="515" ht="15.75" customHeight="1">
      <c r="A515" s="56" t="str">
        <f>IFERROR(__xludf.DUMMYFUNCTION("""COMPUTED_VALUE"""),"REU_146")</f>
        <v>REU_146</v>
      </c>
      <c r="B515" s="56" t="str">
        <f>IFERROR(__xludf.DUMMYFUNCTION("""COMPUTED_VALUE"""),"REUNION")</f>
        <v>REUNION</v>
      </c>
      <c r="C515" s="56" t="str">
        <f>IFERROR(__xludf.DUMMYFUNCTION("""COMPUTED_VALUE"""),"PROGRAMA - CICLO VITAL")</f>
        <v>PROGRAMA - CICLO VITAL</v>
      </c>
      <c r="D515" s="56" t="str">
        <f>IFERROR(__xludf.DUMMYFUNCTION("""COMPUTED_VALUE"""),"REUNIÓN ENCARGADO MÁS AMA")</f>
        <v>REUNIÓN ENCARGADO MÁS AMA</v>
      </c>
      <c r="E515" s="55">
        <f>IFERROR(__xludf.DUMMYFUNCTION("""COMPUTED_VALUE"""),0.75)</f>
        <v>0.75</v>
      </c>
      <c r="F515" s="56" t="str">
        <f>IFERROR(__xludf.DUMMYFUNCTION("""COMPUTED_VALUE"""),"SI")</f>
        <v>SI</v>
      </c>
    </row>
    <row r="516" ht="15.75" customHeight="1">
      <c r="A516" s="56" t="str">
        <f>IFERROR(__xludf.DUMMYFUNCTION("""COMPUTED_VALUE"""),"REU_147")</f>
        <v>REU_147</v>
      </c>
      <c r="B516" s="56" t="str">
        <f>IFERROR(__xludf.DUMMYFUNCTION("""COMPUTED_VALUE"""),"REUNION")</f>
        <v>REUNION</v>
      </c>
      <c r="C516" s="56" t="str">
        <f>IFERROR(__xludf.DUMMYFUNCTION("""COMPUTED_VALUE"""),"PROGRAMA - CICLO VITAL")</f>
        <v>PROGRAMA - CICLO VITAL</v>
      </c>
      <c r="D516" s="56" t="str">
        <f>IFERROR(__xludf.DUMMYFUNCTION("""COMPUTED_VALUE"""),"REUNIÓN INF/ADO - CONSULTORIA NEUROLOGÍA PEDIATRICA")</f>
        <v>REUNIÓN INF/ADO - CONSULTORIA NEUROLOGÍA PEDIATRICA</v>
      </c>
      <c r="E516" s="55">
        <f>IFERROR(__xludf.DUMMYFUNCTION("""COMPUTED_VALUE"""),0.34999999999708964)</f>
        <v>0.35</v>
      </c>
      <c r="F516" s="56" t="str">
        <f>IFERROR(__xludf.DUMMYFUNCTION("""COMPUTED_VALUE"""),"SI")</f>
        <v>SI</v>
      </c>
    </row>
    <row r="517" ht="15.75" customHeight="1">
      <c r="A517" s="56" t="str">
        <f>IFERROR(__xludf.DUMMYFUNCTION("""COMPUTED_VALUE"""),"REU_148")</f>
        <v>REU_148</v>
      </c>
      <c r="B517" s="56" t="str">
        <f>IFERROR(__xludf.DUMMYFUNCTION("""COMPUTED_VALUE"""),"REUNION")</f>
        <v>REUNION</v>
      </c>
      <c r="C517" s="56" t="str">
        <f>IFERROR(__xludf.DUMMYFUNCTION("""COMPUTED_VALUE"""),"PROGRAMA - CICLO VITAL")</f>
        <v>PROGRAMA - CICLO VITAL</v>
      </c>
      <c r="D517" s="56" t="str">
        <f>IFERROR(__xludf.DUMMYFUNCTION("""COMPUTED_VALUE"""),"REUNIÓN INF/ADO - REUNIÓN CHCC, INFANCIA Y ADOLESCENCIA (CENTRAL)")</f>
        <v>REUNIÓN INF/ADO - REUNIÓN CHCC, INFANCIA Y ADOLESCENCIA (CENTRAL)</v>
      </c>
      <c r="E517" s="55">
        <f>IFERROR(__xludf.DUMMYFUNCTION("""COMPUTED_VALUE"""),1.25)</f>
        <v>1.25</v>
      </c>
      <c r="F517" s="56" t="str">
        <f>IFERROR(__xludf.DUMMYFUNCTION("""COMPUTED_VALUE"""),"SI")</f>
        <v>SI</v>
      </c>
    </row>
    <row r="518" ht="15.75" customHeight="1">
      <c r="A518" s="56" t="str">
        <f>IFERROR(__xludf.DUMMYFUNCTION("""COMPUTED_VALUE"""),"REU_149")</f>
        <v>REU_149</v>
      </c>
      <c r="B518" s="56" t="str">
        <f>IFERROR(__xludf.DUMMYFUNCTION("""COMPUTED_VALUE"""),"REUNION")</f>
        <v>REUNION</v>
      </c>
      <c r="C518" s="56" t="str">
        <f>IFERROR(__xludf.DUMMYFUNCTION("""COMPUTED_VALUE"""),"PROGRAMA - CICLO VITAL")</f>
        <v>PROGRAMA - CICLO VITAL</v>
      </c>
      <c r="D518" s="56" t="str">
        <f>IFERROR(__xludf.DUMMYFUNCTION("""COMPUTED_VALUE"""),"REUNIÓN INF/ADO - REUNIÓN CHCC, INFANCIA Y ADOLESCENCIA (SSVSA)")</f>
        <v>REUNIÓN INF/ADO - REUNIÓN CHCC, INFANCIA Y ADOLESCENCIA (SSVSA)</v>
      </c>
      <c r="E518" s="55">
        <f>IFERROR(__xludf.DUMMYFUNCTION("""COMPUTED_VALUE"""),0.5)</f>
        <v>0.5</v>
      </c>
      <c r="F518" s="56" t="str">
        <f>IFERROR(__xludf.DUMMYFUNCTION("""COMPUTED_VALUE"""),"SI")</f>
        <v>SI</v>
      </c>
    </row>
    <row r="519" ht="15.75" customHeight="1">
      <c r="A519" s="56" t="str">
        <f>IFERROR(__xludf.DUMMYFUNCTION("""COMPUTED_VALUE"""),"REU_150")</f>
        <v>REU_150</v>
      </c>
      <c r="B519" s="56" t="str">
        <f>IFERROR(__xludf.DUMMYFUNCTION("""COMPUTED_VALUE"""),"REUNION")</f>
        <v>REUNION</v>
      </c>
      <c r="C519" s="56" t="str">
        <f>IFERROR(__xludf.DUMMYFUNCTION("""COMPUTED_VALUE"""),"PROGRAMA - CICLO VITAL")</f>
        <v>PROGRAMA - CICLO VITAL</v>
      </c>
      <c r="D519" s="56" t="str">
        <f>IFERROR(__xludf.DUMMYFUNCTION("""COMPUTED_VALUE"""),"REUNIÓN INF/ADO - REUNIÓN INFANCIA")</f>
        <v>REUNIÓN INF/ADO - REUNIÓN INFANCIA</v>
      </c>
      <c r="E519" s="55">
        <f>IFERROR(__xludf.DUMMYFUNCTION("""COMPUTED_VALUE"""),0.225)</f>
        <v>0.225</v>
      </c>
      <c r="F519" s="56" t="str">
        <f>IFERROR(__xludf.DUMMYFUNCTION("""COMPUTED_VALUE"""),"SI")</f>
        <v>SI</v>
      </c>
    </row>
    <row r="520" ht="15.75" customHeight="1">
      <c r="A520" s="56" t="str">
        <f>IFERROR(__xludf.DUMMYFUNCTION("""COMPUTED_VALUE"""),"REU_151")</f>
        <v>REU_151</v>
      </c>
      <c r="B520" s="56" t="str">
        <f>IFERROR(__xludf.DUMMYFUNCTION("""COMPUTED_VALUE"""),"REUNION")</f>
        <v>REUNION</v>
      </c>
      <c r="C520" s="56" t="str">
        <f>IFERROR(__xludf.DUMMYFUNCTION("""COMPUTED_VALUE"""),"PROGRAMA - CICLO VITAL")</f>
        <v>PROGRAMA - CICLO VITAL</v>
      </c>
      <c r="D520" s="56" t="str">
        <f>IFERROR(__xludf.DUMMYFUNCTION("""COMPUTED_VALUE"""),"REUNIÓN INF/ADO - REUNIÓN INFANCIA ( 1HRS - X 6)")</f>
        <v>REUNIÓN INF/ADO - REUNIÓN INFANCIA ( 1HRS - X 6)</v>
      </c>
      <c r="E520" s="55">
        <f>IFERROR(__xludf.DUMMYFUNCTION("""COMPUTED_VALUE"""),0.14999999999126884)</f>
        <v>0.15</v>
      </c>
      <c r="F520" s="56" t="str">
        <f>IFERROR(__xludf.DUMMYFUNCTION("""COMPUTED_VALUE"""),"SI")</f>
        <v>SI</v>
      </c>
    </row>
    <row r="521" ht="15.75" customHeight="1">
      <c r="A521" s="56" t="str">
        <f>IFERROR(__xludf.DUMMYFUNCTION("""COMPUTED_VALUE"""),"REU_152")</f>
        <v>REU_152</v>
      </c>
      <c r="B521" s="56" t="str">
        <f>IFERROR(__xludf.DUMMYFUNCTION("""COMPUTED_VALUE"""),"REUNION")</f>
        <v>REUNION</v>
      </c>
      <c r="C521" s="56" t="str">
        <f>IFERROR(__xludf.DUMMYFUNCTION("""COMPUTED_VALUE"""),"PROGRAMA - CICLO VITAL")</f>
        <v>PROGRAMA - CICLO VITAL</v>
      </c>
      <c r="D521" s="56" t="str">
        <f>IFERROR(__xludf.DUMMYFUNCTION("""COMPUTED_VALUE"""),"REUNIÓN INF/ADO - REUNIÓN INFANCIA (1,5 HR - X12)")</f>
        <v>REUNIÓN INF/ADO - REUNIÓN INFANCIA (1,5 HR - X12)</v>
      </c>
      <c r="E521" s="55">
        <f>IFERROR(__xludf.DUMMYFUNCTION("""COMPUTED_VALUE"""),0.45)</f>
        <v>0.45</v>
      </c>
      <c r="F521" s="56" t="str">
        <f>IFERROR(__xludf.DUMMYFUNCTION("""COMPUTED_VALUE"""),"SI")</f>
        <v>SI</v>
      </c>
    </row>
    <row r="522" ht="15.75" customHeight="1">
      <c r="A522" s="56" t="str">
        <f>IFERROR(__xludf.DUMMYFUNCTION("""COMPUTED_VALUE"""),"REU_153")</f>
        <v>REU_153</v>
      </c>
      <c r="B522" s="56" t="str">
        <f>IFERROR(__xludf.DUMMYFUNCTION("""COMPUTED_VALUE"""),"REUNION")</f>
        <v>REUNION</v>
      </c>
      <c r="C522" s="56" t="str">
        <f>IFERROR(__xludf.DUMMYFUNCTION("""COMPUTED_VALUE"""),"PROGRAMA - CICLO VITAL")</f>
        <v>PROGRAMA - CICLO VITAL</v>
      </c>
      <c r="D522" s="56" t="str">
        <f>IFERROR(__xludf.DUMMYFUNCTION("""COMPUTED_VALUE"""),"REUNIÓN INF/ADO - REUNIÓN INFANCIA (1,5 HR - X6)")</f>
        <v>REUNIÓN INF/ADO - REUNIÓN INFANCIA (1,5 HR - X6)</v>
      </c>
      <c r="E522" s="55">
        <f>IFERROR(__xludf.DUMMYFUNCTION("""COMPUTED_VALUE"""),0.225)</f>
        <v>0.225</v>
      </c>
      <c r="F522" s="56" t="str">
        <f>IFERROR(__xludf.DUMMYFUNCTION("""COMPUTED_VALUE"""),"SI")</f>
        <v>SI</v>
      </c>
    </row>
    <row r="523" ht="15.75" customHeight="1">
      <c r="A523" s="56" t="str">
        <f>IFERROR(__xludf.DUMMYFUNCTION("""COMPUTED_VALUE"""),"REU_154")</f>
        <v>REU_154</v>
      </c>
      <c r="B523" s="56" t="str">
        <f>IFERROR(__xludf.DUMMYFUNCTION("""COMPUTED_VALUE"""),"REUNION")</f>
        <v>REUNION</v>
      </c>
      <c r="C523" s="56" t="str">
        <f>IFERROR(__xludf.DUMMYFUNCTION("""COMPUTED_VALUE"""),"PROGRAMA - CICLO VITAL")</f>
        <v>PROGRAMA - CICLO VITAL</v>
      </c>
      <c r="D523" s="56" t="str">
        <f>IFERROR(__xludf.DUMMYFUNCTION("""COMPUTED_VALUE"""),"REUNIÓN INF/ADO - REUNIÓN INFANCIA (2 HRS - X12)")</f>
        <v>REUNIÓN INF/ADO - REUNIÓN INFANCIA (2 HRS - X12)</v>
      </c>
      <c r="E523" s="55">
        <f>IFERROR(__xludf.DUMMYFUNCTION("""COMPUTED_VALUE"""),0.5999999999912689)</f>
        <v>0.6</v>
      </c>
      <c r="F523" s="56" t="str">
        <f>IFERROR(__xludf.DUMMYFUNCTION("""COMPUTED_VALUE"""),"SI")</f>
        <v>SI</v>
      </c>
    </row>
    <row r="524" ht="15.75" customHeight="1">
      <c r="A524" s="56" t="str">
        <f>IFERROR(__xludf.DUMMYFUNCTION("""COMPUTED_VALUE"""),"REU_155")</f>
        <v>REU_155</v>
      </c>
      <c r="B524" s="56" t="str">
        <f>IFERROR(__xludf.DUMMYFUNCTION("""COMPUTED_VALUE"""),"REUNION")</f>
        <v>REUNION</v>
      </c>
      <c r="C524" s="56" t="str">
        <f>IFERROR(__xludf.DUMMYFUNCTION("""COMPUTED_VALUE"""),"PROGRAMA - CICLO VITAL")</f>
        <v>PROGRAMA - CICLO VITAL</v>
      </c>
      <c r="D524" s="56" t="str">
        <f>IFERROR(__xludf.DUMMYFUNCTION("""COMPUTED_VALUE"""),"REUNIÓN INF/ADO - REUNIÓN INFANCIA (3 HRS - X 6)")</f>
        <v>REUNIÓN INF/ADO - REUNIÓN INFANCIA (3 HRS - X 6)</v>
      </c>
      <c r="E524" s="55">
        <f>IFERROR(__xludf.DUMMYFUNCTION("""COMPUTED_VALUE"""),0.575)</f>
        <v>0.575</v>
      </c>
      <c r="F524" s="56" t="str">
        <f>IFERROR(__xludf.DUMMYFUNCTION("""COMPUTED_VALUE"""),"SI")</f>
        <v>SI</v>
      </c>
    </row>
    <row r="525" ht="15.75" customHeight="1">
      <c r="A525" s="56" t="str">
        <f>IFERROR(__xludf.DUMMYFUNCTION("""COMPUTED_VALUE"""),"REU_156")</f>
        <v>REU_156</v>
      </c>
      <c r="B525" s="56" t="str">
        <f>IFERROR(__xludf.DUMMYFUNCTION("""COMPUTED_VALUE"""),"REUNION")</f>
        <v>REUNION</v>
      </c>
      <c r="C525" s="56" t="str">
        <f>IFERROR(__xludf.DUMMYFUNCTION("""COMPUTED_VALUE"""),"PROGRAMA - CICLO VITAL")</f>
        <v>PROGRAMA - CICLO VITAL</v>
      </c>
      <c r="D525" s="56" t="str">
        <f>IFERROR(__xludf.DUMMYFUNCTION("""COMPUTED_VALUE"""),"REUNIÓN INF/ADO - REUNIÓN INFANCIA (3 HRS - X6)")</f>
        <v>REUNIÓN INF/ADO - REUNIÓN INFANCIA (3 HRS - X6)</v>
      </c>
      <c r="E525" s="55">
        <f>IFERROR(__xludf.DUMMYFUNCTION("""COMPUTED_VALUE"""),0.45)</f>
        <v>0.45</v>
      </c>
      <c r="F525" s="56" t="str">
        <f>IFERROR(__xludf.DUMMYFUNCTION("""COMPUTED_VALUE"""),"SI")</f>
        <v>SI</v>
      </c>
    </row>
    <row r="526" ht="15.75" customHeight="1">
      <c r="A526" s="56" t="str">
        <f>IFERROR(__xludf.DUMMYFUNCTION("""COMPUTED_VALUE"""),"REU_157")</f>
        <v>REU_157</v>
      </c>
      <c r="B526" s="56" t="str">
        <f>IFERROR(__xludf.DUMMYFUNCTION("""COMPUTED_VALUE"""),"REUNION")</f>
        <v>REUNION</v>
      </c>
      <c r="C526" s="56" t="str">
        <f>IFERROR(__xludf.DUMMYFUNCTION("""COMPUTED_VALUE"""),"PROGRAMA - CICLO VITAL")</f>
        <v>PROGRAMA - CICLO VITAL</v>
      </c>
      <c r="D526" s="56" t="str">
        <f>IFERROR(__xludf.DUMMYFUNCTION("""COMPUTED_VALUE"""),"REUNIÓN INF/ADO - REUNIÓN SALA DE ESTIMULACIÓN")</f>
        <v>REUNIÓN INF/ADO - REUNIÓN SALA DE ESTIMULACIÓN</v>
      </c>
      <c r="E526" s="55">
        <f>IFERROR(__xludf.DUMMYFUNCTION("""COMPUTED_VALUE"""),0.49999999999272404)</f>
        <v>0.5</v>
      </c>
      <c r="F526" s="56" t="str">
        <f>IFERROR(__xludf.DUMMYFUNCTION("""COMPUTED_VALUE"""),"SI")</f>
        <v>SI</v>
      </c>
    </row>
    <row r="527" ht="15.75" customHeight="1">
      <c r="A527" s="56" t="str">
        <f>IFERROR(__xludf.DUMMYFUNCTION("""COMPUTED_VALUE"""),"REU_158")</f>
        <v>REU_158</v>
      </c>
      <c r="B527" s="56" t="str">
        <f>IFERROR(__xludf.DUMMYFUNCTION("""COMPUTED_VALUE"""),"REUNION")</f>
        <v>REUNION</v>
      </c>
      <c r="C527" s="56" t="str">
        <f>IFERROR(__xludf.DUMMYFUNCTION("""COMPUTED_VALUE"""),"PROGRAMA - CICLO VITAL")</f>
        <v>PROGRAMA - CICLO VITAL</v>
      </c>
      <c r="D527" s="56" t="str">
        <f>IFERROR(__xludf.DUMMYFUNCTION("""COMPUTED_VALUE"""),"REUNIÓN MEJOR NIÑEZ")</f>
        <v>REUNIÓN MEJOR NIÑEZ</v>
      </c>
      <c r="E527" s="55">
        <f>IFERROR(__xludf.DUMMYFUNCTION("""COMPUTED_VALUE"""),0.4249999999956344)</f>
        <v>0.425</v>
      </c>
      <c r="F527" s="56" t="str">
        <f>IFERROR(__xludf.DUMMYFUNCTION("""COMPUTED_VALUE"""),"SI")</f>
        <v>SI</v>
      </c>
    </row>
    <row r="528" ht="15.75" customHeight="1">
      <c r="A528" s="56" t="str">
        <f>IFERROR(__xludf.DUMMYFUNCTION("""COMPUTED_VALUE"""),"REU_159")</f>
        <v>REU_159</v>
      </c>
      <c r="B528" s="56" t="str">
        <f>IFERROR(__xludf.DUMMYFUNCTION("""COMPUTED_VALUE"""),"REUNION")</f>
        <v>REUNION</v>
      </c>
      <c r="C528" s="56" t="str">
        <f>IFERROR(__xludf.DUMMYFUNCTION("""COMPUTED_VALUE"""),"PROGRAMA - CICLO VITAL")</f>
        <v>PROGRAMA - CICLO VITAL</v>
      </c>
      <c r="D528" s="56" t="str">
        <f>IFERROR(__xludf.DUMMYFUNCTION("""COMPUTED_VALUE"""),"REUNIÓN PROGRAMA ADULTO Y ADULTO MAYOR (CENTRAL)")</f>
        <v>REUNIÓN PROGRAMA ADULTO Y ADULTO MAYOR (CENTRAL)</v>
      </c>
      <c r="E528" s="55">
        <f>IFERROR(__xludf.DUMMYFUNCTION("""COMPUTED_VALUE"""),0.875)</f>
        <v>0.875</v>
      </c>
      <c r="F528" s="56" t="str">
        <f>IFERROR(__xludf.DUMMYFUNCTION("""COMPUTED_VALUE"""),"SI")</f>
        <v>SI</v>
      </c>
    </row>
    <row r="529" ht="15.75" customHeight="1">
      <c r="A529" s="56" t="str">
        <f>IFERROR(__xludf.DUMMYFUNCTION("""COMPUTED_VALUE"""),"REU_160")</f>
        <v>REU_160</v>
      </c>
      <c r="B529" s="56" t="str">
        <f>IFERROR(__xludf.DUMMYFUNCTION("""COMPUTED_VALUE"""),"REUNION")</f>
        <v>REUNION</v>
      </c>
      <c r="C529" s="56" t="str">
        <f>IFERROR(__xludf.DUMMYFUNCTION("""COMPUTED_VALUE"""),"PROGRAMA - CICLO VITAL")</f>
        <v>PROGRAMA - CICLO VITAL</v>
      </c>
      <c r="D529" s="56" t="str">
        <f>IFERROR(__xludf.DUMMYFUNCTION("""COMPUTED_VALUE"""),"REUNIÓN PROGRAMA ADULTO Y ADULTO MAYOR (SSVSA)")</f>
        <v>REUNIÓN PROGRAMA ADULTO Y ADULTO MAYOR (SSVSA)</v>
      </c>
      <c r="E529" s="55">
        <f>IFERROR(__xludf.DUMMYFUNCTION("""COMPUTED_VALUE"""),0.7250000000043656)</f>
        <v>0.725</v>
      </c>
      <c r="F529" s="56" t="str">
        <f>IFERROR(__xludf.DUMMYFUNCTION("""COMPUTED_VALUE"""),"SI")</f>
        <v>SI</v>
      </c>
    </row>
    <row r="530" ht="15.75" customHeight="1">
      <c r="A530" s="56" t="str">
        <f>IFERROR(__xludf.DUMMYFUNCTION("""COMPUTED_VALUE"""),"REU_161")</f>
        <v>REU_161</v>
      </c>
      <c r="B530" s="56" t="str">
        <f>IFERROR(__xludf.DUMMYFUNCTION("""COMPUTED_VALUE"""),"REUNION")</f>
        <v>REUNION</v>
      </c>
      <c r="C530" s="56" t="str">
        <f>IFERROR(__xludf.DUMMYFUNCTION("""COMPUTED_VALUE"""),"PROGRAMA - TRANSVERSAL")</f>
        <v>PROGRAMA - TRANSVERSAL</v>
      </c>
      <c r="D530" s="56" t="str">
        <f>IFERROR(__xludf.DUMMYFUNCTION("""COMPUTED_VALUE"""),"COMITÉ DEMENCIA")</f>
        <v>COMITÉ DEMENCIA</v>
      </c>
      <c r="E530" s="55">
        <f>IFERROR(__xludf.DUMMYFUNCTION("""COMPUTED_VALUE"""),1.2000000000087312)</f>
        <v>1.2</v>
      </c>
      <c r="F530" s="56" t="str">
        <f>IFERROR(__xludf.DUMMYFUNCTION("""COMPUTED_VALUE"""),"SI")</f>
        <v>SI</v>
      </c>
    </row>
    <row r="531" ht="15.75" customHeight="1">
      <c r="A531" s="56" t="str">
        <f>IFERROR(__xludf.DUMMYFUNCTION("""COMPUTED_VALUE"""),"REU_162")</f>
        <v>REU_162</v>
      </c>
      <c r="B531" s="56" t="str">
        <f>IFERROR(__xludf.DUMMYFUNCTION("""COMPUTED_VALUE"""),"REUNION")</f>
        <v>REUNION</v>
      </c>
      <c r="C531" s="56" t="str">
        <f>IFERROR(__xludf.DUMMYFUNCTION("""COMPUTED_VALUE"""),"PROGRAMA - TRANSVERSAL")</f>
        <v>PROGRAMA - TRANSVERSAL</v>
      </c>
      <c r="D531" s="56" t="str">
        <f>IFERROR(__xludf.DUMMYFUNCTION("""COMPUTED_VALUE"""),"PSM - CONSULTORÍA UNIDAD LA MEMORIA (PROGRAMABLE)")</f>
        <v>PSM - CONSULTORÍA UNIDAD LA MEMORIA (PROGRAMABLE)</v>
      </c>
      <c r="E531" s="55">
        <f>IFERROR(__xludf.DUMMYFUNCTION("""COMPUTED_VALUE"""),0.2999999999956344)</f>
        <v>0.3</v>
      </c>
      <c r="F531" s="56" t="str">
        <f>IFERROR(__xludf.DUMMYFUNCTION("""COMPUTED_VALUE"""),"SI")</f>
        <v>SI</v>
      </c>
    </row>
    <row r="532" ht="15.75" customHeight="1">
      <c r="A532" s="56" t="str">
        <f>IFERROR(__xludf.DUMMYFUNCTION("""COMPUTED_VALUE"""),"REU_163")</f>
        <v>REU_163</v>
      </c>
      <c r="B532" s="56" t="str">
        <f>IFERROR(__xludf.DUMMYFUNCTION("""COMPUTED_VALUE"""),"REUNION")</f>
        <v>REUNION</v>
      </c>
      <c r="C532" s="56" t="str">
        <f>IFERROR(__xludf.DUMMYFUNCTION("""COMPUTED_VALUE"""),"PROGRAMA - TRANSVERSAL")</f>
        <v>PROGRAMA - TRANSVERSAL</v>
      </c>
      <c r="D532" s="56" t="str">
        <f>IFERROR(__xludf.DUMMYFUNCTION("""COMPUTED_VALUE"""),"PSM - REUNIÓN ENCARGADXS SALUD MENTAL (CENTRAL)")</f>
        <v>PSM - REUNIÓN ENCARGADXS SALUD MENTAL (CENTRAL)</v>
      </c>
      <c r="E532" s="55">
        <f>IFERROR(__xludf.DUMMYFUNCTION("""COMPUTED_VALUE"""),0.875)</f>
        <v>0.875</v>
      </c>
      <c r="F532" s="56" t="str">
        <f>IFERROR(__xludf.DUMMYFUNCTION("""COMPUTED_VALUE"""),"SI")</f>
        <v>SI</v>
      </c>
    </row>
    <row r="533" ht="15.75" customHeight="1">
      <c r="A533" s="56" t="str">
        <f>IFERROR(__xludf.DUMMYFUNCTION("""COMPUTED_VALUE"""),"REU_164")</f>
        <v>REU_164</v>
      </c>
      <c r="B533" s="56" t="str">
        <f>IFERROR(__xludf.DUMMYFUNCTION("""COMPUTED_VALUE"""),"REUNION")</f>
        <v>REUNION</v>
      </c>
      <c r="C533" s="56" t="str">
        <f>IFERROR(__xludf.DUMMYFUNCTION("""COMPUTED_VALUE"""),"PROGRAMA - TRANSVERSAL")</f>
        <v>PROGRAMA - TRANSVERSAL</v>
      </c>
      <c r="D533" s="56" t="str">
        <f>IFERROR(__xludf.DUMMYFUNCTION("""COMPUTED_VALUE"""),"PSM - REUNIÓN ENCARGADXS SALUD MENTAL (CENTRAL) (3 HRS - X12)")</f>
        <v>PSM - REUNIÓN ENCARGADXS SALUD MENTAL (CENTRAL) (3 HRS - X12)</v>
      </c>
      <c r="E533" s="55">
        <f>IFERROR(__xludf.DUMMYFUNCTION("""COMPUTED_VALUE"""),1.025)</f>
        <v>1.025</v>
      </c>
      <c r="F533" s="56" t="str">
        <f>IFERROR(__xludf.DUMMYFUNCTION("""COMPUTED_VALUE"""),"SI")</f>
        <v>SI</v>
      </c>
    </row>
    <row r="534" ht="15.75" customHeight="1">
      <c r="A534" s="56" t="str">
        <f>IFERROR(__xludf.DUMMYFUNCTION("""COMPUTED_VALUE"""),"REU_165")</f>
        <v>REU_165</v>
      </c>
      <c r="B534" s="56" t="str">
        <f>IFERROR(__xludf.DUMMYFUNCTION("""COMPUTED_VALUE"""),"REUNION")</f>
        <v>REUNION</v>
      </c>
      <c r="C534" s="56" t="str">
        <f>IFERROR(__xludf.DUMMYFUNCTION("""COMPUTED_VALUE"""),"PROGRAMA - TRANSVERSAL")</f>
        <v>PROGRAMA - TRANSVERSAL</v>
      </c>
      <c r="D534" s="56" t="str">
        <f>IFERROR(__xludf.DUMMYFUNCTION("""COMPUTED_VALUE"""),"REUNION CIRUGIA MENOR")</f>
        <v>REUNION CIRUGIA MENOR</v>
      </c>
      <c r="E534" s="55">
        <f>IFERROR(__xludf.DUMMYFUNCTION("""COMPUTED_VALUE"""),0.45)</f>
        <v>0.45</v>
      </c>
      <c r="F534" s="56" t="str">
        <f>IFERROR(__xludf.DUMMYFUNCTION("""COMPUTED_VALUE"""),"SI")</f>
        <v>SI</v>
      </c>
    </row>
    <row r="535" ht="15.75" customHeight="1">
      <c r="A535" s="56" t="str">
        <f>IFERROR(__xludf.DUMMYFUNCTION("""COMPUTED_VALUE"""),"REU_177")</f>
        <v>REU_177</v>
      </c>
      <c r="B535" s="56" t="str">
        <f>IFERROR(__xludf.DUMMYFUNCTION("""COMPUTED_VALUE"""),"REUNION")</f>
        <v>REUNION</v>
      </c>
      <c r="C535" s="56" t="str">
        <f>IFERROR(__xludf.DUMMYFUNCTION("""COMPUTED_VALUE"""),"PROGRAMA - TRANSVERSAL")</f>
        <v>PROGRAMA - TRANSVERSAL</v>
      </c>
      <c r="D535" s="56" t="str">
        <f>IFERROR(__xludf.DUMMYFUNCTION("""COMPUTED_VALUE"""),"REUNION ENCARGADOS SALA RBC")</f>
        <v>REUNION ENCARGADOS SALA RBC</v>
      </c>
      <c r="E535" s="55">
        <f>IFERROR(__xludf.DUMMYFUNCTION("""COMPUTED_VALUE"""),0.35)</f>
        <v>0.35</v>
      </c>
      <c r="F535" s="56" t="str">
        <f>IFERROR(__xludf.DUMMYFUNCTION("""COMPUTED_VALUE"""),"SI")</f>
        <v>SI</v>
      </c>
    </row>
    <row r="536" ht="15.75" customHeight="1">
      <c r="A536" s="56" t="str">
        <f>IFERROR(__xludf.DUMMYFUNCTION("""COMPUTED_VALUE"""),"REU_178")</f>
        <v>REU_178</v>
      </c>
      <c r="B536" s="56" t="str">
        <f>IFERROR(__xludf.DUMMYFUNCTION("""COMPUTED_VALUE"""),"REUNION")</f>
        <v>REUNION</v>
      </c>
      <c r="C536" s="56" t="str">
        <f>IFERROR(__xludf.DUMMYFUNCTION("""COMPUTED_VALUE"""),"PROGRAMA - TRANSVERSAL")</f>
        <v>PROGRAMA - TRANSVERSAL</v>
      </c>
      <c r="D536" s="56" t="str">
        <f>IFERROR(__xludf.DUMMYFUNCTION("""COMPUTED_VALUE"""),"REUNION ENCARGADOS SALA REHABILITACION (CENTRAL)")</f>
        <v>REUNION ENCARGADOS SALA REHABILITACION (CENTRAL)</v>
      </c>
      <c r="E536" s="55">
        <f>IFERROR(__xludf.DUMMYFUNCTION("""COMPUTED_VALUE"""),0.35)</f>
        <v>0.35</v>
      </c>
      <c r="F536" s="56" t="str">
        <f>IFERROR(__xludf.DUMMYFUNCTION("""COMPUTED_VALUE"""),"SI")</f>
        <v>SI</v>
      </c>
    </row>
    <row r="537" ht="15.75" customHeight="1">
      <c r="A537" s="56" t="str">
        <f>IFERROR(__xludf.DUMMYFUNCTION("""COMPUTED_VALUE"""),"REU_179")</f>
        <v>REU_179</v>
      </c>
      <c r="B537" s="56" t="str">
        <f>IFERROR(__xludf.DUMMYFUNCTION("""COMPUTED_VALUE"""),"REUNION")</f>
        <v>REUNION</v>
      </c>
      <c r="C537" s="56" t="str">
        <f>IFERROR(__xludf.DUMMYFUNCTION("""COMPUTED_VALUE"""),"PROGRAMA - TRANSVERSAL")</f>
        <v>PROGRAMA - TRANSVERSAL</v>
      </c>
      <c r="D537" s="56" t="str">
        <f>IFERROR(__xludf.DUMMYFUNCTION("""COMPUTED_VALUE"""),"REUNION ENCARGADOS VIDA SANA (SSVSA)")</f>
        <v>REUNION ENCARGADOS VIDA SANA (SSVSA)</v>
      </c>
      <c r="E537" s="55">
        <f>IFERROR(__xludf.DUMMYFUNCTION("""COMPUTED_VALUE"""),0.875)</f>
        <v>0.875</v>
      </c>
      <c r="F537" s="56" t="str">
        <f>IFERROR(__xludf.DUMMYFUNCTION("""COMPUTED_VALUE"""),"SI")</f>
        <v>SI</v>
      </c>
    </row>
    <row r="538" ht="15.75" customHeight="1">
      <c r="A538" s="56" t="str">
        <f>IFERROR(__xludf.DUMMYFUNCTION("""COMPUTED_VALUE"""),"REU_180")</f>
        <v>REU_180</v>
      </c>
      <c r="B538" s="56" t="str">
        <f>IFERROR(__xludf.DUMMYFUNCTION("""COMPUTED_VALUE"""),"REUNION")</f>
        <v>REUNION</v>
      </c>
      <c r="C538" s="56" t="str">
        <f>IFERROR(__xludf.DUMMYFUNCTION("""COMPUTED_VALUE"""),"PROGRAMA - TRANSVERSAL")</f>
        <v>PROGRAMA - TRANSVERSAL</v>
      </c>
      <c r="D538" s="56" t="str">
        <f>IFERROR(__xludf.DUMMYFUNCTION("""COMPUTED_VALUE"""),"REUNION ENCARGADOS VIH /ITS")</f>
        <v>REUNION ENCARGADOS VIH /ITS</v>
      </c>
      <c r="E538" s="55">
        <f>IFERROR(__xludf.DUMMYFUNCTION("""COMPUTED_VALUE"""),0.4249999999956344)</f>
        <v>0.425</v>
      </c>
      <c r="F538" s="56" t="str">
        <f>IFERROR(__xludf.DUMMYFUNCTION("""COMPUTED_VALUE"""),"SI")</f>
        <v>SI</v>
      </c>
    </row>
    <row r="539" ht="15.75" customHeight="1">
      <c r="A539" s="56" t="str">
        <f>IFERROR(__xludf.DUMMYFUNCTION("""COMPUTED_VALUE"""),"REU_187")</f>
        <v>REU_187</v>
      </c>
      <c r="B539" s="56" t="str">
        <f>IFERROR(__xludf.DUMMYFUNCTION("""COMPUTED_VALUE"""),"REUNION")</f>
        <v>REUNION</v>
      </c>
      <c r="C539" s="56" t="str">
        <f>IFERROR(__xludf.DUMMYFUNCTION("""COMPUTED_VALUE"""),"PROGRAMA - TRANSVERSAL")</f>
        <v>PROGRAMA - TRANSVERSAL</v>
      </c>
      <c r="D539" s="56" t="str">
        <f>IFERROR(__xludf.DUMMYFUNCTION("""COMPUTED_VALUE"""),"REUNION MESA REHABILITACIÓN (SALAS RBC) SSVSA")</f>
        <v>REUNION MESA REHABILITACIÓN (SALAS RBC) SSVSA</v>
      </c>
      <c r="E539" s="55">
        <f>IFERROR(__xludf.DUMMYFUNCTION("""COMPUTED_VALUE"""),0.4249999999956344)</f>
        <v>0.425</v>
      </c>
      <c r="F539" s="56" t="str">
        <f>IFERROR(__xludf.DUMMYFUNCTION("""COMPUTED_VALUE"""),"SI")</f>
        <v>SI</v>
      </c>
    </row>
    <row r="540" ht="15.75" customHeight="1">
      <c r="A540" s="56" t="str">
        <f>IFERROR(__xludf.DUMMYFUNCTION("""COMPUTED_VALUE"""),"REU_203")</f>
        <v>REU_203</v>
      </c>
      <c r="B540" s="56" t="str">
        <f>IFERROR(__xludf.DUMMYFUNCTION("""COMPUTED_VALUE"""),"REUNION")</f>
        <v>REUNION</v>
      </c>
      <c r="C540" s="56" t="str">
        <f>IFERROR(__xludf.DUMMYFUNCTION("""COMPUTED_VALUE"""),"PROGRAMA - TRANSVERSAL")</f>
        <v>PROGRAMA - TRANSVERSAL</v>
      </c>
      <c r="D540" s="56" t="str">
        <f>IFERROR(__xludf.DUMMYFUNCTION("""COMPUTED_VALUE"""),"REUNION SALA RBC")</f>
        <v>REUNION SALA RBC</v>
      </c>
      <c r="E540" s="55">
        <f>IFERROR(__xludf.DUMMYFUNCTION("""COMPUTED_VALUE"""),0.5999999999912689)</f>
        <v>0.6</v>
      </c>
      <c r="F540" s="56" t="str">
        <f>IFERROR(__xludf.DUMMYFUNCTION("""COMPUTED_VALUE"""),"SI")</f>
        <v>SI</v>
      </c>
    </row>
    <row r="541" ht="15.75" customHeight="1">
      <c r="A541" s="56" t="str">
        <f>IFERROR(__xludf.DUMMYFUNCTION("""COMPUTED_VALUE"""),"REU_204")</f>
        <v>REU_204</v>
      </c>
      <c r="B541" s="56" t="str">
        <f>IFERROR(__xludf.DUMMYFUNCTION("""COMPUTED_VALUE"""),"REUNION")</f>
        <v>REUNION</v>
      </c>
      <c r="C541" s="56" t="str">
        <f>IFERROR(__xludf.DUMMYFUNCTION("""COMPUTED_VALUE"""),"PROGRAMA - TRANSVERSAL")</f>
        <v>PROGRAMA - TRANSVERSAL</v>
      </c>
      <c r="D541" s="56" t="str">
        <f>IFERROR(__xludf.DUMMYFUNCTION("""COMPUTED_VALUE"""),"REUNION SALA RBC (1 HR - X 12)")</f>
        <v>REUNION SALA RBC (1 HR - X 12)</v>
      </c>
      <c r="E541" s="55">
        <f>IFERROR(__xludf.DUMMYFUNCTION("""COMPUTED_VALUE"""),0.30000000000873117)</f>
        <v>0.3</v>
      </c>
      <c r="F541" s="56" t="str">
        <f>IFERROR(__xludf.DUMMYFUNCTION("""COMPUTED_VALUE"""),"SI")</f>
        <v>SI</v>
      </c>
    </row>
    <row r="542" ht="15.75" customHeight="1">
      <c r="A542" s="56" t="str">
        <f>IFERROR(__xludf.DUMMYFUNCTION("""COMPUTED_VALUE"""),"REU_207")</f>
        <v>REU_207</v>
      </c>
      <c r="B542" s="56" t="str">
        <f>IFERROR(__xludf.DUMMYFUNCTION("""COMPUTED_VALUE"""),"REUNION")</f>
        <v>REUNION</v>
      </c>
      <c r="C542" s="56" t="str">
        <f>IFERROR(__xludf.DUMMYFUNCTION("""COMPUTED_VALUE"""),"PROGRAMA - TRANSVERSAL")</f>
        <v>PROGRAMA - TRANSVERSAL</v>
      </c>
      <c r="D542" s="56" t="str">
        <f>IFERROR(__xludf.DUMMYFUNCTION("""COMPUTED_VALUE"""),"REUNION-CCR")</f>
        <v>REUNION-CCR</v>
      </c>
      <c r="E542" s="55">
        <f>IFERROR(__xludf.DUMMYFUNCTION("""COMPUTED_VALUE"""),0.30000000000873117)</f>
        <v>0.3</v>
      </c>
      <c r="F542" s="56" t="str">
        <f>IFERROR(__xludf.DUMMYFUNCTION("""COMPUTED_VALUE"""),"SI")</f>
        <v>SI</v>
      </c>
    </row>
    <row r="543" ht="15.75" customHeight="1">
      <c r="A543" s="56" t="str">
        <f>IFERROR(__xludf.DUMMYFUNCTION("""COMPUTED_VALUE"""),"REU_208")</f>
        <v>REU_208</v>
      </c>
      <c r="B543" s="56" t="str">
        <f>IFERROR(__xludf.DUMMYFUNCTION("""COMPUTED_VALUE"""),"REUNION")</f>
        <v>REUNION</v>
      </c>
      <c r="C543" s="56" t="str">
        <f>IFERROR(__xludf.DUMMYFUNCTION("""COMPUTED_VALUE"""),"PROGRAMA - TRANSVERSAL")</f>
        <v>PROGRAMA - TRANSVERSAL</v>
      </c>
      <c r="D543" s="56" t="str">
        <f>IFERROR(__xludf.DUMMYFUNCTION("""COMPUTED_VALUE"""),"REUNION-CCR (3 HRS-X 12)")</f>
        <v>REUNION-CCR (3 HRS-X 12)</v>
      </c>
      <c r="E543" s="55">
        <f>IFERROR(__xludf.DUMMYFUNCTION("""COMPUTED_VALUE"""),0.9)</f>
        <v>0.9</v>
      </c>
      <c r="F543" s="56" t="str">
        <f>IFERROR(__xludf.DUMMYFUNCTION("""COMPUTED_VALUE"""),"SI")</f>
        <v>SI</v>
      </c>
    </row>
    <row r="544" ht="15.75" customHeight="1">
      <c r="A544" s="56" t="str">
        <f>IFERROR(__xludf.DUMMYFUNCTION("""COMPUTED_VALUE"""),"REU_166")</f>
        <v>REU_166</v>
      </c>
      <c r="B544" s="56" t="str">
        <f>IFERROR(__xludf.DUMMYFUNCTION("""COMPUTED_VALUE"""),"REUNION")</f>
        <v>REUNION</v>
      </c>
      <c r="C544" s="56" t="str">
        <f>IFERROR(__xludf.DUMMYFUNCTION("""COMPUTED_VALUE"""),"PROGRAMA - TRANSVERSAL")</f>
        <v>PROGRAMA - TRANSVERSAL</v>
      </c>
      <c r="D544" s="56" t="str">
        <f>IFERROR(__xludf.DUMMYFUNCTION("""COMPUTED_VALUE"""),"REUNIÓN COMITÉ LACTANCIA")</f>
        <v>REUNIÓN COMITÉ LACTANCIA</v>
      </c>
      <c r="E544" s="55">
        <f>IFERROR(__xludf.DUMMYFUNCTION("""COMPUTED_VALUE"""),0.49999999999272404)</f>
        <v>0.5</v>
      </c>
      <c r="F544" s="56" t="str">
        <f>IFERROR(__xludf.DUMMYFUNCTION("""COMPUTED_VALUE"""),"SI")</f>
        <v>SI</v>
      </c>
    </row>
    <row r="545" ht="15.75" customHeight="1">
      <c r="A545" s="56" t="str">
        <f>IFERROR(__xludf.DUMMYFUNCTION("""COMPUTED_VALUE"""),"REU_167")</f>
        <v>REU_167</v>
      </c>
      <c r="B545" s="56" t="str">
        <f>IFERROR(__xludf.DUMMYFUNCTION("""COMPUTED_VALUE"""),"REUNION")</f>
        <v>REUNION</v>
      </c>
      <c r="C545" s="56" t="str">
        <f>IFERROR(__xludf.DUMMYFUNCTION("""COMPUTED_VALUE"""),"PROGRAMA - TRANSVERSAL")</f>
        <v>PROGRAMA - TRANSVERSAL</v>
      </c>
      <c r="D545" s="56" t="str">
        <f>IFERROR(__xludf.DUMMYFUNCTION("""COMPUTED_VALUE"""),"REUNIÓN COMITÉ LACTANCIA ( 2 HRS- X 6)")</f>
        <v>REUNIÓN COMITÉ LACTANCIA ( 2 HRS- X 6)</v>
      </c>
      <c r="E545" s="55">
        <f>IFERROR(__xludf.DUMMYFUNCTION("""COMPUTED_VALUE"""),0.2999999999956344)</f>
        <v>0.3</v>
      </c>
      <c r="F545" s="56" t="str">
        <f>IFERROR(__xludf.DUMMYFUNCTION("""COMPUTED_VALUE"""),"SI")</f>
        <v>SI</v>
      </c>
    </row>
    <row r="546" ht="15.75" customHeight="1">
      <c r="A546" s="56" t="str">
        <f>IFERROR(__xludf.DUMMYFUNCTION("""COMPUTED_VALUE"""),"REU_168")</f>
        <v>REU_168</v>
      </c>
      <c r="B546" s="56" t="str">
        <f>IFERROR(__xludf.DUMMYFUNCTION("""COMPUTED_VALUE"""),"REUNION")</f>
        <v>REUNION</v>
      </c>
      <c r="C546" s="56" t="str">
        <f>IFERROR(__xludf.DUMMYFUNCTION("""COMPUTED_VALUE"""),"PROGRAMA - TRANSVERSAL")</f>
        <v>PROGRAMA - TRANSVERSAL</v>
      </c>
      <c r="D546" s="56" t="str">
        <f>IFERROR(__xludf.DUMMYFUNCTION("""COMPUTED_VALUE"""),"REUNIÓN COMITÉ PAD (SSVSA)")</f>
        <v>REUNIÓN COMITÉ PAD (SSVSA)</v>
      </c>
      <c r="E546" s="55">
        <f>IFERROR(__xludf.DUMMYFUNCTION("""COMPUTED_VALUE"""),0.624999999992724)</f>
        <v>0.625</v>
      </c>
      <c r="F546" s="56" t="str">
        <f>IFERROR(__xludf.DUMMYFUNCTION("""COMPUTED_VALUE"""),"SI")</f>
        <v>SI</v>
      </c>
    </row>
    <row r="547" ht="15.75" customHeight="1">
      <c r="A547" s="56" t="str">
        <f>IFERROR(__xludf.DUMMYFUNCTION("""COMPUTED_VALUE"""),"REU_169")</f>
        <v>REU_169</v>
      </c>
      <c r="B547" s="56" t="str">
        <f>IFERROR(__xludf.DUMMYFUNCTION("""COMPUTED_VALUE"""),"REUNION")</f>
        <v>REUNION</v>
      </c>
      <c r="C547" s="56" t="str">
        <f>IFERROR(__xludf.DUMMYFUNCTION("""COMPUTED_VALUE"""),"PROGRAMA - TRANSVERSAL")</f>
        <v>PROGRAMA - TRANSVERSAL</v>
      </c>
      <c r="D547" s="56" t="str">
        <f>IFERROR(__xludf.DUMMYFUNCTION("""COMPUTED_VALUE"""),"REUNIÓN CON REFERENTE MEDICO SM (CENTRAL)")</f>
        <v>REUNIÓN CON REFERENTE MEDICO SM (CENTRAL)</v>
      </c>
      <c r="E547" s="55">
        <f>IFERROR(__xludf.DUMMYFUNCTION("""COMPUTED_VALUE"""),1.25)</f>
        <v>1.25</v>
      </c>
      <c r="F547" s="56" t="str">
        <f>IFERROR(__xludf.DUMMYFUNCTION("""COMPUTED_VALUE"""),"SI")</f>
        <v>SI</v>
      </c>
    </row>
    <row r="548" ht="15.75" customHeight="1">
      <c r="A548" s="56" t="str">
        <f>IFERROR(__xludf.DUMMYFUNCTION("""COMPUTED_VALUE"""),"REU_170")</f>
        <v>REU_170</v>
      </c>
      <c r="B548" s="56" t="str">
        <f>IFERROR(__xludf.DUMMYFUNCTION("""COMPUTED_VALUE"""),"REUNION")</f>
        <v>REUNION</v>
      </c>
      <c r="C548" s="56" t="str">
        <f>IFERROR(__xludf.DUMMYFUNCTION("""COMPUTED_VALUE"""),"PROGRAMA - TRANSVERSAL")</f>
        <v>PROGRAMA - TRANSVERSAL</v>
      </c>
      <c r="D548" s="56" t="str">
        <f>IFERROR(__xludf.DUMMYFUNCTION("""COMPUTED_VALUE"""),"REUNIÓN ENCARGADO UAPO")</f>
        <v>REUNIÓN ENCARGADO UAPO</v>
      </c>
      <c r="E548" s="55">
        <f>IFERROR(__xludf.DUMMYFUNCTION("""COMPUTED_VALUE"""),0.425)</f>
        <v>0.425</v>
      </c>
      <c r="F548" s="56" t="str">
        <f>IFERROR(__xludf.DUMMYFUNCTION("""COMPUTED_VALUE"""),"SI")</f>
        <v>SI</v>
      </c>
    </row>
    <row r="549" ht="15.75" customHeight="1">
      <c r="A549" s="56" t="str">
        <f>IFERROR(__xludf.DUMMYFUNCTION("""COMPUTED_VALUE"""),"REU_171")</f>
        <v>REU_171</v>
      </c>
      <c r="B549" s="56" t="str">
        <f>IFERROR(__xludf.DUMMYFUNCTION("""COMPUTED_VALUE"""),"REUNION")</f>
        <v>REUNION</v>
      </c>
      <c r="C549" s="56" t="str">
        <f>IFERROR(__xludf.DUMMYFUNCTION("""COMPUTED_VALUE"""),"PROGRAMA - TRANSVERSAL")</f>
        <v>PROGRAMA - TRANSVERSAL</v>
      </c>
      <c r="D549" s="56" t="str">
        <f>IFERROR(__xludf.DUMMYFUNCTION("""COMPUTED_VALUE"""),"REUNIÓN ENCARGADO UAPO")</f>
        <v>REUNIÓN ENCARGADO UAPO</v>
      </c>
      <c r="E549" s="55">
        <f>IFERROR(__xludf.DUMMYFUNCTION("""COMPUTED_VALUE"""),0.2999999999956344)</f>
        <v>0.3</v>
      </c>
      <c r="F549" s="56" t="str">
        <f>IFERROR(__xludf.DUMMYFUNCTION("""COMPUTED_VALUE"""),"SI")</f>
        <v>SI</v>
      </c>
    </row>
    <row r="550" ht="15.75" customHeight="1">
      <c r="A550" s="56" t="str">
        <f>IFERROR(__xludf.DUMMYFUNCTION("""COMPUTED_VALUE"""),"REU_172")</f>
        <v>REU_172</v>
      </c>
      <c r="B550" s="56" t="str">
        <f>IFERROR(__xludf.DUMMYFUNCTION("""COMPUTED_VALUE"""),"REUNION")</f>
        <v>REUNION</v>
      </c>
      <c r="C550" s="56" t="str">
        <f>IFERROR(__xludf.DUMMYFUNCTION("""COMPUTED_VALUE"""),"PROGRAMA - TRANSVERSAL")</f>
        <v>PROGRAMA - TRANSVERSAL</v>
      </c>
      <c r="D550" s="56" t="str">
        <f>IFERROR(__xludf.DUMMYFUNCTION("""COMPUTED_VALUE"""),"REUNIÓN ENCARGADO UAPO (CENTRAL) (3 HRS - X4)")</f>
        <v>REUNIÓN ENCARGADO UAPO (CENTRAL) (3 HRS - X4)</v>
      </c>
      <c r="E550" s="55">
        <f>IFERROR(__xludf.DUMMYFUNCTION("""COMPUTED_VALUE"""),0.425)</f>
        <v>0.425</v>
      </c>
      <c r="F550" s="56" t="str">
        <f>IFERROR(__xludf.DUMMYFUNCTION("""COMPUTED_VALUE"""),"SI")</f>
        <v>SI</v>
      </c>
    </row>
    <row r="551" ht="15.75" customHeight="1">
      <c r="A551" s="56" t="str">
        <f>IFERROR(__xludf.DUMMYFUNCTION("""COMPUTED_VALUE"""),"REU_173")</f>
        <v>REU_173</v>
      </c>
      <c r="B551" s="56" t="str">
        <f>IFERROR(__xludf.DUMMYFUNCTION("""COMPUTED_VALUE"""),"REUNION")</f>
        <v>REUNION</v>
      </c>
      <c r="C551" s="56" t="str">
        <f>IFERROR(__xludf.DUMMYFUNCTION("""COMPUTED_VALUE"""),"PROGRAMA - TRANSVERSAL")</f>
        <v>PROGRAMA - TRANSVERSAL</v>
      </c>
      <c r="D551" s="56" t="str">
        <f>IFERROR(__xludf.DUMMYFUNCTION("""COMPUTED_VALUE"""),"REUNIÓN ENCARGADO UAPO (LOCAL) (2 HRS - X6)")</f>
        <v>REUNIÓN ENCARGADO UAPO (LOCAL) (2 HRS - X6)</v>
      </c>
      <c r="E551" s="55">
        <f>IFERROR(__xludf.DUMMYFUNCTION("""COMPUTED_VALUE"""),0.2999999999956344)</f>
        <v>0.3</v>
      </c>
      <c r="F551" s="56" t="str">
        <f>IFERROR(__xludf.DUMMYFUNCTION("""COMPUTED_VALUE"""),"SI")</f>
        <v>SI</v>
      </c>
    </row>
    <row r="552" ht="15.75" customHeight="1">
      <c r="A552" s="56" t="str">
        <f>IFERROR(__xludf.DUMMYFUNCTION("""COMPUTED_VALUE"""),"REU_174")</f>
        <v>REU_174</v>
      </c>
      <c r="B552" s="56" t="str">
        <f>IFERROR(__xludf.DUMMYFUNCTION("""COMPUTED_VALUE"""),"REUNION")</f>
        <v>REUNION</v>
      </c>
      <c r="C552" s="56" t="str">
        <f>IFERROR(__xludf.DUMMYFUNCTION("""COMPUTED_VALUE"""),"PROGRAMA - TRANSVERSAL")</f>
        <v>PROGRAMA - TRANSVERSAL</v>
      </c>
      <c r="D552" s="56" t="str">
        <f>IFERROR(__xludf.DUMMYFUNCTION("""COMPUTED_VALUE"""),"REUNIÓN ENCARGADO UAPORINO")</f>
        <v>REUNIÓN ENCARGADO UAPORINO</v>
      </c>
      <c r="E552" s="55">
        <f>IFERROR(__xludf.DUMMYFUNCTION("""COMPUTED_VALUE"""),0.625000000007276)</f>
        <v>0.625</v>
      </c>
      <c r="F552" s="56" t="str">
        <f>IFERROR(__xludf.DUMMYFUNCTION("""COMPUTED_VALUE"""),"SI")</f>
        <v>SI</v>
      </c>
    </row>
    <row r="553" ht="15.75" customHeight="1">
      <c r="A553" s="56" t="str">
        <f>IFERROR(__xludf.DUMMYFUNCTION("""COMPUTED_VALUE"""),"REU_175")</f>
        <v>REU_175</v>
      </c>
      <c r="B553" s="56" t="str">
        <f>IFERROR(__xludf.DUMMYFUNCTION("""COMPUTED_VALUE"""),"REUNION")</f>
        <v>REUNION</v>
      </c>
      <c r="C553" s="56" t="str">
        <f>IFERROR(__xludf.DUMMYFUNCTION("""COMPUTED_VALUE"""),"PROGRAMA - TRANSVERSAL")</f>
        <v>PROGRAMA - TRANSVERSAL</v>
      </c>
      <c r="D553" s="56" t="str">
        <f>IFERROR(__xludf.DUMMYFUNCTION("""COMPUTED_VALUE"""),"REUNIÓN ENCARGADO UAPORINO (CENTRAL)")</f>
        <v>REUNIÓN ENCARGADO UAPORINO (CENTRAL)</v>
      </c>
      <c r="E553" s="55">
        <f>IFERROR(__xludf.DUMMYFUNCTION("""COMPUTED_VALUE"""),0.425)</f>
        <v>0.425</v>
      </c>
      <c r="F553" s="56" t="str">
        <f>IFERROR(__xludf.DUMMYFUNCTION("""COMPUTED_VALUE"""),"SI")</f>
        <v>SI</v>
      </c>
    </row>
    <row r="554" ht="15.75" customHeight="1">
      <c r="A554" s="56" t="str">
        <f>IFERROR(__xludf.DUMMYFUNCTION("""COMPUTED_VALUE"""),"REU_176")</f>
        <v>REU_176</v>
      </c>
      <c r="B554" s="56" t="str">
        <f>IFERROR(__xludf.DUMMYFUNCTION("""COMPUTED_VALUE"""),"REUNION")</f>
        <v>REUNION</v>
      </c>
      <c r="C554" s="56" t="str">
        <f>IFERROR(__xludf.DUMMYFUNCTION("""COMPUTED_VALUE"""),"PROGRAMA - TRANSVERSAL")</f>
        <v>PROGRAMA - TRANSVERSAL</v>
      </c>
      <c r="D554" s="56" t="str">
        <f>IFERROR(__xludf.DUMMYFUNCTION("""COMPUTED_VALUE"""),"REUNIÓN ENCARGADO UAPORINO (LOCAL) (2,5 HRS - X10)")</f>
        <v>REUNIÓN ENCARGADO UAPORINO (LOCAL) (2,5 HRS - X10)</v>
      </c>
      <c r="E554" s="55">
        <f>IFERROR(__xludf.DUMMYFUNCTION("""COMPUTED_VALUE"""),0.625000000007276)</f>
        <v>0.625</v>
      </c>
      <c r="F554" s="56" t="str">
        <f>IFERROR(__xludf.DUMMYFUNCTION("""COMPUTED_VALUE"""),"SI")</f>
        <v>SI</v>
      </c>
    </row>
    <row r="555" ht="15.75" customHeight="1">
      <c r="A555" s="56" t="str">
        <f>IFERROR(__xludf.DUMMYFUNCTION("""COMPUTED_VALUE"""),"REU_181")</f>
        <v>REU_181</v>
      </c>
      <c r="B555" s="56" t="str">
        <f>IFERROR(__xludf.DUMMYFUNCTION("""COMPUTED_VALUE"""),"REUNION")</f>
        <v>REUNION</v>
      </c>
      <c r="C555" s="56" t="str">
        <f>IFERROR(__xludf.DUMMYFUNCTION("""COMPUTED_VALUE"""),"PROGRAMA - TRANSVERSAL")</f>
        <v>PROGRAMA - TRANSVERSAL</v>
      </c>
      <c r="D555" s="56" t="str">
        <f>IFERROR(__xludf.DUMMYFUNCTION("""COMPUTED_VALUE"""),"REUNIÓN ENCARGADXS IRA/ERA (CENTRAL)")</f>
        <v>REUNIÓN ENCARGADXS IRA/ERA (CENTRAL)</v>
      </c>
      <c r="E555" s="55">
        <f>IFERROR(__xludf.DUMMYFUNCTION("""COMPUTED_VALUE"""),0.5000000000043656)</f>
        <v>0.5</v>
      </c>
      <c r="F555" s="56" t="str">
        <f>IFERROR(__xludf.DUMMYFUNCTION("""COMPUTED_VALUE"""),"SI")</f>
        <v>SI</v>
      </c>
    </row>
    <row r="556" ht="15.75" customHeight="1">
      <c r="A556" s="56" t="str">
        <f>IFERROR(__xludf.DUMMYFUNCTION("""COMPUTED_VALUE"""),"REU_182")</f>
        <v>REU_182</v>
      </c>
      <c r="B556" s="56" t="str">
        <f>IFERROR(__xludf.DUMMYFUNCTION("""COMPUTED_VALUE"""),"REUNION")</f>
        <v>REUNION</v>
      </c>
      <c r="C556" s="56" t="str">
        <f>IFERROR(__xludf.DUMMYFUNCTION("""COMPUTED_VALUE"""),"PROGRAMA - TRANSVERSAL")</f>
        <v>PROGRAMA - TRANSVERSAL</v>
      </c>
      <c r="D556" s="56" t="str">
        <f>IFERROR(__xludf.DUMMYFUNCTION("""COMPUTED_VALUE"""),"REUNIÓN ENCARGADXS IRA/ERA (CENTRAL)  (2 HRS - X4 )")</f>
        <v>REUNIÓN ENCARGADXS IRA/ERA (CENTRAL)  (2 HRS - X4 )</v>
      </c>
      <c r="E556" s="55">
        <f>IFERROR(__xludf.DUMMYFUNCTION("""COMPUTED_VALUE"""),0.32500000000582074)</f>
        <v>0.325</v>
      </c>
      <c r="F556" s="56" t="str">
        <f>IFERROR(__xludf.DUMMYFUNCTION("""COMPUTED_VALUE"""),"SI")</f>
        <v>SI</v>
      </c>
    </row>
    <row r="557" ht="15.75" customHeight="1">
      <c r="A557" s="56" t="str">
        <f>IFERROR(__xludf.DUMMYFUNCTION("""COMPUTED_VALUE"""),"REU_183")</f>
        <v>REU_183</v>
      </c>
      <c r="B557" s="56" t="str">
        <f>IFERROR(__xludf.DUMMYFUNCTION("""COMPUTED_VALUE"""),"REUNION")</f>
        <v>REUNION</v>
      </c>
      <c r="C557" s="56" t="str">
        <f>IFERROR(__xludf.DUMMYFUNCTION("""COMPUTED_VALUE"""),"PROGRAMA - TRANSVERSAL")</f>
        <v>PROGRAMA - TRANSVERSAL</v>
      </c>
      <c r="D557" s="56" t="str">
        <f>IFERROR(__xludf.DUMMYFUNCTION("""COMPUTED_VALUE"""),"REUNIÓN ENCARGADXS IRA/ERA (CENTRAL)  (3 HRS - X4 )")</f>
        <v>REUNIÓN ENCARGADXS IRA/ERA (CENTRAL)  (3 HRS - X4 )</v>
      </c>
      <c r="E557" s="55">
        <f>IFERROR(__xludf.DUMMYFUNCTION("""COMPUTED_VALUE"""),0.575)</f>
        <v>0.575</v>
      </c>
      <c r="F557" s="56" t="str">
        <f>IFERROR(__xludf.DUMMYFUNCTION("""COMPUTED_VALUE"""),"SI")</f>
        <v>SI</v>
      </c>
    </row>
    <row r="558" ht="15.75" customHeight="1">
      <c r="A558" s="56" t="str">
        <f>IFERROR(__xludf.DUMMYFUNCTION("""COMPUTED_VALUE"""),"REU_184")</f>
        <v>REU_184</v>
      </c>
      <c r="B558" s="56" t="str">
        <f>IFERROR(__xludf.DUMMYFUNCTION("""COMPUTED_VALUE"""),"REUNION")</f>
        <v>REUNION</v>
      </c>
      <c r="C558" s="56" t="str">
        <f>IFERROR(__xludf.DUMMYFUNCTION("""COMPUTED_VALUE"""),"PROGRAMA - TRANSVERSAL")</f>
        <v>PROGRAMA - TRANSVERSAL</v>
      </c>
      <c r="D558" s="56" t="str">
        <f>IFERROR(__xludf.DUMMYFUNCTION("""COMPUTED_VALUE"""),"REUNIÓN IRA/ERA LOCAL")</f>
        <v>REUNIÓN IRA/ERA LOCAL</v>
      </c>
      <c r="E558" s="55">
        <f>IFERROR(__xludf.DUMMYFUNCTION("""COMPUTED_VALUE"""),0.2999999999956344)</f>
        <v>0.3</v>
      </c>
      <c r="F558" s="56" t="str">
        <f>IFERROR(__xludf.DUMMYFUNCTION("""COMPUTED_VALUE"""),"SI")</f>
        <v>SI</v>
      </c>
    </row>
    <row r="559" ht="15.75" customHeight="1">
      <c r="A559" s="56" t="str">
        <f>IFERROR(__xludf.DUMMYFUNCTION("""COMPUTED_VALUE"""),"REU_185")</f>
        <v>REU_185</v>
      </c>
      <c r="B559" s="56" t="str">
        <f>IFERROR(__xludf.DUMMYFUNCTION("""COMPUTED_VALUE"""),"REUNION")</f>
        <v>REUNION</v>
      </c>
      <c r="C559" s="56" t="str">
        <f>IFERROR(__xludf.DUMMYFUNCTION("""COMPUTED_VALUE"""),"PROGRAMA - TRANSVERSAL")</f>
        <v>PROGRAMA - TRANSVERSAL</v>
      </c>
      <c r="D559" s="56" t="str">
        <f>IFERROR(__xludf.DUMMYFUNCTION("""COMPUTED_VALUE"""),"REUNIÓN IRA/ERA LOCAL (2 HRS - X12)")</f>
        <v>REUNIÓN IRA/ERA LOCAL (2 HRS - X12)</v>
      </c>
      <c r="E559" s="55">
        <f>IFERROR(__xludf.DUMMYFUNCTION("""COMPUTED_VALUE"""),0.5999999999912689)</f>
        <v>0.6</v>
      </c>
      <c r="F559" s="56" t="str">
        <f>IFERROR(__xludf.DUMMYFUNCTION("""COMPUTED_VALUE"""),"SI")</f>
        <v>SI</v>
      </c>
    </row>
    <row r="560" ht="15.75" customHeight="1">
      <c r="A560" s="56" t="str">
        <f>IFERROR(__xludf.DUMMYFUNCTION("""COMPUTED_VALUE"""),"REU_186")</f>
        <v>REU_186</v>
      </c>
      <c r="B560" s="56" t="str">
        <f>IFERROR(__xludf.DUMMYFUNCTION("""COMPUTED_VALUE"""),"REUNION")</f>
        <v>REUNION</v>
      </c>
      <c r="C560" s="56" t="str">
        <f>IFERROR(__xludf.DUMMYFUNCTION("""COMPUTED_VALUE"""),"PROGRAMA - TRANSVERSAL")</f>
        <v>PROGRAMA - TRANSVERSAL</v>
      </c>
      <c r="D560" s="56" t="str">
        <f>IFERROR(__xludf.DUMMYFUNCTION("""COMPUTED_VALUE"""),"REUNIÓN MEDICINAS COMPLEMENTARIAS Y PRACTICAS DE BIENESTAR EN SALUD (CENTRAL)")</f>
        <v>REUNIÓN MEDICINAS COMPLEMENTARIAS Y PRACTICAS DE BIENESTAR EN SALUD (CENTRAL)</v>
      </c>
      <c r="E560" s="55">
        <f>IFERROR(__xludf.DUMMYFUNCTION("""COMPUTED_VALUE"""),0.875)</f>
        <v>0.875</v>
      </c>
      <c r="F560" s="56" t="str">
        <f>IFERROR(__xludf.DUMMYFUNCTION("""COMPUTED_VALUE"""),"SI")</f>
        <v>SI</v>
      </c>
    </row>
    <row r="561" ht="15.75" customHeight="1">
      <c r="A561" s="56" t="str">
        <f>IFERROR(__xludf.DUMMYFUNCTION("""COMPUTED_VALUE"""),"REU_188")</f>
        <v>REU_188</v>
      </c>
      <c r="B561" s="56" t="str">
        <f>IFERROR(__xludf.DUMMYFUNCTION("""COMPUTED_VALUE"""),"REUNION")</f>
        <v>REUNION</v>
      </c>
      <c r="C561" s="56" t="str">
        <f>IFERROR(__xludf.DUMMYFUNCTION("""COMPUTED_VALUE"""),"PROGRAMA - TRANSVERSAL")</f>
        <v>PROGRAMA - TRANSVERSAL</v>
      </c>
      <c r="D561" s="56" t="str">
        <f>IFERROR(__xludf.DUMMYFUNCTION("""COMPUTED_VALUE"""),"REUNIÓN PAD")</f>
        <v>REUNIÓN PAD</v>
      </c>
      <c r="E561" s="55">
        <f>IFERROR(__xludf.DUMMYFUNCTION("""COMPUTED_VALUE"""),0.5000000000145519)</f>
        <v>0.5</v>
      </c>
      <c r="F561" s="56" t="str">
        <f>IFERROR(__xludf.DUMMYFUNCTION("""COMPUTED_VALUE"""),"SI")</f>
        <v>SI</v>
      </c>
    </row>
    <row r="562" ht="15.75" customHeight="1">
      <c r="A562" s="56" t="str">
        <f>IFERROR(__xludf.DUMMYFUNCTION("""COMPUTED_VALUE"""),"REU_189")</f>
        <v>REU_189</v>
      </c>
      <c r="B562" s="56" t="str">
        <f>IFERROR(__xludf.DUMMYFUNCTION("""COMPUTED_VALUE"""),"REUNION")</f>
        <v>REUNION</v>
      </c>
      <c r="C562" s="56" t="str">
        <f>IFERROR(__xludf.DUMMYFUNCTION("""COMPUTED_VALUE"""),"PROGRAMA - TRANSVERSAL")</f>
        <v>PROGRAMA - TRANSVERSAL</v>
      </c>
      <c r="D562" s="56" t="str">
        <f>IFERROR(__xludf.DUMMYFUNCTION("""COMPUTED_VALUE"""),"REUNIÓN PMAS (CENTRAL)")</f>
        <v>REUNIÓN PMAS (CENTRAL)</v>
      </c>
      <c r="E562" s="55">
        <f>IFERROR(__xludf.DUMMYFUNCTION("""COMPUTED_VALUE"""),0.875)</f>
        <v>0.875</v>
      </c>
      <c r="F562" s="56" t="str">
        <f>IFERROR(__xludf.DUMMYFUNCTION("""COMPUTED_VALUE"""),"SI")</f>
        <v>SI</v>
      </c>
    </row>
    <row r="563" ht="15.75" customHeight="1">
      <c r="A563" s="56" t="str">
        <f>IFERROR(__xludf.DUMMYFUNCTION("""COMPUTED_VALUE"""),"REU_190")</f>
        <v>REU_190</v>
      </c>
      <c r="B563" s="56" t="str">
        <f>IFERROR(__xludf.DUMMYFUNCTION("""COMPUTED_VALUE"""),"REUNION")</f>
        <v>REUNION</v>
      </c>
      <c r="C563" s="56" t="str">
        <f>IFERROR(__xludf.DUMMYFUNCTION("""COMPUTED_VALUE"""),"PROGRAMA - TRANSVERSAL")</f>
        <v>PROGRAMA - TRANSVERSAL</v>
      </c>
      <c r="D563" s="56" t="str">
        <f>IFERROR(__xludf.DUMMYFUNCTION("""COMPUTED_VALUE"""),"REUNIÓN PMAS (SSVSA)")</f>
        <v>REUNIÓN PMAS (SSVSA)</v>
      </c>
      <c r="E563" s="55">
        <f>IFERROR(__xludf.DUMMYFUNCTION("""COMPUTED_VALUE"""),0.875)</f>
        <v>0.875</v>
      </c>
      <c r="F563" s="56" t="str">
        <f>IFERROR(__xludf.DUMMYFUNCTION("""COMPUTED_VALUE"""),"SI")</f>
        <v>SI</v>
      </c>
    </row>
    <row r="564" ht="15.75" customHeight="1">
      <c r="A564" s="56" t="str">
        <f>IFERROR(__xludf.DUMMYFUNCTION("""COMPUTED_VALUE"""),"REU_191")</f>
        <v>REU_191</v>
      </c>
      <c r="B564" s="56" t="str">
        <f>IFERROR(__xludf.DUMMYFUNCTION("""COMPUTED_VALUE"""),"REUNION")</f>
        <v>REUNION</v>
      </c>
      <c r="C564" s="56" t="str">
        <f>IFERROR(__xludf.DUMMYFUNCTION("""COMPUTED_VALUE"""),"PROGRAMA - TRANSVERSAL")</f>
        <v>PROGRAMA - TRANSVERSAL</v>
      </c>
      <c r="D564" s="56" t="str">
        <f>IFERROR(__xludf.DUMMYFUNCTION("""COMPUTED_VALUE"""),"REUNIÓN PROGRAMA ADULTO Y ADULTO MAYOR")</f>
        <v>REUNIÓN PROGRAMA ADULTO Y ADULTO MAYOR</v>
      </c>
      <c r="E564" s="55">
        <f>IFERROR(__xludf.DUMMYFUNCTION("""COMPUTED_VALUE"""),0.75)</f>
        <v>0.75</v>
      </c>
      <c r="F564" s="56" t="str">
        <f>IFERROR(__xludf.DUMMYFUNCTION("""COMPUTED_VALUE"""),"SI")</f>
        <v>SI</v>
      </c>
    </row>
    <row r="565" ht="15.75" customHeight="1">
      <c r="A565" s="56" t="str">
        <f>IFERROR(__xludf.DUMMYFUNCTION("""COMPUTED_VALUE"""),"REU_192")</f>
        <v>REU_192</v>
      </c>
      <c r="B565" s="56" t="str">
        <f>IFERROR(__xludf.DUMMYFUNCTION("""COMPUTED_VALUE"""),"REUNION")</f>
        <v>REUNION</v>
      </c>
      <c r="C565" s="56" t="str">
        <f>IFERROR(__xludf.DUMMYFUNCTION("""COMPUTED_VALUE"""),"PROGRAMA - TRANSVERSAL")</f>
        <v>PROGRAMA - TRANSVERSAL</v>
      </c>
      <c r="D565" s="56" t="str">
        <f>IFERROR(__xludf.DUMMYFUNCTION("""COMPUTED_VALUE"""),"REUNIÓN PROGRAMA ADULTO Y ADULTO MAYOR (1,5 HR - X12)")</f>
        <v>REUNIÓN PROGRAMA ADULTO Y ADULTO MAYOR (1,5 HR - X12)</v>
      </c>
      <c r="E565" s="55">
        <f>IFERROR(__xludf.DUMMYFUNCTION("""COMPUTED_VALUE"""),0.45)</f>
        <v>0.45</v>
      </c>
      <c r="F565" s="56" t="str">
        <f>IFERROR(__xludf.DUMMYFUNCTION("""COMPUTED_VALUE"""),"SI")</f>
        <v>SI</v>
      </c>
    </row>
    <row r="566" ht="15.75" customHeight="1">
      <c r="A566" s="56" t="str">
        <f>IFERROR(__xludf.DUMMYFUNCTION("""COMPUTED_VALUE"""),"REU_193")</f>
        <v>REU_193</v>
      </c>
      <c r="B566" s="56" t="str">
        <f>IFERROR(__xludf.DUMMYFUNCTION("""COMPUTED_VALUE"""),"REUNION")</f>
        <v>REUNION</v>
      </c>
      <c r="C566" s="56" t="str">
        <f>IFERROR(__xludf.DUMMYFUNCTION("""COMPUTED_VALUE"""),"PROGRAMA - TRANSVERSAL")</f>
        <v>PROGRAMA - TRANSVERSAL</v>
      </c>
      <c r="D566" s="56" t="str">
        <f>IFERROR(__xludf.DUMMYFUNCTION("""COMPUTED_VALUE"""),"REUNIÓN PROGRAMA ADULTO Y ADULTO MAYOR (2 HRS - X6)")</f>
        <v>REUNIÓN PROGRAMA ADULTO Y ADULTO MAYOR (2 HRS - X6)</v>
      </c>
      <c r="E566" s="55">
        <f>IFERROR(__xludf.DUMMYFUNCTION("""COMPUTED_VALUE"""),0.30000000000873117)</f>
        <v>0.3</v>
      </c>
      <c r="F566" s="56" t="str">
        <f>IFERROR(__xludf.DUMMYFUNCTION("""COMPUTED_VALUE"""),"SI")</f>
        <v>SI</v>
      </c>
    </row>
    <row r="567" ht="15.75" customHeight="1">
      <c r="A567" s="56" t="str">
        <f>IFERROR(__xludf.DUMMYFUNCTION("""COMPUTED_VALUE"""),"REU_194")</f>
        <v>REU_194</v>
      </c>
      <c r="B567" s="56" t="str">
        <f>IFERROR(__xludf.DUMMYFUNCTION("""COMPUTED_VALUE"""),"REUNION")</f>
        <v>REUNION</v>
      </c>
      <c r="C567" s="56" t="str">
        <f>IFERROR(__xludf.DUMMYFUNCTION("""COMPUTED_VALUE"""),"PROGRAMA - TRANSVERSAL")</f>
        <v>PROGRAMA - TRANSVERSAL</v>
      </c>
      <c r="D567" s="56" t="str">
        <f>IFERROR(__xludf.DUMMYFUNCTION("""COMPUTED_VALUE"""),"REUNIÓN PROGRAMA ADULTO Y ADULTO MAYOR (3 HRS - X10)")</f>
        <v>REUNIÓN PROGRAMA ADULTO Y ADULTO MAYOR (3 HRS - X10)</v>
      </c>
      <c r="E567" s="55">
        <f>IFERROR(__xludf.DUMMYFUNCTION("""COMPUTED_VALUE"""),0.75)</f>
        <v>0.75</v>
      </c>
      <c r="F567" s="56" t="str">
        <f>IFERROR(__xludf.DUMMYFUNCTION("""COMPUTED_VALUE"""),"SI")</f>
        <v>SI</v>
      </c>
    </row>
    <row r="568" ht="15.75" customHeight="1">
      <c r="A568" s="56" t="str">
        <f>IFERROR(__xludf.DUMMYFUNCTION("""COMPUTED_VALUE"""),"REU_195")</f>
        <v>REU_195</v>
      </c>
      <c r="B568" s="56" t="str">
        <f>IFERROR(__xludf.DUMMYFUNCTION("""COMPUTED_VALUE"""),"REUNION")</f>
        <v>REUNION</v>
      </c>
      <c r="C568" s="56" t="str">
        <f>IFERROR(__xludf.DUMMYFUNCTION("""COMPUTED_VALUE"""),"PROGRAMA - TRANSVERSAL")</f>
        <v>PROGRAMA - TRANSVERSAL</v>
      </c>
      <c r="D568" s="56" t="str">
        <f>IFERROR(__xludf.DUMMYFUNCTION("""COMPUTED_VALUE"""),"REUNIÓN PROGRAMA ADULTO Y ADULTO MAYOR (5 HRS - X6)")</f>
        <v>REUNIÓN PROGRAMA ADULTO Y ADULTO MAYOR (5 HRS - X6)</v>
      </c>
      <c r="E568" s="55">
        <f>IFERROR(__xludf.DUMMYFUNCTION("""COMPUTED_VALUE"""),0.8749999999956344)</f>
        <v>0.875</v>
      </c>
      <c r="F568" s="56" t="str">
        <f>IFERROR(__xludf.DUMMYFUNCTION("""COMPUTED_VALUE"""),"SI")</f>
        <v>SI</v>
      </c>
    </row>
    <row r="569" ht="15.75" customHeight="1">
      <c r="A569" s="56" t="str">
        <f>IFERROR(__xludf.DUMMYFUNCTION("""COMPUTED_VALUE"""),"REU_196")</f>
        <v>REU_196</v>
      </c>
      <c r="B569" s="56" t="str">
        <f>IFERROR(__xludf.DUMMYFUNCTION("""COMPUTED_VALUE"""),"REUNION")</f>
        <v>REUNION</v>
      </c>
      <c r="C569" s="56" t="str">
        <f>IFERROR(__xludf.DUMMYFUNCTION("""COMPUTED_VALUE"""),"PROGRAMA - TRANSVERSAL")</f>
        <v>PROGRAMA - TRANSVERSAL</v>
      </c>
      <c r="D569" s="56" t="str">
        <f>IFERROR(__xludf.DUMMYFUNCTION("""COMPUTED_VALUE"""),"REUNIÓN PROGRAMA ODONTOLOGICO")</f>
        <v>REUNIÓN PROGRAMA ODONTOLOGICO</v>
      </c>
      <c r="E569" s="55">
        <f>IFERROR(__xludf.DUMMYFUNCTION("""COMPUTED_VALUE"""),0.9)</f>
        <v>0.9</v>
      </c>
      <c r="F569" s="56" t="str">
        <f>IFERROR(__xludf.DUMMYFUNCTION("""COMPUTED_VALUE"""),"SI")</f>
        <v>SI</v>
      </c>
    </row>
    <row r="570" ht="15.75" customHeight="1">
      <c r="A570" s="56" t="str">
        <f>IFERROR(__xludf.DUMMYFUNCTION("""COMPUTED_VALUE"""),"REU_197")</f>
        <v>REU_197</v>
      </c>
      <c r="B570" s="56" t="str">
        <f>IFERROR(__xludf.DUMMYFUNCTION("""COMPUTED_VALUE"""),"REUNION")</f>
        <v>REUNION</v>
      </c>
      <c r="C570" s="56" t="str">
        <f>IFERROR(__xludf.DUMMYFUNCTION("""COMPUTED_VALUE"""),"PROGRAMA - TRANSVERSAL")</f>
        <v>PROGRAMA - TRANSVERSAL</v>
      </c>
      <c r="D570" s="56" t="str">
        <f>IFERROR(__xludf.DUMMYFUNCTION("""COMPUTED_VALUE"""),"REUNIÓN PROGRAMA ODONTOLOGICO (2 HRS-X 10)")</f>
        <v>REUNIÓN PROGRAMA ODONTOLOGICO (2 HRS-X 10)</v>
      </c>
      <c r="E570" s="55">
        <f>IFERROR(__xludf.DUMMYFUNCTION("""COMPUTED_VALUE"""),0.49999999999272404)</f>
        <v>0.5</v>
      </c>
      <c r="F570" s="56" t="str">
        <f>IFERROR(__xludf.DUMMYFUNCTION("""COMPUTED_VALUE"""),"SI")</f>
        <v>SI</v>
      </c>
    </row>
    <row r="571" ht="15.75" customHeight="1">
      <c r="A571" s="56" t="str">
        <f>IFERROR(__xludf.DUMMYFUNCTION("""COMPUTED_VALUE"""),"REU_198")</f>
        <v>REU_198</v>
      </c>
      <c r="B571" s="56" t="str">
        <f>IFERROR(__xludf.DUMMYFUNCTION("""COMPUTED_VALUE"""),"REUNION")</f>
        <v>REUNION</v>
      </c>
      <c r="C571" s="56" t="str">
        <f>IFERROR(__xludf.DUMMYFUNCTION("""COMPUTED_VALUE"""),"PROGRAMA - TRANSVERSAL")</f>
        <v>PROGRAMA - TRANSVERSAL</v>
      </c>
      <c r="D571" s="56" t="str">
        <f>IFERROR(__xludf.DUMMYFUNCTION("""COMPUTED_VALUE"""),"REUNIÓN PROGRAMA ODONTOLOGICO (CENTRAL)")</f>
        <v>REUNIÓN PROGRAMA ODONTOLOGICO (CENTRAL)</v>
      </c>
      <c r="E571" s="55">
        <f>IFERROR(__xludf.DUMMYFUNCTION("""COMPUTED_VALUE"""),0.875)</f>
        <v>0.875</v>
      </c>
      <c r="F571" s="56" t="str">
        <f>IFERROR(__xludf.DUMMYFUNCTION("""COMPUTED_VALUE"""),"SI")</f>
        <v>SI</v>
      </c>
    </row>
    <row r="572" ht="15.75" customHeight="1">
      <c r="A572" s="56" t="str">
        <f>IFERROR(__xludf.DUMMYFUNCTION("""COMPUTED_VALUE"""),"REU_199")</f>
        <v>REU_199</v>
      </c>
      <c r="B572" s="56" t="str">
        <f>IFERROR(__xludf.DUMMYFUNCTION("""COMPUTED_VALUE"""),"REUNION")</f>
        <v>REUNION</v>
      </c>
      <c r="C572" s="56" t="str">
        <f>IFERROR(__xludf.DUMMYFUNCTION("""COMPUTED_VALUE"""),"PROGRAMA - TRANSVERSAL")</f>
        <v>PROGRAMA - TRANSVERSAL</v>
      </c>
      <c r="D572" s="56" t="str">
        <f>IFERROR(__xludf.DUMMYFUNCTION("""COMPUTED_VALUE"""),"REUNIÓN PROGRAMA ODONTOLOGICO (CENTRAL) (3HRS -X 12)")</f>
        <v>REUNIÓN PROGRAMA ODONTOLOGICO (CENTRAL) (3HRS -X 12)</v>
      </c>
      <c r="E572" s="55">
        <f>IFERROR(__xludf.DUMMYFUNCTION("""COMPUTED_VALUE"""),1.025)</f>
        <v>1.025</v>
      </c>
      <c r="F572" s="56" t="str">
        <f>IFERROR(__xludf.DUMMYFUNCTION("""COMPUTED_VALUE"""),"SI")</f>
        <v>SI</v>
      </c>
    </row>
    <row r="573" ht="15.75" customHeight="1">
      <c r="A573" s="56" t="str">
        <f>IFERROR(__xludf.DUMMYFUNCTION("""COMPUTED_VALUE"""),"REU_200")</f>
        <v>REU_200</v>
      </c>
      <c r="B573" s="56" t="str">
        <f>IFERROR(__xludf.DUMMYFUNCTION("""COMPUTED_VALUE"""),"REUNION")</f>
        <v>REUNION</v>
      </c>
      <c r="C573" s="56" t="str">
        <f>IFERROR(__xludf.DUMMYFUNCTION("""COMPUTED_VALUE"""),"PROGRAMA - TRANSVERSAL")</f>
        <v>PROGRAMA - TRANSVERSAL</v>
      </c>
      <c r="D573" s="56" t="str">
        <f>IFERROR(__xludf.DUMMYFUNCTION("""COMPUTED_VALUE"""),"REUNIÓN PROGRAMA ODONTOLOGICO (SSVSA)")</f>
        <v>REUNIÓN PROGRAMA ODONTOLOGICO (SSVSA)</v>
      </c>
      <c r="E573" s="55">
        <f>IFERROR(__xludf.DUMMYFUNCTION("""COMPUTED_VALUE"""),0.575)</f>
        <v>0.575</v>
      </c>
      <c r="F573" s="56" t="str">
        <f>IFERROR(__xludf.DUMMYFUNCTION("""COMPUTED_VALUE"""),"SI")</f>
        <v>SI</v>
      </c>
    </row>
    <row r="574" ht="15.75" customHeight="1">
      <c r="A574" s="56" t="str">
        <f>IFERROR(__xludf.DUMMYFUNCTION("""COMPUTED_VALUE"""),"REU_201")</f>
        <v>REU_201</v>
      </c>
      <c r="B574" s="56" t="str">
        <f>IFERROR(__xludf.DUMMYFUNCTION("""COMPUTED_VALUE"""),"REUNION")</f>
        <v>REUNION</v>
      </c>
      <c r="C574" s="56" t="str">
        <f>IFERROR(__xludf.DUMMYFUNCTION("""COMPUTED_VALUE"""),"PROGRAMA - TRANSVERSAL")</f>
        <v>PROGRAMA - TRANSVERSAL</v>
      </c>
      <c r="D574" s="56" t="str">
        <f>IFERROR(__xludf.DUMMYFUNCTION("""COMPUTED_VALUE"""),"REUNIÓN PROGRAMA ODONTOLOGICO (SSVSA) (9 HRS - X 5)")</f>
        <v>REUNIÓN PROGRAMA ODONTOLOGICO (SSVSA) (9 HRS - X 5)</v>
      </c>
      <c r="E574" s="55">
        <f>IFERROR(__xludf.DUMMYFUNCTION("""COMPUTED_VALUE"""),1.475)</f>
        <v>1.475</v>
      </c>
      <c r="F574" s="56" t="str">
        <f>IFERROR(__xludf.DUMMYFUNCTION("""COMPUTED_VALUE"""),"SI")</f>
        <v>SI</v>
      </c>
    </row>
    <row r="575" ht="15.75" customHeight="1">
      <c r="A575" s="56" t="str">
        <f>IFERROR(__xludf.DUMMYFUNCTION("""COMPUTED_VALUE"""),"REU_202")</f>
        <v>REU_202</v>
      </c>
      <c r="B575" s="56" t="str">
        <f>IFERROR(__xludf.DUMMYFUNCTION("""COMPUTED_VALUE"""),"REUNION")</f>
        <v>REUNION</v>
      </c>
      <c r="C575" s="56" t="str">
        <f>IFERROR(__xludf.DUMMYFUNCTION("""COMPUTED_VALUE"""),"PROGRAMA - TRANSVERSAL")</f>
        <v>PROGRAMA - TRANSVERSAL</v>
      </c>
      <c r="D575" s="56" t="str">
        <f>IFERROR(__xludf.DUMMYFUNCTION("""COMPUTED_VALUE"""),"REUNIÓN PROGRAMA SALUD SEXUAL Y REPRODUCTIVA (CENTRAL)")</f>
        <v>REUNIÓN PROGRAMA SALUD SEXUAL Y REPRODUCTIVA (CENTRAL)</v>
      </c>
      <c r="E575" s="55">
        <f>IFERROR(__xludf.DUMMYFUNCTION("""COMPUTED_VALUE"""),0.875)</f>
        <v>0.875</v>
      </c>
      <c r="F575" s="56" t="str">
        <f>IFERROR(__xludf.DUMMYFUNCTION("""COMPUTED_VALUE"""),"SI")</f>
        <v>SI</v>
      </c>
    </row>
    <row r="576" ht="15.75" customHeight="1">
      <c r="A576" s="56" t="str">
        <f>IFERROR(__xludf.DUMMYFUNCTION("""COMPUTED_VALUE"""),"REU_205")</f>
        <v>REU_205</v>
      </c>
      <c r="B576" s="56" t="str">
        <f>IFERROR(__xludf.DUMMYFUNCTION("""COMPUTED_VALUE"""),"REUNION")</f>
        <v>REUNION</v>
      </c>
      <c r="C576" s="56" t="str">
        <f>IFERROR(__xludf.DUMMYFUNCTION("""COMPUTED_VALUE"""),"PROGRAMA - TRANSVERSAL")</f>
        <v>PROGRAMA - TRANSVERSAL</v>
      </c>
      <c r="D576" s="56" t="str">
        <f>IFERROR(__xludf.DUMMYFUNCTION("""COMPUTED_VALUE"""),"REUNIÓN TECNICA ADMINISTRATIVA SALUD MENTAL EN APS (SSVSA)")</f>
        <v>REUNIÓN TECNICA ADMINISTRATIVA SALUD MENTAL EN APS (SSVSA)</v>
      </c>
      <c r="E576" s="55">
        <f>IFERROR(__xludf.DUMMYFUNCTION("""COMPUTED_VALUE"""),0.3250000000014552)</f>
        <v>0.325</v>
      </c>
      <c r="F576" s="56" t="str">
        <f>IFERROR(__xludf.DUMMYFUNCTION("""COMPUTED_VALUE"""),"SI")</f>
        <v>SI</v>
      </c>
    </row>
    <row r="577" ht="15.75" customHeight="1">
      <c r="A577" s="56" t="str">
        <f>IFERROR(__xludf.DUMMYFUNCTION("""COMPUTED_VALUE"""),"REU_206")</f>
        <v>REU_206</v>
      </c>
      <c r="B577" s="56" t="str">
        <f>IFERROR(__xludf.DUMMYFUNCTION("""COMPUTED_VALUE"""),"REUNION")</f>
        <v>REUNION</v>
      </c>
      <c r="C577" s="56" t="str">
        <f>IFERROR(__xludf.DUMMYFUNCTION("""COMPUTED_VALUE"""),"PROGRAMA - TRANSVERSAL")</f>
        <v>PROGRAMA - TRANSVERSAL</v>
      </c>
      <c r="D577" s="56" t="str">
        <f>IFERROR(__xludf.DUMMYFUNCTION("""COMPUTED_VALUE"""),"REUNIÓN TELECOMITE CPU (SSVSA)")</f>
        <v>REUNIÓN TELECOMITE CPU (SSVSA)</v>
      </c>
      <c r="E577" s="55">
        <f>IFERROR(__xludf.DUMMYFUNCTION("""COMPUTED_VALUE"""),0.7249999999912689)</f>
        <v>0.725</v>
      </c>
      <c r="F577" s="56" t="str">
        <f>IFERROR(__xludf.DUMMYFUNCTION("""COMPUTED_VALUE"""),"SI")</f>
        <v>SI</v>
      </c>
    </row>
    <row r="578" ht="15.75" customHeight="1">
      <c r="A578" s="56" t="str">
        <f>IFERROR(__xludf.DUMMYFUNCTION("""COMPUTED_VALUE"""),"REU_209")</f>
        <v>REU_209</v>
      </c>
      <c r="B578" s="56" t="str">
        <f>IFERROR(__xludf.DUMMYFUNCTION("""COMPUTED_VALUE"""),"REUNION")</f>
        <v>REUNION</v>
      </c>
      <c r="C578" s="56" t="str">
        <f>IFERROR(__xludf.DUMMYFUNCTION("""COMPUTED_VALUE"""),"SALUD PUBLICA")</f>
        <v>SALUD PUBLICA</v>
      </c>
      <c r="D578" s="56" t="str">
        <f>IFERROR(__xludf.DUMMYFUNCTION("""COMPUTED_VALUE"""),"REUNIÓN APS - U ( 2 HRS - X 12)")</f>
        <v>REUNIÓN APS - U ( 2 HRS - X 12)</v>
      </c>
      <c r="E578" s="55">
        <f>IFERROR(__xludf.DUMMYFUNCTION("""COMPUTED_VALUE"""),0.5999999999912689)</f>
        <v>0.6</v>
      </c>
      <c r="F578" s="56" t="str">
        <f>IFERROR(__xludf.DUMMYFUNCTION("""COMPUTED_VALUE"""),"SI")</f>
        <v>SI</v>
      </c>
    </row>
    <row r="579" ht="15.75" customHeight="1">
      <c r="A579" s="56" t="str">
        <f>IFERROR(__xludf.DUMMYFUNCTION("""COMPUTED_VALUE"""),"REU_236")</f>
        <v>REU_236</v>
      </c>
      <c r="B579" s="56" t="str">
        <f>IFERROR(__xludf.DUMMYFUNCTION("""COMPUTED_VALUE"""),"REUNION")</f>
        <v>REUNION</v>
      </c>
      <c r="C579" s="56" t="str">
        <f>IFERROR(__xludf.DUMMYFUNCTION("""COMPUTED_VALUE"""),"SALUD PUBLICA")</f>
        <v>SALUD PUBLICA</v>
      </c>
      <c r="D579" s="56" t="str">
        <f>IFERROR(__xludf.DUMMYFUNCTION("""COMPUTED_VALUE"""),"REUNIÓN COMITE TRANSMISIÓN VERTICAL (SSVSA)")</f>
        <v>REUNIÓN COMITE TRANSMISIÓN VERTICAL (SSVSA)</v>
      </c>
      <c r="E579" s="55">
        <f>IFERROR(__xludf.DUMMYFUNCTION("""COMPUTED_VALUE"""),0.2249999999985448)</f>
        <v>0.225</v>
      </c>
      <c r="F579" s="56" t="str">
        <f>IFERROR(__xludf.DUMMYFUNCTION("""COMPUTED_VALUE"""),"SI")</f>
        <v>SI</v>
      </c>
    </row>
    <row r="580" ht="15.75" customHeight="1">
      <c r="A580" s="56" t="str">
        <f>IFERROR(__xludf.DUMMYFUNCTION("""COMPUTED_VALUE"""),"REU_210")</f>
        <v>REU_210</v>
      </c>
      <c r="B580" s="56" t="str">
        <f>IFERROR(__xludf.DUMMYFUNCTION("""COMPUTED_VALUE"""),"REUNION")</f>
        <v>REUNION</v>
      </c>
      <c r="C580" s="56" t="str">
        <f>IFERROR(__xludf.DUMMYFUNCTION("""COMPUTED_VALUE"""),"SALUD PUBLICA")</f>
        <v>SALUD PUBLICA</v>
      </c>
      <c r="D580" s="56" t="str">
        <f>IFERROR(__xludf.DUMMYFUNCTION("""COMPUTED_VALUE"""),"REUNIÓN DE PROGRAMAS ALIMENTARIOS (CENTRAL)")</f>
        <v>REUNIÓN DE PROGRAMAS ALIMENTARIOS (CENTRAL)</v>
      </c>
      <c r="E580" s="55">
        <f>IFERROR(__xludf.DUMMYFUNCTION("""COMPUTED_VALUE"""),0.4750000000014552)</f>
        <v>0.475</v>
      </c>
      <c r="F580" s="56" t="str">
        <f>IFERROR(__xludf.DUMMYFUNCTION("""COMPUTED_VALUE"""),"SI")</f>
        <v>SI</v>
      </c>
    </row>
    <row r="581" ht="15.75" customHeight="1">
      <c r="A581" s="56" t="str">
        <f>IFERROR(__xludf.DUMMYFUNCTION("""COMPUTED_VALUE"""),"REU_211")</f>
        <v>REU_211</v>
      </c>
      <c r="B581" s="56" t="str">
        <f>IFERROR(__xludf.DUMMYFUNCTION("""COMPUTED_VALUE"""),"REUNION")</f>
        <v>REUNION</v>
      </c>
      <c r="C581" s="56" t="str">
        <f>IFERROR(__xludf.DUMMYFUNCTION("""COMPUTED_VALUE"""),"SALUD PUBLICA")</f>
        <v>SALUD PUBLICA</v>
      </c>
      <c r="D581" s="56" t="str">
        <f>IFERROR(__xludf.DUMMYFUNCTION("""COMPUTED_VALUE"""),"REUNIÓN DE PROGRAMAS ALIMENTARIOS( CENTRAL) (3 HRS - X12) ")</f>
        <v>REUNIÓN DE PROGRAMAS ALIMENTARIOS( CENTRAL) (3 HRS - X12) </v>
      </c>
      <c r="E581" s="55">
        <f>IFERROR(__xludf.DUMMYFUNCTION("""COMPUTED_VALUE"""),1.025)</f>
        <v>1.025</v>
      </c>
      <c r="F581" s="56" t="str">
        <f>IFERROR(__xludf.DUMMYFUNCTION("""COMPUTED_VALUE"""),"SI")</f>
        <v>SI</v>
      </c>
    </row>
    <row r="582" ht="15.75" customHeight="1">
      <c r="A582" s="56" t="str">
        <f>IFERROR(__xludf.DUMMYFUNCTION("""COMPUTED_VALUE"""),"REU_212")</f>
        <v>REU_212</v>
      </c>
      <c r="B582" s="56" t="str">
        <f>IFERROR(__xludf.DUMMYFUNCTION("""COMPUTED_VALUE"""),"REUNION")</f>
        <v>REUNION</v>
      </c>
      <c r="C582" s="56" t="str">
        <f>IFERROR(__xludf.DUMMYFUNCTION("""COMPUTED_VALUE"""),"SALUD PUBLICA")</f>
        <v>SALUD PUBLICA</v>
      </c>
      <c r="D582" s="56" t="str">
        <f>IFERROR(__xludf.DUMMYFUNCTION("""COMPUTED_VALUE"""),"REUNIÓN ENCARGADA TBC (CENTRAL)")</f>
        <v>REUNIÓN ENCARGADA TBC (CENTRAL)</v>
      </c>
      <c r="E582" s="55">
        <f>IFERROR(__xludf.DUMMYFUNCTION("""COMPUTED_VALUE"""),0.425)</f>
        <v>0.425</v>
      </c>
      <c r="F582" s="56" t="str">
        <f>IFERROR(__xludf.DUMMYFUNCTION("""COMPUTED_VALUE"""),"SI")</f>
        <v>SI</v>
      </c>
    </row>
    <row r="583" ht="15.75" customHeight="1">
      <c r="A583" s="56" t="str">
        <f>IFERROR(__xludf.DUMMYFUNCTION("""COMPUTED_VALUE"""),"REU_213")</f>
        <v>REU_213</v>
      </c>
      <c r="B583" s="56" t="str">
        <f>IFERROR(__xludf.DUMMYFUNCTION("""COMPUTED_VALUE"""),"REUNION")</f>
        <v>REUNION</v>
      </c>
      <c r="C583" s="56" t="str">
        <f>IFERROR(__xludf.DUMMYFUNCTION("""COMPUTED_VALUE"""),"SALUD PUBLICA")</f>
        <v>SALUD PUBLICA</v>
      </c>
      <c r="D583" s="56" t="str">
        <f>IFERROR(__xludf.DUMMYFUNCTION("""COMPUTED_VALUE"""),"REUNIÓN ENCARGADA TBC (CENTRAL) (2 HRS - X4 )")</f>
        <v>REUNIÓN ENCARGADA TBC (CENTRAL) (2 HRS - X4 )</v>
      </c>
      <c r="E583" s="55">
        <f>IFERROR(__xludf.DUMMYFUNCTION("""COMPUTED_VALUE"""),0.3249999999970896)</f>
        <v>0.325</v>
      </c>
      <c r="F583" s="56" t="str">
        <f>IFERROR(__xludf.DUMMYFUNCTION("""COMPUTED_VALUE"""),"SI")</f>
        <v>SI</v>
      </c>
    </row>
    <row r="584" ht="15.75" customHeight="1">
      <c r="A584" s="56" t="str">
        <f>IFERROR(__xludf.DUMMYFUNCTION("""COMPUTED_VALUE"""),"REU_214")</f>
        <v>REU_214</v>
      </c>
      <c r="B584" s="56" t="str">
        <f>IFERROR(__xludf.DUMMYFUNCTION("""COMPUTED_VALUE"""),"REUNION")</f>
        <v>REUNION</v>
      </c>
      <c r="C584" s="56" t="str">
        <f>IFERROR(__xludf.DUMMYFUNCTION("""COMPUTED_VALUE"""),"SALUD PUBLICA")</f>
        <v>SALUD PUBLICA</v>
      </c>
      <c r="D584" s="56" t="str">
        <f>IFERROR(__xludf.DUMMYFUNCTION("""COMPUTED_VALUE"""),"REUNIÓN ENCARGADOS TBC")</f>
        <v>REUNIÓN ENCARGADOS TBC</v>
      </c>
      <c r="E584" s="55">
        <f>IFERROR(__xludf.DUMMYFUNCTION("""COMPUTED_VALUE"""),0.75)</f>
        <v>0.75</v>
      </c>
      <c r="F584" s="56" t="str">
        <f>IFERROR(__xludf.DUMMYFUNCTION("""COMPUTED_VALUE"""),"SI")</f>
        <v>SI</v>
      </c>
    </row>
    <row r="585" ht="15.75" customHeight="1">
      <c r="A585" s="56" t="str">
        <f>IFERROR(__xludf.DUMMYFUNCTION("""COMPUTED_VALUE"""),"REU_215")</f>
        <v>REU_215</v>
      </c>
      <c r="B585" s="56" t="str">
        <f>IFERROR(__xludf.DUMMYFUNCTION("""COMPUTED_VALUE"""),"REUNION")</f>
        <v>REUNION</v>
      </c>
      <c r="C585" s="56" t="str">
        <f>IFERROR(__xludf.DUMMYFUNCTION("""COMPUTED_VALUE"""),"SALUD PUBLICA")</f>
        <v>SALUD PUBLICA</v>
      </c>
      <c r="D585" s="56" t="str">
        <f>IFERROR(__xludf.DUMMYFUNCTION("""COMPUTED_VALUE"""),"REUNIÓN ENCARGADXS COMITE DE LACTANCIA (CENTRAL)")</f>
        <v>REUNIÓN ENCARGADXS COMITE DE LACTANCIA (CENTRAL)</v>
      </c>
      <c r="E585" s="55">
        <f>IFERROR(__xludf.DUMMYFUNCTION("""COMPUTED_VALUE"""),0.875)</f>
        <v>0.875</v>
      </c>
      <c r="F585" s="56" t="str">
        <f>IFERROR(__xludf.DUMMYFUNCTION("""COMPUTED_VALUE"""),"SI")</f>
        <v>SI</v>
      </c>
    </row>
    <row r="586" ht="15.75" customHeight="1">
      <c r="A586" s="56" t="str">
        <f>IFERROR(__xludf.DUMMYFUNCTION("""COMPUTED_VALUE"""),"REU_216")</f>
        <v>REU_216</v>
      </c>
      <c r="B586" s="56" t="str">
        <f>IFERROR(__xludf.DUMMYFUNCTION("""COMPUTED_VALUE"""),"REUNION")</f>
        <v>REUNION</v>
      </c>
      <c r="C586" s="56" t="str">
        <f>IFERROR(__xludf.DUMMYFUNCTION("""COMPUTED_VALUE"""),"SALUD PUBLICA")</f>
        <v>SALUD PUBLICA</v>
      </c>
      <c r="D586" s="56" t="str">
        <f>IFERROR(__xludf.DUMMYFUNCTION("""COMPUTED_VALUE"""),"REUNIÓN ENCARGADXS COMITE DE LACTANCIA (SSVSA)")</f>
        <v>REUNIÓN ENCARGADXS COMITE DE LACTANCIA (SSVSA)</v>
      </c>
      <c r="E586" s="55">
        <f>IFERROR(__xludf.DUMMYFUNCTION("""COMPUTED_VALUE"""),0.25000000000145517)</f>
        <v>0.25</v>
      </c>
      <c r="F586" s="56" t="str">
        <f>IFERROR(__xludf.DUMMYFUNCTION("""COMPUTED_VALUE"""),"SI")</f>
        <v>SI</v>
      </c>
    </row>
    <row r="587" ht="15.75" customHeight="1">
      <c r="A587" s="56" t="str">
        <f>IFERROR(__xludf.DUMMYFUNCTION("""COMPUTED_VALUE"""),"REU_217")</f>
        <v>REU_217</v>
      </c>
      <c r="B587" s="56" t="str">
        <f>IFERROR(__xludf.DUMMYFUNCTION("""COMPUTED_VALUE"""),"REUNION")</f>
        <v>REUNION</v>
      </c>
      <c r="C587" s="56" t="str">
        <f>IFERROR(__xludf.DUMMYFUNCTION("""COMPUTED_VALUE"""),"SALUD PUBLICA")</f>
        <v>SALUD PUBLICA</v>
      </c>
      <c r="D587" s="56" t="str">
        <f>IFERROR(__xludf.DUMMYFUNCTION("""COMPUTED_VALUE"""),"REUNIÓN ENCARGADXS VIGEP")</f>
        <v>REUNIÓN ENCARGADXS VIGEP</v>
      </c>
      <c r="E587" s="55">
        <f>IFERROR(__xludf.DUMMYFUNCTION("""COMPUTED_VALUE"""),0.5999999999912689)</f>
        <v>0.6</v>
      </c>
      <c r="F587" s="56" t="str">
        <f>IFERROR(__xludf.DUMMYFUNCTION("""COMPUTED_VALUE"""),"SI")</f>
        <v>SI</v>
      </c>
    </row>
    <row r="588" ht="15.75" customHeight="1">
      <c r="A588" s="56" t="str">
        <f>IFERROR(__xludf.DUMMYFUNCTION("""COMPUTED_VALUE"""),"REU_218")</f>
        <v>REU_218</v>
      </c>
      <c r="B588" s="56" t="str">
        <f>IFERROR(__xludf.DUMMYFUNCTION("""COMPUTED_VALUE"""),"REUNION")</f>
        <v>REUNION</v>
      </c>
      <c r="C588" s="56" t="str">
        <f>IFERROR(__xludf.DUMMYFUNCTION("""COMPUTED_VALUE"""),"SALUD PUBLICA")</f>
        <v>SALUD PUBLICA</v>
      </c>
      <c r="D588" s="56" t="str">
        <f>IFERROR(__xludf.DUMMYFUNCTION("""COMPUTED_VALUE"""),"REUNIÓN ENCARGADXS VIGEP (SEREMI)")</f>
        <v>REUNIÓN ENCARGADXS VIGEP (SEREMI)</v>
      </c>
      <c r="E588" s="55">
        <f>IFERROR(__xludf.DUMMYFUNCTION("""COMPUTED_VALUE"""),0.7249999999912689)</f>
        <v>0.725</v>
      </c>
      <c r="F588" s="56" t="str">
        <f>IFERROR(__xludf.DUMMYFUNCTION("""COMPUTED_VALUE"""),"SI")</f>
        <v>SI</v>
      </c>
    </row>
    <row r="589" ht="15.75" customHeight="1">
      <c r="A589" s="56" t="str">
        <f>IFERROR(__xludf.DUMMYFUNCTION("""COMPUTED_VALUE"""),"REU_219")</f>
        <v>REU_219</v>
      </c>
      <c r="B589" s="56" t="str">
        <f>IFERROR(__xludf.DUMMYFUNCTION("""COMPUTED_VALUE"""),"REUNION")</f>
        <v>REUNION</v>
      </c>
      <c r="C589" s="56" t="str">
        <f>IFERROR(__xludf.DUMMYFUNCTION("""COMPUTED_VALUE"""),"SALUD PUBLICA")</f>
        <v>SALUD PUBLICA</v>
      </c>
      <c r="D589" s="56" t="str">
        <f>IFERROR(__xludf.DUMMYFUNCTION("""COMPUTED_VALUE"""),"REUNIÓN ENCARGADXS VIGEP (SSVSA)")</f>
        <v>REUNIÓN ENCARGADXS VIGEP (SSVSA)</v>
      </c>
      <c r="E589" s="55">
        <f>IFERROR(__xludf.DUMMYFUNCTION("""COMPUTED_VALUE"""),0.7249999999912689)</f>
        <v>0.725</v>
      </c>
      <c r="F589" s="56" t="str">
        <f>IFERROR(__xludf.DUMMYFUNCTION("""COMPUTED_VALUE"""),"SI")</f>
        <v>SI</v>
      </c>
    </row>
    <row r="590" ht="15.75" customHeight="1">
      <c r="A590" s="56" t="str">
        <f>IFERROR(__xludf.DUMMYFUNCTION("""COMPUTED_VALUE"""),"REU_220")</f>
        <v>REU_220</v>
      </c>
      <c r="B590" s="56" t="str">
        <f>IFERROR(__xludf.DUMMYFUNCTION("""COMPUTED_VALUE"""),"REUNION")</f>
        <v>REUNION</v>
      </c>
      <c r="C590" s="56" t="str">
        <f>IFERROR(__xludf.DUMMYFUNCTION("""COMPUTED_VALUE"""),"SALUD PUBLICA")</f>
        <v>SALUD PUBLICA</v>
      </c>
      <c r="D590" s="56" t="str">
        <f>IFERROR(__xludf.DUMMYFUNCTION("""COMPUTED_VALUE"""),"REUNIÓN PNI")</f>
        <v>REUNIÓN PNI</v>
      </c>
      <c r="E590" s="55">
        <f>IFERROR(__xludf.DUMMYFUNCTION("""COMPUTED_VALUE"""),0.30000000000873117)</f>
        <v>0.3</v>
      </c>
      <c r="F590" s="56" t="str">
        <f>IFERROR(__xludf.DUMMYFUNCTION("""COMPUTED_VALUE"""),"SI")</f>
        <v>SI</v>
      </c>
    </row>
    <row r="591" ht="15.75" customHeight="1">
      <c r="A591" s="56" t="str">
        <f>IFERROR(__xludf.DUMMYFUNCTION("""COMPUTED_VALUE"""),"REU_221")</f>
        <v>REU_221</v>
      </c>
      <c r="B591" s="56" t="str">
        <f>IFERROR(__xludf.DUMMYFUNCTION("""COMPUTED_VALUE"""),"REUNION")</f>
        <v>REUNION</v>
      </c>
      <c r="C591" s="56" t="str">
        <f>IFERROR(__xludf.DUMMYFUNCTION("""COMPUTED_VALUE"""),"SALUD PUBLICA")</f>
        <v>SALUD PUBLICA</v>
      </c>
      <c r="D591" s="56" t="str">
        <f>IFERROR(__xludf.DUMMYFUNCTION("""COMPUTED_VALUE"""),"REUNIÓN PNI (CENTRAL)")</f>
        <v>REUNIÓN PNI (CENTRAL)</v>
      </c>
      <c r="E591" s="55">
        <f>IFERROR(__xludf.DUMMYFUNCTION("""COMPUTED_VALUE"""),1.025)</f>
        <v>1.025</v>
      </c>
      <c r="F591" s="56" t="str">
        <f>IFERROR(__xludf.DUMMYFUNCTION("""COMPUTED_VALUE"""),"SI")</f>
        <v>SI</v>
      </c>
    </row>
    <row r="592" ht="15.75" customHeight="1">
      <c r="A592" s="56" t="str">
        <f>IFERROR(__xludf.DUMMYFUNCTION("""COMPUTED_VALUE"""),"REU_222")</f>
        <v>REU_222</v>
      </c>
      <c r="B592" s="56" t="str">
        <f>IFERROR(__xludf.DUMMYFUNCTION("""COMPUTED_VALUE"""),"REUNION")</f>
        <v>REUNION</v>
      </c>
      <c r="C592" s="56" t="str">
        <f>IFERROR(__xludf.DUMMYFUNCTION("""COMPUTED_VALUE"""),"SALUD PUBLICA")</f>
        <v>SALUD PUBLICA</v>
      </c>
      <c r="D592" s="56" t="str">
        <f>IFERROR(__xludf.DUMMYFUNCTION("""COMPUTED_VALUE"""),"REUNIÓN PNI (SSVSA)")</f>
        <v>REUNIÓN PNI (SSVSA)</v>
      </c>
      <c r="E592" s="55">
        <f>IFERROR(__xludf.DUMMYFUNCTION("""COMPUTED_VALUE"""),0.575)</f>
        <v>0.575</v>
      </c>
      <c r="F592" s="56" t="str">
        <f>IFERROR(__xludf.DUMMYFUNCTION("""COMPUTED_VALUE"""),"SI")</f>
        <v>SI</v>
      </c>
    </row>
    <row r="593" ht="15.75" customHeight="1">
      <c r="A593" s="56" t="str">
        <f>IFERROR(__xludf.DUMMYFUNCTION("""COMPUTED_VALUE"""),"REU_223")</f>
        <v>REU_223</v>
      </c>
      <c r="B593" s="56" t="str">
        <f>IFERROR(__xludf.DUMMYFUNCTION("""COMPUTED_VALUE"""),"REUNION")</f>
        <v>REUNION</v>
      </c>
      <c r="C593" s="56" t="str">
        <f>IFERROR(__xludf.DUMMYFUNCTION("""COMPUTED_VALUE"""),"SALUD PUBLICA")</f>
        <v>SALUD PUBLICA</v>
      </c>
      <c r="D593" s="56" t="str">
        <f>IFERROR(__xludf.DUMMYFUNCTION("""COMPUTED_VALUE"""),"REUNIÓN PROCET ( 2 HRS - X 2)")</f>
        <v>REUNIÓN PROCET ( 2 HRS - X 2)</v>
      </c>
      <c r="E593" s="55">
        <f>IFERROR(__xludf.DUMMYFUNCTION("""COMPUTED_VALUE"""),0.2249999999985448)</f>
        <v>0.225</v>
      </c>
      <c r="F593" s="56" t="str">
        <f>IFERROR(__xludf.DUMMYFUNCTION("""COMPUTED_VALUE"""),"SI")</f>
        <v>SI</v>
      </c>
    </row>
    <row r="594" ht="15.75" customHeight="1">
      <c r="A594" s="56" t="str">
        <f>IFERROR(__xludf.DUMMYFUNCTION("""COMPUTED_VALUE"""),"REU_224")</f>
        <v>REU_224</v>
      </c>
      <c r="B594" s="56" t="str">
        <f>IFERROR(__xludf.DUMMYFUNCTION("""COMPUTED_VALUE"""),"REUNION")</f>
        <v>REUNION</v>
      </c>
      <c r="C594" s="56" t="str">
        <f>IFERROR(__xludf.DUMMYFUNCTION("""COMPUTED_VALUE"""),"SALUD PUBLICA")</f>
        <v>SALUD PUBLICA</v>
      </c>
      <c r="D594" s="56" t="str">
        <f>IFERROR(__xludf.DUMMYFUNCTION("""COMPUTED_VALUE"""),"REUNIÓN TBC")</f>
        <v>REUNIÓN TBC</v>
      </c>
      <c r="E594" s="55">
        <f>IFERROR(__xludf.DUMMYFUNCTION("""COMPUTED_VALUE"""),0.14999999999126884)</f>
        <v>0.15</v>
      </c>
      <c r="F594" s="56" t="str">
        <f>IFERROR(__xludf.DUMMYFUNCTION("""COMPUTED_VALUE"""),"SI")</f>
        <v>SI</v>
      </c>
    </row>
    <row r="595" ht="15.75" customHeight="1">
      <c r="A595" s="56" t="str">
        <f>IFERROR(__xludf.DUMMYFUNCTION("""COMPUTED_VALUE"""),"REU_225")</f>
        <v>REU_225</v>
      </c>
      <c r="B595" s="56" t="str">
        <f>IFERROR(__xludf.DUMMYFUNCTION("""COMPUTED_VALUE"""),"REUNION")</f>
        <v>REUNION</v>
      </c>
      <c r="C595" s="56" t="str">
        <f>IFERROR(__xludf.DUMMYFUNCTION("""COMPUTED_VALUE"""),"SALUD PUBLICA")</f>
        <v>SALUD PUBLICA</v>
      </c>
      <c r="D595" s="56" t="str">
        <f>IFERROR(__xludf.DUMMYFUNCTION("""COMPUTED_VALUE"""),"REUNIÓN TBC (1,5 HRS - X 12)")</f>
        <v>REUNIÓN TBC (1,5 HRS - X 12)</v>
      </c>
      <c r="E595" s="55">
        <f>IFERROR(__xludf.DUMMYFUNCTION("""COMPUTED_VALUE"""),0.45)</f>
        <v>0.45</v>
      </c>
      <c r="F595" s="56" t="str">
        <f>IFERROR(__xludf.DUMMYFUNCTION("""COMPUTED_VALUE"""),"SI")</f>
        <v>SI</v>
      </c>
    </row>
    <row r="596" ht="15.75" customHeight="1">
      <c r="A596" s="56" t="str">
        <f>IFERROR(__xludf.DUMMYFUNCTION("""COMPUTED_VALUE"""),"REU_226")</f>
        <v>REU_226</v>
      </c>
      <c r="B596" s="56" t="str">
        <f>IFERROR(__xludf.DUMMYFUNCTION("""COMPUTED_VALUE"""),"REUNION")</f>
        <v>REUNION</v>
      </c>
      <c r="C596" s="56" t="str">
        <f>IFERROR(__xludf.DUMMYFUNCTION("""COMPUTED_VALUE"""),"SALUD PUBLICA")</f>
        <v>SALUD PUBLICA</v>
      </c>
      <c r="D596" s="56" t="str">
        <f>IFERROR(__xludf.DUMMYFUNCTION("""COMPUTED_VALUE"""),"SIGGES (SSVSA)")</f>
        <v>SIGGES (SSVSA)</v>
      </c>
      <c r="E596" s="55">
        <f>IFERROR(__xludf.DUMMYFUNCTION("""COMPUTED_VALUE"""),0.35)</f>
        <v>0.35</v>
      </c>
      <c r="F596" s="56" t="str">
        <f>IFERROR(__xludf.DUMMYFUNCTION("""COMPUTED_VALUE"""),"SI")</f>
        <v>SI</v>
      </c>
    </row>
    <row r="597" ht="15.75" customHeight="1">
      <c r="A597" s="56" t="str">
        <f>IFERROR(__xludf.DUMMYFUNCTION("""COMPUTED_VALUE"""),"REU_227")</f>
        <v>REU_227</v>
      </c>
      <c r="B597" s="56" t="str">
        <f>IFERROR(__xludf.DUMMYFUNCTION("""COMPUTED_VALUE"""),"REUNION")</f>
        <v>REUNION</v>
      </c>
      <c r="C597" s="56" t="str">
        <f>IFERROR(__xludf.DUMMYFUNCTION("""COMPUTED_VALUE"""),"TECNICO - ADMNISTRATIVO")</f>
        <v>TECNICO - ADMNISTRATIVO</v>
      </c>
      <c r="D597" s="56" t="str">
        <f>IFERROR(__xludf.DUMMYFUNCTION("""COMPUTED_VALUE"""),"REUNIÓN COMITE SATISFACCION USUARIA (1,5HR - X 12)")</f>
        <v>REUNIÓN COMITE SATISFACCION USUARIA (1,5HR - X 12)</v>
      </c>
      <c r="E597" s="55">
        <f>IFERROR(__xludf.DUMMYFUNCTION("""COMPUTED_VALUE"""),4.05)</f>
        <v>4.05</v>
      </c>
      <c r="F597" s="56" t="str">
        <f>IFERROR(__xludf.DUMMYFUNCTION("""COMPUTED_VALUE"""),"SI")</f>
        <v>SI</v>
      </c>
    </row>
    <row r="598" ht="15.75" customHeight="1">
      <c r="A598" s="56" t="str">
        <f>IFERROR(__xludf.DUMMYFUNCTION("""COMPUTED_VALUE"""),"REU_229")</f>
        <v>REU_229</v>
      </c>
      <c r="B598" s="56" t="str">
        <f>IFERROR(__xludf.DUMMYFUNCTION("""COMPUTED_VALUE"""),"REUNION")</f>
        <v>REUNION</v>
      </c>
      <c r="C598" s="56" t="str">
        <f>IFERROR(__xludf.DUMMYFUNCTION("""COMPUTED_VALUE"""),"TECNICO - ADMNISTRATIVO")</f>
        <v>TECNICO - ADMNISTRATIVO</v>
      </c>
      <c r="D598" s="56" t="str">
        <f>IFERROR(__xludf.DUMMYFUNCTION("""COMPUTED_VALUE"""),"REUNIÓN DEL COMITE EMERGENCIA")</f>
        <v>REUNIÓN DEL COMITE EMERGENCIA</v>
      </c>
      <c r="E598" s="55">
        <f>IFERROR(__xludf.DUMMYFUNCTION("""COMPUTED_VALUE"""),0.5999999999912689)</f>
        <v>0.6</v>
      </c>
      <c r="F598" s="56" t="str">
        <f>IFERROR(__xludf.DUMMYFUNCTION("""COMPUTED_VALUE"""),"SI")</f>
        <v>SI</v>
      </c>
    </row>
    <row r="599" ht="15.75" customHeight="1">
      <c r="A599" s="56" t="str">
        <f>IFERROR(__xludf.DUMMYFUNCTION("""COMPUTED_VALUE"""),"REU_230")</f>
        <v>REU_230</v>
      </c>
      <c r="B599" s="56" t="str">
        <f>IFERROR(__xludf.DUMMYFUNCTION("""COMPUTED_VALUE"""),"REUNION")</f>
        <v>REUNION</v>
      </c>
      <c r="C599" s="56" t="str">
        <f>IFERROR(__xludf.DUMMYFUNCTION("""COMPUTED_VALUE"""),"TECNICO - ADMNISTRATIVO")</f>
        <v>TECNICO - ADMNISTRATIVO</v>
      </c>
      <c r="D599" s="56" t="str">
        <f>IFERROR(__xludf.DUMMYFUNCTION("""COMPUTED_VALUE"""),"REUNIÓN DEL COMITE EMERGENCIA (1HR - X 12)")</f>
        <v>REUNIÓN DEL COMITE EMERGENCIA (1HR - X 12)</v>
      </c>
      <c r="E599" s="55">
        <f>IFERROR(__xludf.DUMMYFUNCTION("""COMPUTED_VALUE"""),0.30000000000873117)</f>
        <v>0.3</v>
      </c>
      <c r="F599" s="56" t="str">
        <f>IFERROR(__xludf.DUMMYFUNCTION("""COMPUTED_VALUE"""),"SI")</f>
        <v>SI</v>
      </c>
    </row>
    <row r="600" ht="15.75" customHeight="1">
      <c r="A600" s="56" t="str">
        <f>IFERROR(__xludf.DUMMYFUNCTION("""COMPUTED_VALUE"""),"REU_228")</f>
        <v>REU_228</v>
      </c>
      <c r="B600" s="56" t="str">
        <f>IFERROR(__xludf.DUMMYFUNCTION("""COMPUTED_VALUE"""),"REUNION")</f>
        <v>REUNION</v>
      </c>
      <c r="C600" s="56" t="str">
        <f>IFERROR(__xludf.DUMMYFUNCTION("""COMPUTED_VALUE"""),"TECNICO - ADMNISTRATIVO")</f>
        <v>TECNICO - ADMNISTRATIVO</v>
      </c>
      <c r="D600" s="56" t="str">
        <f>IFERROR(__xludf.DUMMYFUNCTION("""COMPUTED_VALUE"""),"REUNIÓN DEL COMITÉ DE FARMACIA (CENTRAL)")</f>
        <v>REUNIÓN DEL COMITÉ DE FARMACIA (CENTRAL)</v>
      </c>
      <c r="E600" s="55">
        <f>IFERROR(__xludf.DUMMYFUNCTION("""COMPUTED_VALUE"""),0.624999999992724)</f>
        <v>0.625</v>
      </c>
      <c r="F600" s="56" t="str">
        <f>IFERROR(__xludf.DUMMYFUNCTION("""COMPUTED_VALUE"""),"SI")</f>
        <v>SI</v>
      </c>
    </row>
    <row r="601" ht="15.75" customHeight="1">
      <c r="A601" s="56" t="str">
        <f>IFERROR(__xludf.DUMMYFUNCTION("""COMPUTED_VALUE"""),"REU_231")</f>
        <v>REU_231</v>
      </c>
      <c r="B601" s="56" t="str">
        <f>IFERROR(__xludf.DUMMYFUNCTION("""COMPUTED_VALUE"""),"REUNION")</f>
        <v>REUNION</v>
      </c>
      <c r="C601" s="56" t="str">
        <f>IFERROR(__xludf.DUMMYFUNCTION("""COMPUTED_VALUE"""),"TECNICO - ADMNISTRATIVO")</f>
        <v>TECNICO - ADMNISTRATIVO</v>
      </c>
      <c r="D601" s="56" t="str">
        <f>IFERROR(__xludf.DUMMYFUNCTION("""COMPUTED_VALUE"""),"REUNIÓN ENCARGADXS DE SOME (CENTRAL)")</f>
        <v>REUNIÓN ENCARGADXS DE SOME (CENTRAL)</v>
      </c>
      <c r="E601" s="55">
        <f>IFERROR(__xludf.DUMMYFUNCTION("""COMPUTED_VALUE"""),0.875)</f>
        <v>0.875</v>
      </c>
      <c r="F601" s="56" t="str">
        <f>IFERROR(__xludf.DUMMYFUNCTION("""COMPUTED_VALUE"""),"SI")</f>
        <v>SI</v>
      </c>
    </row>
    <row r="602" ht="15.75" customHeight="1">
      <c r="A602" s="56" t="str">
        <f>IFERROR(__xludf.DUMMYFUNCTION("""COMPUTED_VALUE"""),"REU_232")</f>
        <v>REU_232</v>
      </c>
      <c r="B602" s="56" t="str">
        <f>IFERROR(__xludf.DUMMYFUNCTION("""COMPUTED_VALUE"""),"REUNION")</f>
        <v>REUNION</v>
      </c>
      <c r="C602" s="56" t="str">
        <f>IFERROR(__xludf.DUMMYFUNCTION("""COMPUTED_VALUE"""),"TECNICO - ADMNISTRATIVO")</f>
        <v>TECNICO - ADMNISTRATIVO</v>
      </c>
      <c r="D602" s="56" t="str">
        <f>IFERROR(__xludf.DUMMYFUNCTION("""COMPUTED_VALUE"""),"REUNIÓN JUNTA CALIFICADORA (4HR - X 12)")</f>
        <v>REUNIÓN JUNTA CALIFICADORA (4HR - X 12)</v>
      </c>
      <c r="E602" s="55">
        <f>IFERROR(__xludf.DUMMYFUNCTION("""COMPUTED_VALUE"""),1.2000000000087312)</f>
        <v>1.2</v>
      </c>
      <c r="F602" s="56" t="str">
        <f>IFERROR(__xludf.DUMMYFUNCTION("""COMPUTED_VALUE"""),"SI")</f>
        <v>SI</v>
      </c>
    </row>
    <row r="603" ht="15.75" customHeight="1">
      <c r="A603" s="56" t="str">
        <f>IFERROR(__xludf.DUMMYFUNCTION("""COMPUTED_VALUE"""),"REU_233")</f>
        <v>REU_233</v>
      </c>
      <c r="B603" s="56" t="str">
        <f>IFERROR(__xludf.DUMMYFUNCTION("""COMPUTED_VALUE"""),"REUNION")</f>
        <v>REUNION</v>
      </c>
      <c r="C603" s="56" t="str">
        <f>IFERROR(__xludf.DUMMYFUNCTION("""COMPUTED_VALUE"""),"TECNICO - ADMNISTRATIVO")</f>
        <v>TECNICO - ADMNISTRATIVO</v>
      </c>
      <c r="D603" s="56" t="str">
        <f>IFERROR(__xludf.DUMMYFUNCTION("""COMPUTED_VALUE"""),"REUNIÓN SUPERVISORES ENFERMERIA (CENTRAL)")</f>
        <v>REUNIÓN SUPERVISORES ENFERMERIA (CENTRAL)</v>
      </c>
      <c r="E603" s="55">
        <f>IFERROR(__xludf.DUMMYFUNCTION("""COMPUTED_VALUE"""),0.8749999999956344)</f>
        <v>0.875</v>
      </c>
      <c r="F603" s="56" t="str">
        <f>IFERROR(__xludf.DUMMYFUNCTION("""COMPUTED_VALUE"""),"SI")</f>
        <v>SI</v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3:A1000">
    <cfRule type="containsText" dxfId="7" priority="1" operator="containsText" text="GESTION">
      <formula>NOT(ISERROR(SEARCH(("GESTION"),(A3))))</formula>
    </cfRule>
  </conditionalFormatting>
  <conditionalFormatting sqref="A3:A1000">
    <cfRule type="containsText" dxfId="8" priority="2" operator="containsText" text="DERECHO FUNCIONARIO">
      <formula>NOT(ISERROR(SEARCH(("DERECHO FUNCIONARIO"),(A3))))</formula>
    </cfRule>
  </conditionalFormatting>
  <conditionalFormatting sqref="A2:G1000">
    <cfRule type="expression" dxfId="9" priority="3">
      <formula>COUNTIF($G$2:$G2713,G2)&gt;1</formula>
    </cfRule>
  </conditionalFormatting>
  <conditionalFormatting sqref="D1">
    <cfRule type="containsText" dxfId="10" priority="4" operator="containsText" text="SALUDABLE">
      <formula>NOT(ISERROR(SEARCH(("SALUDABLE"),(D1))))</formula>
    </cfRule>
  </conditionalFormatting>
  <conditionalFormatting sqref="D1">
    <cfRule type="containsText" dxfId="10" priority="5" operator="containsText" text="AUTOCUIDADO">
      <formula>NOT(ISERROR(SEARCH(("AUTOCUIDADO"),(D1))))</formula>
    </cfRule>
  </conditionalFormatting>
  <conditionalFormatting sqref="D1">
    <cfRule type="containsText" dxfId="10" priority="6" operator="containsText" text="COLACION">
      <formula>NOT(ISERROR(SEARCH(("COLACION"),(D1))))</formula>
    </cfRule>
  </conditionalFormatting>
  <conditionalFormatting sqref="D1">
    <cfRule type="containsText" dxfId="10" priority="7" operator="containsText" text="CONSEJO">
      <formula>NOT(ISERROR(SEARCH(("CONSEJO"),(D1))))</formula>
    </cfRule>
  </conditionalFormatting>
  <conditionalFormatting sqref="D1">
    <cfRule type="containsText" dxfId="10" priority="8" operator="containsText" text="SECTOR">
      <formula>NOT(ISERROR(SEARCH(("SECTOR"),(D1))))</formula>
    </cfRule>
  </conditionalFormatting>
  <conditionalFormatting sqref="D1">
    <cfRule type="containsText" dxfId="10" priority="9" operator="containsText" text="SECTOR">
      <formula>NOT(ISERROR(SEARCH(("SECTOR"),(D1))))</formula>
    </cfRule>
  </conditionalFormatting>
  <conditionalFormatting sqref="D1">
    <cfRule type="containsText" dxfId="11" priority="10" operator="containsText" text="(CENTRAL)">
      <formula>NOT(ISERROR(SEARCH(("(CENTRAL)"),(D1))))</formula>
    </cfRule>
  </conditionalFormatting>
  <conditionalFormatting sqref="A2 B3:B1000">
    <cfRule type="containsText" dxfId="12" priority="11" operator="containsText" text="REUNION">
      <formula>NOT(ISERROR(SEARCH(("REUNION"),(A2))))</formula>
    </cfRule>
  </conditionalFormatting>
  <conditionalFormatting sqref="A3:A1000">
    <cfRule type="containsText" dxfId="13" priority="12" operator="containsText" text="REUNION">
      <formula>NOT(ISERROR(SEARCH(("REUNION"),(A3))))</formula>
    </cfRule>
  </conditionalFormatting>
  <conditionalFormatting sqref="C2:C1000 E3:E1000">
    <cfRule type="containsText" dxfId="14" priority="13" operator="containsText" text="CENTRAL">
      <formula>NOT(ISERROR(SEARCH(("CENTRAL"),(C2))))</formula>
    </cfRule>
  </conditionalFormatting>
  <conditionalFormatting sqref="D1:D1000">
    <cfRule type="expression" dxfId="6" priority="14">
      <formula>COUNTIF($D$1:D2713,D1)&gt;1</formula>
    </cfRule>
  </conditionalFormatting>
  <drawing r:id="rId1"/>
</worksheet>
</file>