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DICE_HOJAS" sheetId="1" r:id="rId5"/>
    <sheet state="visible" name="RESUMEN_HNCxTIPO" sheetId="2" r:id="rId6"/>
    <sheet state="visible" name="RESUMEN_HNCxTIPO_porcent" sheetId="3" r:id="rId7"/>
    <sheet state="visible" name="HNCxTIPO" sheetId="4" r:id="rId8"/>
    <sheet state="visible" name="CALEND_REUNIONxPROF" sheetId="5" r:id="rId9"/>
    <sheet state="visible" name="CALENDARIO_REUNIONES" sheetId="6" r:id="rId10"/>
    <sheet state="visible" name="BORRAR_REPETIDOS" sheetId="7" r:id="rId11"/>
    <sheet state="visible" name="BORRAR_NO _VIGENTE" sheetId="8" r:id="rId12"/>
    <sheet state="visible" name="Horas_FUNC" sheetId="9" r:id="rId13"/>
    <sheet state="visible" name="FUNC" sheetId="10" r:id="rId14"/>
    <sheet state="visible" name="CONSO_ENCUESTAS" sheetId="11" r:id="rId15"/>
    <sheet state="visible" name="ENCUESTA_GESTION" sheetId="12" r:id="rId16"/>
    <sheet state="visible" name="ENCUESTA_REU" sheetId="13" r:id="rId17"/>
    <sheet state="visible" name="ENCUESTA_DER" sheetId="14" r:id="rId18"/>
    <sheet state="visible" name="BD" sheetId="15" r:id="rId19"/>
    <sheet state="visible" name="BD_GESTION_GRAL" sheetId="16" r:id="rId20"/>
    <sheet state="visible" name="FUNC_AZ" sheetId="17" r:id="rId21"/>
    <sheet state="visible" name="GRAF_HRSFUN" sheetId="18" r:id="rId22"/>
    <sheet state="visible" name="HORAS_RESUMEN" sheetId="19" r:id="rId23"/>
    <sheet state="visible" name="HCNversusHC" sheetId="20" r:id="rId24"/>
    <sheet state="visible" name="REF" sheetId="21" r:id="rId25"/>
  </sheets>
  <definedNames>
    <definedName hidden="1" localSheetId="0" name="_xlnm._FilterDatabase">INDICE_HOJAS!$B$1:$C$28</definedName>
    <definedName hidden="1" localSheetId="5" name="_xlnm._FilterDatabase">CALENDARIO_REUNIONES!$A$6:$N$65</definedName>
    <definedName hidden="1" localSheetId="8" name="_xlnm._FilterDatabase">Horas_FUNC!$A$6:$U$51</definedName>
    <definedName hidden="1" localSheetId="9" name="_xlnm._FilterDatabase">FUNC!$A$1:$M$1</definedName>
    <definedName hidden="1" localSheetId="11" name="_xlnm._FilterDatabase">ENCUESTA_GESTION!$A$2:$J$235</definedName>
    <definedName hidden="1" localSheetId="12" name="_xlnm._FilterDatabase">ENCUESTA_REU!$A$2:$K$8</definedName>
    <definedName hidden="1" localSheetId="20" name="_xlnm._FilterDatabase">REF!$M$1:$N$59</definedName>
    <definedName hidden="1" localSheetId="10" name="Z_CA8058A5_E5A9_4307_A0D8_DC9C33FDA8DC_.wvu.FilterData">CONSO_ENCUESTAS!$A$4:$H$547</definedName>
    <definedName hidden="1" localSheetId="15" name="Z_CA8058A5_E5A9_4307_A0D8_DC9C33FDA8DC_.wvu.FilterData">BD_GESTION_GRAL!$A$4:$F$80</definedName>
  </definedNames>
  <calcPr/>
  <customWorkbookViews>
    <customWorkbookView activeSheetId="0" maximized="1" windowHeight="0" windowWidth="0" guid="{CA8058A5-E5A9-4307-A0D8-DC9C33FDA8DC}" name="Filtro 1"/>
  </customWorkbookViews>
</workbook>
</file>

<file path=xl/sharedStrings.xml><?xml version="1.0" encoding="utf-8"?>
<sst xmlns="http://schemas.openxmlformats.org/spreadsheetml/2006/main" count="1991" uniqueCount="622">
  <si>
    <t>HOJAS</t>
  </si>
  <si>
    <t>RESUMEN_HNCxTIPO_porcent</t>
  </si>
  <si>
    <t>HNCxTIPO</t>
  </si>
  <si>
    <t>CALEND_REUNIONxPROF</t>
  </si>
  <si>
    <t>CALENDARIO_REUNIONES</t>
  </si>
  <si>
    <t>BORRAR_REPETIDOS</t>
  </si>
  <si>
    <t>BORRAR_NO _VIGENTE</t>
  </si>
  <si>
    <t>Horas_FUNC</t>
  </si>
  <si>
    <t>FUNC</t>
  </si>
  <si>
    <t>CONSO_ENCUESTAS</t>
  </si>
  <si>
    <t>ENCUESTA_GESTION</t>
  </si>
  <si>
    <t>ENCUESTA_REU</t>
  </si>
  <si>
    <t>ENCUESTA_DER</t>
  </si>
  <si>
    <t>BD</t>
  </si>
  <si>
    <t>BD_GESTION_GRAL</t>
  </si>
  <si>
    <t>FUNC_AZ</t>
  </si>
  <si>
    <t>GRAF_HRSFUN</t>
  </si>
  <si>
    <t>HORAS_RESUMEN</t>
  </si>
  <si>
    <t>HCNversusHC</t>
  </si>
  <si>
    <t>REF</t>
  </si>
  <si>
    <t>GESTION</t>
  </si>
  <si>
    <t>REUNION</t>
  </si>
  <si>
    <t>DERECHO
FUNCIONARIO</t>
  </si>
  <si>
    <t>HORAS CLINICAS</t>
  </si>
  <si>
    <t>DERECHO FUNCIONARIO</t>
  </si>
  <si>
    <t>Nro HNC obtenida de BD_ENCUESTAS =</t>
  </si>
  <si>
    <t>Nro HNC obtenida de HNCxTIPO =</t>
  </si>
  <si>
    <t>TOTAL HNC</t>
  </si>
  <si>
    <t>CALENDARIO REUNIONES POR PROFESIONAL</t>
  </si>
  <si>
    <t>SEMANA:</t>
  </si>
  <si>
    <t>1</t>
  </si>
  <si>
    <t xml:space="preserve"> PROFESIONAL:</t>
  </si>
  <si>
    <t>JUAN PABLO  ACEITUNO  JARA</t>
  </si>
  <si>
    <t>CALEND</t>
  </si>
  <si>
    <t>SEM</t>
  </si>
  <si>
    <t>DIA</t>
  </si>
  <si>
    <t>DESDE</t>
  </si>
  <si>
    <t>HASTA</t>
  </si>
  <si>
    <t>FREC
(nro veces año)</t>
  </si>
  <si>
    <t>TIEMPO reunion</t>
  </si>
  <si>
    <t>CELENDARIO SEMANAL DE REUNIONES</t>
  </si>
  <si>
    <t>DIA:</t>
  </si>
  <si>
    <t>TODOS</t>
  </si>
  <si>
    <t>Todas</t>
  </si>
  <si>
    <t>CALENDARIO</t>
  </si>
  <si>
    <t>LUNES</t>
  </si>
  <si>
    <t>MARTES</t>
  </si>
  <si>
    <t>MIÉRCOLES</t>
  </si>
  <si>
    <t>JUEVES</t>
  </si>
  <si>
    <t>VIERNES</t>
  </si>
  <si>
    <t>1, Lu</t>
  </si>
  <si>
    <t>2,Ma</t>
  </si>
  <si>
    <t>3,Mi</t>
  </si>
  <si>
    <t>4,Ju</t>
  </si>
  <si>
    <t>5,Vi</t>
  </si>
  <si>
    <t>DOTACION FUNCIONARIOS</t>
  </si>
  <si>
    <t>FUNCIONARIO</t>
  </si>
  <si>
    <t>sum sum HORAS</t>
  </si>
  <si>
    <t>sum DIAS PERMISO ADMINISTRATIVO</t>
  </si>
  <si>
    <t>sum DIAS FERIADO LEGAL</t>
  </si>
  <si>
    <t>sum DIAS CAPACITACION</t>
  </si>
  <si>
    <t>sum TOTAL DIAS AUSENCIA JUSTIF (año)</t>
  </si>
  <si>
    <t>sum TOTAL DIAS DISPONIBLES (año)</t>
  </si>
  <si>
    <t>sum TOTAL SEMANAS DISPONIBLES (año)</t>
  </si>
  <si>
    <t>sum TOTAL HORAS DISPONIBLES (año)</t>
  </si>
  <si>
    <t>GESTIÓN</t>
  </si>
  <si>
    <t>HORAS NO CLINICAS (semana)</t>
  </si>
  <si>
    <t>HORAS CLINICAS (semana)</t>
  </si>
  <si>
    <t>HORAS NO CLINICAS (año)</t>
  </si>
  <si>
    <t>HORAS CLINICAS (año)</t>
  </si>
  <si>
    <t>%HNC(año)</t>
  </si>
  <si>
    <t>%HC(año)</t>
  </si>
  <si>
    <t>ID</t>
  </si>
  <si>
    <t>CATEG</t>
  </si>
  <si>
    <t>CARGO</t>
  </si>
  <si>
    <t>JORNADA</t>
  </si>
  <si>
    <t>DIAS PERMISO ADMINISTRATIVO</t>
  </si>
  <si>
    <t>DIAS FERIADO LEGAL</t>
  </si>
  <si>
    <t>DIAS CAPACITACION</t>
  </si>
  <si>
    <t>TOTAL DIAS AUSENCIA JUSTIF (año)</t>
  </si>
  <si>
    <t>TOTAL DIAS DISPONIBLES (año)</t>
  </si>
  <si>
    <t>TOTAL SEMANAS DISPONIBLES (año)</t>
  </si>
  <si>
    <t>TOTAL HORAS DISPONIBLES (año)</t>
  </si>
  <si>
    <t>4fc6eca1</t>
  </si>
  <si>
    <t>CAT_A</t>
  </si>
  <si>
    <t>MEDICO CIRUJANO</t>
  </si>
  <si>
    <t>GERARDO VALENCIA BERMUDEZ</t>
  </si>
  <si>
    <t>2452c8c9</t>
  </si>
  <si>
    <t>CONSTANZA PALMA MONTERO</t>
  </si>
  <si>
    <t>05916fd5</t>
  </si>
  <si>
    <t>CIRUJANO DENTISTA</t>
  </si>
  <si>
    <t>EDGAR CARVAJAL TORRES</t>
  </si>
  <si>
    <t>09feb827</t>
  </si>
  <si>
    <t>CAT_B</t>
  </si>
  <si>
    <t>MATRON/A</t>
  </si>
  <si>
    <t>SORAYA CRUCES DIAZ</t>
  </si>
  <si>
    <t>f4193eb5</t>
  </si>
  <si>
    <t>ENFERMERA(O)</t>
  </si>
  <si>
    <t>FANNY QUINTANILLA CORDERO</t>
  </si>
  <si>
    <t>c0b4e918</t>
  </si>
  <si>
    <t>KINESIOLOGA/O</t>
  </si>
  <si>
    <t>ALEJANDRO REYES MURILLO</t>
  </si>
  <si>
    <t>7cc396af</t>
  </si>
  <si>
    <t>JAIME REYES TORO</t>
  </si>
  <si>
    <t>497c509a</t>
  </si>
  <si>
    <t>CAT_C</t>
  </si>
  <si>
    <t>PODOLOGA</t>
  </si>
  <si>
    <t>KARINA MONTANARES</t>
  </si>
  <si>
    <t>e37b5907</t>
  </si>
  <si>
    <t>TENS</t>
  </si>
  <si>
    <t>DANIELA ROJAS GAMBOA</t>
  </si>
  <si>
    <t>79877ab7</t>
  </si>
  <si>
    <t>LUIS GONZALEZ SEPULVEDA</t>
  </si>
  <si>
    <t>4422bbcf</t>
  </si>
  <si>
    <t>TRABAJADOR/A SOCIAL</t>
  </si>
  <si>
    <t>MARCELA JAQUE LIZAMA</t>
  </si>
  <si>
    <t>a9be3f15</t>
  </si>
  <si>
    <t>PSICOLOGA/O</t>
  </si>
  <si>
    <t>CLAUDIO PINTO VILLALOBOS</t>
  </si>
  <si>
    <t>7a9f50d4</t>
  </si>
  <si>
    <t>ELIZABETH ZARATE ROJAS</t>
  </si>
  <si>
    <t>e094f6f3</t>
  </si>
  <si>
    <t>TONS</t>
  </si>
  <si>
    <t>ANGELA ZUÑIGA MUGA</t>
  </si>
  <si>
    <t>0b5d940b</t>
  </si>
  <si>
    <t>TENS FARMACIA</t>
  </si>
  <si>
    <t>VALERIA NUÑEZ QUINCHEL</t>
  </si>
  <si>
    <t>d395a510</t>
  </si>
  <si>
    <t>GESTOR COMUNITARIO</t>
  </si>
  <si>
    <t>VANESSA ESPINOZA ESPINOZA</t>
  </si>
  <si>
    <t>bfe6dd1e</t>
  </si>
  <si>
    <t>MYRRHA ANDAUR MARTINEZ</t>
  </si>
  <si>
    <t>9266f665</t>
  </si>
  <si>
    <t>PAULINA DIAZ MEDINA</t>
  </si>
  <si>
    <t>9ebb8703</t>
  </si>
  <si>
    <t>CAROL AMBO AMPUERO</t>
  </si>
  <si>
    <t>18740adf</t>
  </si>
  <si>
    <t>NUTRICIONISTA</t>
  </si>
  <si>
    <t>PAULA ABARCA MORALES</t>
  </si>
  <si>
    <t>CONSOLIDADO ENCUESTAS</t>
  </si>
  <si>
    <t>TIPO</t>
  </si>
  <si>
    <t>AMBITO</t>
  </si>
  <si>
    <t>ACTIVIDAD</t>
  </si>
  <si>
    <t>TIEMPO_SEMANA</t>
  </si>
  <si>
    <t>INCL en GESTION?</t>
  </si>
  <si>
    <t>TOTAL_HNC</t>
  </si>
  <si>
    <t>CHECK</t>
  </si>
  <si>
    <t>ESTADO</t>
  </si>
  <si>
    <t>vigente?</t>
  </si>
  <si>
    <t>96450cf7</t>
  </si>
  <si>
    <t>MAISFC</t>
  </si>
  <si>
    <t>ENCARGAD@ SALUD FAMILIAR</t>
  </si>
  <si>
    <t>Independiente</t>
  </si>
  <si>
    <t>2dd87896</t>
  </si>
  <si>
    <t>PROGRAMA - TRANSVERSAL</t>
  </si>
  <si>
    <t>ENCARGADO  PROGRAMA (1 HRS)</t>
  </si>
  <si>
    <t>9bc5759b</t>
  </si>
  <si>
    <t>CONTRALOR SALUD SEXUAL Y REPRODUCTIVA (2 HRS)</t>
  </si>
  <si>
    <t>058d6eca</t>
  </si>
  <si>
    <t>07e9972a</t>
  </si>
  <si>
    <t>COMUNIDAD</t>
  </si>
  <si>
    <t>ENCARGAD@ GESTOR COMUNITARIO (33 HORAS)</t>
  </si>
  <si>
    <t>9f24522e</t>
  </si>
  <si>
    <t>fca24381</t>
  </si>
  <si>
    <t>ENCARGAD@ PROGRAMA ADULTO Y ADULTO MAYOR (PSCV) (5 HRS)</t>
  </si>
  <si>
    <t>91cf1f4b</t>
  </si>
  <si>
    <t>9be05b13</t>
  </si>
  <si>
    <t>SALUD PUBLICA</t>
  </si>
  <si>
    <t>REFERENTE TBC - MEDICO (15 MIN)</t>
  </si>
  <si>
    <t>e8468308</t>
  </si>
  <si>
    <t>TECNICO - ADMNISTRATIVO</t>
  </si>
  <si>
    <t>ESTADISTICA MENSUAL COMPLETA (4 HRS × 12 VECES)</t>
  </si>
  <si>
    <t>4b97c943</t>
  </si>
  <si>
    <t>ESTADISTICA MENSUAL (1 DIA)</t>
  </si>
  <si>
    <t>4bad3a15</t>
  </si>
  <si>
    <t>3a92e527</t>
  </si>
  <si>
    <t>CRISTOBAL VELASQUEZ VASQUEZ</t>
  </si>
  <si>
    <t>ESTADISTICA MENSUAL</t>
  </si>
  <si>
    <t>43b06378</t>
  </si>
  <si>
    <t>52855863</t>
  </si>
  <si>
    <t>61ad1d88</t>
  </si>
  <si>
    <t>9cf415b3</t>
  </si>
  <si>
    <t>06e1f4b9</t>
  </si>
  <si>
    <t>04e6f0f3</t>
  </si>
  <si>
    <t>d2b259a0</t>
  </si>
  <si>
    <t>fbc7c92f</t>
  </si>
  <si>
    <t>6d661529</t>
  </si>
  <si>
    <t>90a2fba4</t>
  </si>
  <si>
    <t>f4becce6</t>
  </si>
  <si>
    <t>ENCARGAD@ PROGRAMA DEPENDENCIA SEVERA Y CPNO  (2 HORAS)</t>
  </si>
  <si>
    <t>89ccc747</t>
  </si>
  <si>
    <t>ENCARGADO  PROGRAMA (3 HRS)</t>
  </si>
  <si>
    <t>3d8540ec</t>
  </si>
  <si>
    <t>ENCARGAD@ PROGRAMA TBC (2 HRS)</t>
  </si>
  <si>
    <t>3f1c5992</t>
  </si>
  <si>
    <t>ENCARGAD@ IAAS (2 HRS)</t>
  </si>
  <si>
    <t>98e6412d</t>
  </si>
  <si>
    <t>ENCARGAD@ EPIDEMIOLOGIA  2 (2 HRS)</t>
  </si>
  <si>
    <t>2faa7889</t>
  </si>
  <si>
    <t>ENCARGADO TOMA DE MUESTRA (2 HRS)</t>
  </si>
  <si>
    <t>3ccb9dc4</t>
  </si>
  <si>
    <t>5f4b1ce3</t>
  </si>
  <si>
    <t>ENCARGAD@ PROGRAMA ADULTO Y ADULTO MAYOR (PSCV) (3 HRS)</t>
  </si>
  <si>
    <t>ee17a8e6</t>
  </si>
  <si>
    <t>ENCARGAD@ NANEAS (2 HRS)</t>
  </si>
  <si>
    <t>69d6808a</t>
  </si>
  <si>
    <t>ENCARGAD@ CECOSF</t>
  </si>
  <si>
    <t>5863b647</t>
  </si>
  <si>
    <t>ENCARGAD@ PROGRAMACION (2 HRS)</t>
  </si>
  <si>
    <t>Incluido en otras Horas Gestión</t>
  </si>
  <si>
    <t>ea2d6ed1</t>
  </si>
  <si>
    <t>DERECHOS Y DEBERES</t>
  </si>
  <si>
    <t>ENCARGAD@ OIRS (5 HORAS)</t>
  </si>
  <si>
    <t>c724eb57</t>
  </si>
  <si>
    <t>ENCARGAD@ PPAA (PNAC-PACAM) (5 HRS)</t>
  </si>
  <si>
    <t>9b23a823</t>
  </si>
  <si>
    <t>ENCARGAD@ MIGRANTES (1 HR)</t>
  </si>
  <si>
    <t>1afd7656</t>
  </si>
  <si>
    <t>ENCARGAD@ PARTICIPACION Y PROMOCION  (22 HORAS)</t>
  </si>
  <si>
    <t>03d74050</t>
  </si>
  <si>
    <t>ENCARGAD@ ECICEP (3 HRS)</t>
  </si>
  <si>
    <t>479f8ec4</t>
  </si>
  <si>
    <t>ESTADISTICA TRIMESTRAL (2 DIAS)</t>
  </si>
  <si>
    <t>a9f276da</t>
  </si>
  <si>
    <t>885159f1</t>
  </si>
  <si>
    <t>5580eb89</t>
  </si>
  <si>
    <t>501a9ced</t>
  </si>
  <si>
    <t>650f3e8e</t>
  </si>
  <si>
    <t>f7f12cba</t>
  </si>
  <si>
    <t>bb29eb68</t>
  </si>
  <si>
    <t>82543578</t>
  </si>
  <si>
    <t>77c86000</t>
  </si>
  <si>
    <t>570bdb3c</t>
  </si>
  <si>
    <t>PRUEBA</t>
  </si>
  <si>
    <t>EQUIPO</t>
  </si>
  <si>
    <t>REUNIÓN EQUIPO PYP CESFAM</t>
  </si>
  <si>
    <t>6c1415ce</t>
  </si>
  <si>
    <t>COMSE</t>
  </si>
  <si>
    <t>b92e7c88</t>
  </si>
  <si>
    <t>2e27281c</t>
  </si>
  <si>
    <t>AUTOCUIDADO</t>
  </si>
  <si>
    <t>817265f5</t>
  </si>
  <si>
    <t>CONSEJO AMPLIADO</t>
  </si>
  <si>
    <t>8282aa37</t>
  </si>
  <si>
    <t>REUNIÓN EQUIPO CABECERA</t>
  </si>
  <si>
    <t>3442c278</t>
  </si>
  <si>
    <t>REUNIÓN SECTOR (2 HRS - X12)</t>
  </si>
  <si>
    <t>0dde95dd</t>
  </si>
  <si>
    <t>2b33637e</t>
  </si>
  <si>
    <t>5a86d54d</t>
  </si>
  <si>
    <t>1826f0bf</t>
  </si>
  <si>
    <t>737fcd38</t>
  </si>
  <si>
    <t>a57a890f</t>
  </si>
  <si>
    <t>04bd775b</t>
  </si>
  <si>
    <t>30228e9b</t>
  </si>
  <si>
    <t>5ba784e8</t>
  </si>
  <si>
    <t>37811295</t>
  </si>
  <si>
    <t>d8042e4f</t>
  </si>
  <si>
    <t>892420d0</t>
  </si>
  <si>
    <t>e3f53309</t>
  </si>
  <si>
    <t>0aad7a74</t>
  </si>
  <si>
    <t>5985d891</t>
  </si>
  <si>
    <t>86c1684a</t>
  </si>
  <si>
    <t>3bdef131</t>
  </si>
  <si>
    <t>fa545d7c</t>
  </si>
  <si>
    <t>bbb30768</t>
  </si>
  <si>
    <t>3f1ee10c</t>
  </si>
  <si>
    <t>c1455e9c</t>
  </si>
  <si>
    <t>20ac02ea</t>
  </si>
  <si>
    <t>f9dc58f6</t>
  </si>
  <si>
    <t>f7e4086d</t>
  </si>
  <si>
    <t>5b0d05e7</t>
  </si>
  <si>
    <t>48f5de70</t>
  </si>
  <si>
    <t>1b85f735</t>
  </si>
  <si>
    <t>77b876b6</t>
  </si>
  <si>
    <t>485aa80c</t>
  </si>
  <si>
    <t>527e9fa6</t>
  </si>
  <si>
    <t>c89fd533</t>
  </si>
  <si>
    <t>d57865ac</t>
  </si>
  <si>
    <t>729f9f6f</t>
  </si>
  <si>
    <t>e0f5b85c</t>
  </si>
  <si>
    <t>2c2f72d4</t>
  </si>
  <si>
    <t>8e914b56</t>
  </si>
  <si>
    <t>ba6ecc44</t>
  </si>
  <si>
    <t>972cd7c7</t>
  </si>
  <si>
    <t>9c5b5be8</t>
  </si>
  <si>
    <t>51c12446</t>
  </si>
  <si>
    <t>5fd38bc0</t>
  </si>
  <si>
    <t>54b77a11</t>
  </si>
  <si>
    <t>5ef09ea7</t>
  </si>
  <si>
    <t>e2fcd0c1</t>
  </si>
  <si>
    <t>0e4ca382</t>
  </si>
  <si>
    <t>a05817a6</t>
  </si>
  <si>
    <t>408502cb</t>
  </si>
  <si>
    <t>8e2edf93</t>
  </si>
  <si>
    <t>37ac8d38</t>
  </si>
  <si>
    <t>15221b06</t>
  </si>
  <si>
    <t>d26df5f5</t>
  </si>
  <si>
    <t>00a2902b</t>
  </si>
  <si>
    <t>bd5230bd</t>
  </si>
  <si>
    <t>e91cc474</t>
  </si>
  <si>
    <t>b5f30a88</t>
  </si>
  <si>
    <t>8e9f15db</t>
  </si>
  <si>
    <t>VIGENTE</t>
  </si>
  <si>
    <t>b0107a31</t>
  </si>
  <si>
    <t>GREMIAL</t>
  </si>
  <si>
    <t>DIRIGENTE GREMIAL (22)</t>
  </si>
  <si>
    <t>2fbf48d6</t>
  </si>
  <si>
    <t>COLACION</t>
  </si>
  <si>
    <t>COLACION =  5 DIAS/SEMANA</t>
  </si>
  <si>
    <t>36dc109c</t>
  </si>
  <si>
    <t>6db2e41d</t>
  </si>
  <si>
    <t>14e9a636</t>
  </si>
  <si>
    <t>COLACION =  2 DIAS/SEMANA</t>
  </si>
  <si>
    <t>a3ac3927</t>
  </si>
  <si>
    <t>152123ab</t>
  </si>
  <si>
    <t>3c251af3</t>
  </si>
  <si>
    <t>5001fa77</t>
  </si>
  <si>
    <t>COLACION =  3 DIAS/SEMANA</t>
  </si>
  <si>
    <t>3065e68d</t>
  </si>
  <si>
    <t>f18958e7</t>
  </si>
  <si>
    <t>2a223402</t>
  </si>
  <si>
    <t>51ac8a04</t>
  </si>
  <si>
    <t>c8665823</t>
  </si>
  <si>
    <t>84afa328</t>
  </si>
  <si>
    <t>62bcbecc</t>
  </si>
  <si>
    <t>06840c57</t>
  </si>
  <si>
    <t>7e76b8f1</t>
  </si>
  <si>
    <t>96aef5d7</t>
  </si>
  <si>
    <t>055c1732</t>
  </si>
  <si>
    <t>2e90ceb2</t>
  </si>
  <si>
    <t>PAUSA SALUDABLE</t>
  </si>
  <si>
    <t>PAUSA SALUDABLE = 5/SEMANA</t>
  </si>
  <si>
    <t>15172d04</t>
  </si>
  <si>
    <t>PAUSA SALUDABLE = 5/SEMANA (20  MIN)</t>
  </si>
  <si>
    <t>cc142959</t>
  </si>
  <si>
    <t>3c93f5da</t>
  </si>
  <si>
    <t>b8512ab6</t>
  </si>
  <si>
    <t>ec06b2d9</t>
  </si>
  <si>
    <t>c91ca86b</t>
  </si>
  <si>
    <t>799df530</t>
  </si>
  <si>
    <t>c9a94e46</t>
  </si>
  <si>
    <t>PAUSA SALUDABLE = 2/SEMANA</t>
  </si>
  <si>
    <t>ba57db79</t>
  </si>
  <si>
    <t>a77c0908</t>
  </si>
  <si>
    <t>5ef14c30</t>
  </si>
  <si>
    <t>PAUSA SALUDABLE = 3/SEMANA</t>
  </si>
  <si>
    <t>a9c46476</t>
  </si>
  <si>
    <t>f17b29fb</t>
  </si>
  <si>
    <t>b8ab625c</t>
  </si>
  <si>
    <t>0bda74e0</t>
  </si>
  <si>
    <t>3f9d187d</t>
  </si>
  <si>
    <t>68ccbf3f</t>
  </si>
  <si>
    <t>ae2f0992</t>
  </si>
  <si>
    <t>257e16e4</t>
  </si>
  <si>
    <t>4147a2fe</t>
  </si>
  <si>
    <t>85e1188d</t>
  </si>
  <si>
    <t>c495c888</t>
  </si>
  <si>
    <t>TIEMPO SEMANA</t>
  </si>
  <si>
    <t>APLICA??</t>
  </si>
  <si>
    <t>DEFINIR:</t>
  </si>
  <si>
    <t>VOLVER</t>
  </si>
  <si>
    <t>ACTVIDADES DE GESTION Y TIEMPO ASIGNADO</t>
  </si>
  <si>
    <t>PROGRAMA / ESTRATEGIA</t>
  </si>
  <si>
    <t>Hrs Gestión Programa</t>
  </si>
  <si>
    <t>CRITERIOS (rangos)</t>
  </si>
  <si>
    <t>APLICA?</t>
  </si>
  <si>
    <t>-------------------</t>
  </si>
  <si>
    <t>SI</t>
  </si>
  <si>
    <t>CESFAM</t>
  </si>
  <si>
    <t>COORDINACION ENFERMERÍA</t>
  </si>
  <si>
    <t>ENFERMERO/A SUPERVISOR/A</t>
  </si>
  <si>
    <t>COORDINACION MEDICA</t>
  </si>
  <si>
    <t>ENCARGAD@ COORDINACION MEDICA</t>
  </si>
  <si>
    <t>COORDINADOR SAPU</t>
  </si>
  <si>
    <t>ENCARGAD@ COORDINADOR SAPU</t>
  </si>
  <si>
    <t>22 a 44</t>
  </si>
  <si>
    <t>DIFUSIÓN</t>
  </si>
  <si>
    <t>ENCARGAD@ DIFUSIÓN **</t>
  </si>
  <si>
    <t>DIRECTIVO</t>
  </si>
  <si>
    <t>SUBDIRECCION</t>
  </si>
  <si>
    <t>FARMACIA</t>
  </si>
  <si>
    <t>ENCARGAD@ BOTIQUIN FARMACIA</t>
  </si>
  <si>
    <t>SALUD FAMILIAR</t>
  </si>
  <si>
    <t>JEFE SECTOR 1</t>
  </si>
  <si>
    <t>JEFE SECTOR 2</t>
  </si>
  <si>
    <t>SOME</t>
  </si>
  <si>
    <t>ENCARGAD@ SOME</t>
  </si>
  <si>
    <t>11</t>
  </si>
  <si>
    <t>NO</t>
  </si>
  <si>
    <t>33</t>
  </si>
  <si>
    <t>PARTICIPACION COMUNITARIA</t>
  </si>
  <si>
    <t>ENCARGAD@ GESTOR COMUNITARIO</t>
  </si>
  <si>
    <t>PARTICIPACION Y PROMOCION</t>
  </si>
  <si>
    <t>ENCARGAD@ PARTICIPACION Y PROMOCION</t>
  </si>
  <si>
    <t>MIGRANTES</t>
  </si>
  <si>
    <t>ENCARGAD@ MIGRANTES</t>
  </si>
  <si>
    <t>OIRS</t>
  </si>
  <si>
    <t>ENCARGAD@ OIRS</t>
  </si>
  <si>
    <t>PRAIS</t>
  </si>
  <si>
    <t>ENCARGAD@ PRAIS</t>
  </si>
  <si>
    <t>PUEBLOS ORIGINARIOS</t>
  </si>
  <si>
    <t>ENCARGAD@ PUEBLOS ORIGINARIOS</t>
  </si>
  <si>
    <t>CPHS</t>
  </si>
  <si>
    <t>ENCARGAD@ CPHS</t>
  </si>
  <si>
    <t>PROGRAMA</t>
  </si>
  <si>
    <t>GESTION DE REGISTROS</t>
  </si>
  <si>
    <t>CUIDADOS MUTUOS</t>
  </si>
  <si>
    <t>ENCARGAD@ CUIDADOS MUTUOS</t>
  </si>
  <si>
    <t>ENCARGAD@ SALUDABLEMENTE</t>
  </si>
  <si>
    <t>11 a 44</t>
  </si>
  <si>
    <t>DIRIGENTE GREMIAL</t>
  </si>
  <si>
    <t>ADOLESCENCIA</t>
  </si>
  <si>
    <t>ENCARGAD@ PROGRAMA ADOLESCENCIA</t>
  </si>
  <si>
    <t>1 A 2</t>
  </si>
  <si>
    <t>ADULTO MAYOR</t>
  </si>
  <si>
    <t>ENCARGAD@ ADULTO MAYOR</t>
  </si>
  <si>
    <t>5 a 10</t>
  </si>
  <si>
    <t>ADULTO Y ADULTO MAYOR (PSCV)</t>
  </si>
  <si>
    <t>ENCARGAD@ CARDIO VASCULAR</t>
  </si>
  <si>
    <t>6 a 11</t>
  </si>
  <si>
    <t>ENCARGAD@ PROGRAMA ADULTO Y ADULTO MAYOR (PSCV)</t>
  </si>
  <si>
    <t>CALIDAD</t>
  </si>
  <si>
    <t>ENCARGAD@ PROGRAMA CALIDAD</t>
  </si>
  <si>
    <t>CAPACITACION</t>
  </si>
  <si>
    <t>ENCARGAD@ CAPACITACION</t>
  </si>
  <si>
    <t>CHCC</t>
  </si>
  <si>
    <t>ENCARGAD@ PROGRAMA CHCC</t>
  </si>
  <si>
    <t>GES</t>
  </si>
  <si>
    <t>ENCARGAD@ MONITOR GES</t>
  </si>
  <si>
    <t>5 a 11</t>
  </si>
  <si>
    <t>INFANCIA - ADOLESCENCIA - CHCC</t>
  </si>
  <si>
    <t>ENCARGAD@ MEJOR NIÑEZ</t>
  </si>
  <si>
    <t xml:space="preserve">ENCARGAD@ PROGRAMA INFANCIA </t>
  </si>
  <si>
    <t>ENCARGAD@ PROGRAMA INFANCIA - ADOLESCENCIA - CHCC</t>
  </si>
  <si>
    <t>ENCARGAD@ SECTORIALISTA SECTOR 1</t>
  </si>
  <si>
    <t>ENCARGAD@ SECTORIALISTA SECTOR 2</t>
  </si>
  <si>
    <t>LACTANCIA MATERNA</t>
  </si>
  <si>
    <t>ENCARGAD@ LACTANCIA MATERNA</t>
  </si>
  <si>
    <t>0,25</t>
  </si>
  <si>
    <t>MEDICINAS COMPLEMENTARIAS</t>
  </si>
  <si>
    <t>REFERENTES MEDICINA COMPLEMENTARIAS</t>
  </si>
  <si>
    <t>ODONTOLOGICO</t>
  </si>
  <si>
    <t>CONTRALOR SALUD ORAL</t>
  </si>
  <si>
    <t>2,5</t>
  </si>
  <si>
    <t>ENCARGAD@ PROGRAMA ODONTOLOGICO</t>
  </si>
  <si>
    <t>8 a 11</t>
  </si>
  <si>
    <t>PROGRAMA DEPENDENCIA SEVERA Y CPNO</t>
  </si>
  <si>
    <t>ENCARGAD@ PROGRAMA DEPENDENCIA SEVERA Y CPNO</t>
  </si>
  <si>
    <t>5</t>
  </si>
  <si>
    <t>PROGRAMACION</t>
  </si>
  <si>
    <t>ENCARGAD@ PROGRAMACION</t>
  </si>
  <si>
    <t>0,5</t>
  </si>
  <si>
    <t>REHABILITACION</t>
  </si>
  <si>
    <t>ENCARGAD@ PROGRAMA AYUDAS TECNICAS</t>
  </si>
  <si>
    <t>2</t>
  </si>
  <si>
    <t>ENCARGAD@ PROGRAMA REHABILITACION</t>
  </si>
  <si>
    <t>RESOLUTIVIDAD</t>
  </si>
  <si>
    <t>CONTRALOR MEDICO</t>
  </si>
  <si>
    <t>ENCARGAD@ GESTION DEMANDA + LISTA ESPERA</t>
  </si>
  <si>
    <t>39</t>
  </si>
  <si>
    <t>ENCARGAD@ HOSPITAL DIGITAL</t>
  </si>
  <si>
    <t>RESPIRATORIO</t>
  </si>
  <si>
    <t>ENCARGAD@ PROGRAMA RESPIRATORIO ERA</t>
  </si>
  <si>
    <t>ENCARGAD@ PROGRAMA RESPIRATORIO IRA</t>
  </si>
  <si>
    <t>ENCARGAD@ ECICEP</t>
  </si>
  <si>
    <t>SALUD MENTAL</t>
  </si>
  <si>
    <t>ENCARGAD@ DUPLA PSICOSOCIAL COMSE **</t>
  </si>
  <si>
    <t>ENCARGAD@ PROGRAMA SALUD MENTAL</t>
  </si>
  <si>
    <t>SALUD SEXUAL Y REPRODUCTIVA</t>
  </si>
  <si>
    <t>CONTRALOR SALUD SEXUAL Y REPRODUCTIVA</t>
  </si>
  <si>
    <t>2 a 4</t>
  </si>
  <si>
    <t>ENCARGAD@ PROGRAMA SALUD SEXUAL Y REPRODUCTIVA</t>
  </si>
  <si>
    <t>ENCARGAD@ PROGRAMA SALUD TRANSAFIRMATIVA</t>
  </si>
  <si>
    <t>ENCARGAD@ TRASMISIBLES (VIH)/ITS/Chagas/hepatitis B y C . Incluye Transimsión vertical</t>
  </si>
  <si>
    <t>6 a 10</t>
  </si>
  <si>
    <t>EPIDEMIOLOGÍA</t>
  </si>
  <si>
    <t>ENCARGAD@ VIGEP</t>
  </si>
  <si>
    <t>5 a 11,5</t>
  </si>
  <si>
    <t>INMUNIZACIONES</t>
  </si>
  <si>
    <t>ENCARGAD@ PNI</t>
  </si>
  <si>
    <t>22</t>
  </si>
  <si>
    <t>PPAA (PNAC-PACAM)</t>
  </si>
  <si>
    <t>ENCARGAD@ PPAA (PNAC-PACAM)</t>
  </si>
  <si>
    <t>7,5 a 11</t>
  </si>
  <si>
    <t>ENCARGAD@ REAS</t>
  </si>
  <si>
    <t>TBC</t>
  </si>
  <si>
    <t>ENCARGAD@ PROGRAMA TBC</t>
  </si>
  <si>
    <t>3  a 5</t>
  </si>
  <si>
    <t xml:space="preserve">ADULTO Y ADULTO MAYOR </t>
  </si>
  <si>
    <t>ENCARGAD@ COMUNAL COMITÉ ELEAM</t>
  </si>
  <si>
    <t>ENCARGAD@ UAPO</t>
  </si>
  <si>
    <t>ENCARGAD@ UAPORINO</t>
  </si>
  <si>
    <t>IMAGENES</t>
  </si>
  <si>
    <t>ACTIVIDADES DE MICROGESTIÓN SALUD MENTAL</t>
  </si>
  <si>
    <t>0,16 A 0,42</t>
  </si>
  <si>
    <t>ENCARGADO COMUNAL PROGRAMA TBC</t>
  </si>
  <si>
    <t xml:space="preserve">11 A 15 </t>
  </si>
  <si>
    <t>GESTION SOCIAL</t>
  </si>
  <si>
    <t>ENCARGADO@GESTION SOCIAL LOCAL (GSL)</t>
  </si>
  <si>
    <t/>
  </si>
  <si>
    <t>RESUMEN 
TOTAL HORAS POR ESTAMENTO</t>
  </si>
  <si>
    <t>equiv horas
 / año=</t>
  </si>
  <si>
    <t>equiv semanas
 / año =</t>
  </si>
  <si>
    <t>DIAS A PROGRAMAR</t>
  </si>
  <si>
    <t>HORAS</t>
  </si>
  <si>
    <t>PORCENTAJE</t>
  </si>
  <si>
    <t>HORAS NO CLINICAS</t>
  </si>
  <si>
    <t>todos los lunes</t>
  </si>
  <si>
    <t>ESTRATEGIA/PROGRAMA</t>
  </si>
  <si>
    <t>REUNIONES</t>
  </si>
  <si>
    <t>REF_ESTRATEGIA/PROGRAMA</t>
  </si>
  <si>
    <t>(Seleccionar funcionari@)</t>
  </si>
  <si>
    <t>1er lunes</t>
  </si>
  <si>
    <t>REUNIÓN CVC</t>
  </si>
  <si>
    <t>GESTION DE PROGRAMA</t>
  </si>
  <si>
    <t>--------------------</t>
  </si>
  <si>
    <t>1er martes</t>
  </si>
  <si>
    <t>REUNIÓN PROGRAMA ADULTO Y ADULTO MAYOR (DAS)</t>
  </si>
  <si>
    <t>GESTION INTEGRACION EQUIPO</t>
  </si>
  <si>
    <t>1er miércoles</t>
  </si>
  <si>
    <t>REUNIÓN CALIDAD</t>
  </si>
  <si>
    <t>1er jueves</t>
  </si>
  <si>
    <t>REUNIÓN COMITÉ CALIDAD (DAS)</t>
  </si>
  <si>
    <t>PROMOCION DE LA SALUD</t>
  </si>
  <si>
    <t>1er viernes</t>
  </si>
  <si>
    <t>REUNIÓN COMITE CAPACITACIÓN LOCAL</t>
  </si>
  <si>
    <t>SATISFACCION USUARIA</t>
  </si>
  <si>
    <t>2do lunes</t>
  </si>
  <si>
    <t>REUNIÓN COMITÉ DE CAPACITACIÓN (DAS)</t>
  </si>
  <si>
    <t>2do martes</t>
  </si>
  <si>
    <t>CONSULTORIA NEUROLOGÍA PEDIATRICA</t>
  </si>
  <si>
    <t>GESTION CLINICO ADMINISTRATIVA</t>
  </si>
  <si>
    <t>2do miércoles</t>
  </si>
  <si>
    <t>REUNIÓN CON REFERENTE MEDICO SM (DAS)</t>
  </si>
  <si>
    <t>2do jueves</t>
  </si>
  <si>
    <t>REUNIÓN DE MÉDICOS CONTRALORES (DAS)</t>
  </si>
  <si>
    <t>2do viernes</t>
  </si>
  <si>
    <t>REUNIÓN EQUIPO MÉDICO (LOCAL)</t>
  </si>
  <si>
    <t>ESTAMENTO</t>
  </si>
  <si>
    <t>3er lunes</t>
  </si>
  <si>
    <t>REUNIÓN EQUIPO MÉDICO CMV (DAS)</t>
  </si>
  <si>
    <t>COMITE</t>
  </si>
  <si>
    <t>3er martes</t>
  </si>
  <si>
    <t>REUNIÓN COMITÉ PARITARIO</t>
  </si>
  <si>
    <t>ENFERMERÍA</t>
  </si>
  <si>
    <t>3er miércoles</t>
  </si>
  <si>
    <t>3er jueves</t>
  </si>
  <si>
    <t>REUNION EQUIPO CUIDADOS MUTUOS</t>
  </si>
  <si>
    <t>3er viernes</t>
  </si>
  <si>
    <t>REUNIÓN ENCARGADXS OIRS (DAS)</t>
  </si>
  <si>
    <t>4to lunes</t>
  </si>
  <si>
    <t>REUNIÓN OIRS - CESFAM</t>
  </si>
  <si>
    <t>GESTION DEMANDA</t>
  </si>
  <si>
    <t>4to martes</t>
  </si>
  <si>
    <t>REUNIÓN EQUIPO ENFERMERIA</t>
  </si>
  <si>
    <t>4to miércoles</t>
  </si>
  <si>
    <t>REUNIÓN EQUIPO SUPERV - TENS</t>
  </si>
  <si>
    <t>4to jueves</t>
  </si>
  <si>
    <t>REUNIÓN DEL COMITÉ DE FARMACIA  (DAS)</t>
  </si>
  <si>
    <t>4to viernes</t>
  </si>
  <si>
    <t>REUNIÓN AFUSAM</t>
  </si>
  <si>
    <t>ENCARGAD@ COMITE FARMACIA</t>
  </si>
  <si>
    <t>REUNIÓN APRUSAM</t>
  </si>
  <si>
    <t>MATRON/A CONTRALOR</t>
  </si>
  <si>
    <t>ENCARGAD@ GES</t>
  </si>
  <si>
    <t>REUNIÓN DELEGADOS APRUSAM  (DAS)</t>
  </si>
  <si>
    <t xml:space="preserve">PRECONSULTORÍA INFANTO-JUVENIL SM </t>
  </si>
  <si>
    <t>NUTRICION</t>
  </si>
  <si>
    <t>REUNIÓN CHCC, INFANCIA Y ADOLESCENCIA (DAS)</t>
  </si>
  <si>
    <t>REUNIÓN INFANCIA</t>
  </si>
  <si>
    <t>REUNIÓN SALA DE ESTIMULACIÓN</t>
  </si>
  <si>
    <t>REUNIÓN SUPERVISORES ENFERMERIA (DAS)</t>
  </si>
  <si>
    <t>REUNIÓN COMITÉ LACTANCIA</t>
  </si>
  <si>
    <t>PROGRAMAS ALIMENTARIOS</t>
  </si>
  <si>
    <t>REUNIÓN ENCARGADXS COMITÉ DE LACTANCIA (DAS)</t>
  </si>
  <si>
    <t>REUNIÓN NUTRICION</t>
  </si>
  <si>
    <t>REUNIÓN DENTAL</t>
  </si>
  <si>
    <t>ENCARGAD@ NUTRICION</t>
  </si>
  <si>
    <t>REUNIÓN EQUIPO DENTAL</t>
  </si>
  <si>
    <t>REUNIÓN JPO (DAS)</t>
  </si>
  <si>
    <t>REUNIÓN ENCARGADXS PYP (DAS)</t>
  </si>
  <si>
    <t>ENCARGAD@ PYP</t>
  </si>
  <si>
    <t>REUNIÓN PYP CESFAM</t>
  </si>
  <si>
    <t>REUNIÓN REFERENTE DE MIGRANTES (DAS)</t>
  </si>
  <si>
    <t>SALUDABLEMENTE</t>
  </si>
  <si>
    <t>REUNIÓN COMITÉ PAD (DAS)</t>
  </si>
  <si>
    <t>REUNIÓN PMAS (DAS)</t>
  </si>
  <si>
    <t>REUNIÓN ENCARGADXS IRA/ERA (DAS)</t>
  </si>
  <si>
    <t>TRABAJO SOCIAL</t>
  </si>
  <si>
    <t>ENCARGAD@ GESTION DEMANDA</t>
  </si>
  <si>
    <t>REUNIÓN IRA/ERA LOCAL</t>
  </si>
  <si>
    <t>CONSEJO TÉCNICO DE GESTIÓN</t>
  </si>
  <si>
    <t>REUNIÓN CON ENCARGADXS ECICEP EN CESFAM (DAS)</t>
  </si>
  <si>
    <t>REUNIÓN ENCARGADXS ECICEP (DAS)</t>
  </si>
  <si>
    <t>REUNIÓN EQUIPO MOTOR ECICEP (LOCAL)</t>
  </si>
  <si>
    <t>REUNIÓN GESTIÓN SALUD FAMILIAR (1a parte)</t>
  </si>
  <si>
    <t>REUNIÓN GESTIÓN SALUD FAMILIAR (2a parte)</t>
  </si>
  <si>
    <t>SECTOR 1 (a)</t>
  </si>
  <si>
    <t>SECTOR 1 (b)</t>
  </si>
  <si>
    <t>SECTOR 2 (a)</t>
  </si>
  <si>
    <t>SECTOR 2 (b)</t>
  </si>
  <si>
    <t>CONSULTORÍA ADULTO HDS (PROGRAMABLE)</t>
  </si>
  <si>
    <t>CONSULTORÍA API (PROGRAMABLE)</t>
  </si>
  <si>
    <t>CONSULTORÍA UNIDAD LA MEMORIA (PROGRAMABLE)</t>
  </si>
  <si>
    <t>PRE COMSE</t>
  </si>
  <si>
    <t>PRECONSULTORÍA ADULTO</t>
  </si>
  <si>
    <t>ENCARGAD@ TRASMISION VERTICAL (VIH)/ITS/Chagas/Hepatitis</t>
  </si>
  <si>
    <t>REUNIÓN ENCARGADXS PSM (DAS)</t>
  </si>
  <si>
    <t>ENCARGAD@ TRABAJO SOCIAL</t>
  </si>
  <si>
    <t>REUNIÓN EQUIPO SALUD MENTAL</t>
  </si>
  <si>
    <t>REUNIÓN PSICOSOCIAL</t>
  </si>
  <si>
    <t>REUNIÓN DE PROGRAMAS ALIMENTARIOS (DAS)</t>
  </si>
  <si>
    <t>REUNIÓN ENCARGADA TBC (DAS)</t>
  </si>
  <si>
    <t>REUNIÓN ENCARGADOS TBC</t>
  </si>
  <si>
    <t>REUNIÓN PNI (DAS)</t>
  </si>
  <si>
    <t>REUNIÓN TBC BIMENSUAL (enero, marzo, mayo, julio, septiembre, noviembre y diciembre) + REUNIÓN TBC SERVICIO (30/08; 22/11 Y 27/12)</t>
  </si>
  <si>
    <t>REUNIÓN EQUIPO MATRONAS</t>
  </si>
  <si>
    <t>REUNIÓN PROGRAMA DE LA MUJER (DAS)</t>
  </si>
  <si>
    <t>REUNIÓN ENCARGADXS DE SOME (DAS)</t>
  </si>
  <si>
    <t>REUNIÓN UNIDAD DE SOME</t>
  </si>
  <si>
    <t>REUNIÓN  EQUIPO TRABAJO SOCIAL</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</si>
</sst>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_(* #,##0_);_(* (#,##0);_(* &quot;-&quot;??_);_(@_)"/>
    <numFmt numFmtId="165" formatCode="_(* #,##0.0_);_(* (#,##0.0);_(* &quot;-&quot;??.0_);_(@_)"/>
    <numFmt numFmtId="166" formatCode="_(* #,##0.00_);_(* (#,##0.00);_(* &quot;-&quot;??.00_);_(@_)"/>
    <numFmt numFmtId="167" formatCode="0.0"/>
    <numFmt numFmtId="168" formatCode="h&quot;:&quot;mm"/>
    <numFmt numFmtId="169" formatCode="_(* #,##0.00_);_(* (#,##0.00);_(* &quot;-&quot;_);_(@_)"/>
    <numFmt numFmtId="170" formatCode="##"/>
    <numFmt numFmtId="171" formatCode="#,##0.00_);[Red](#,##0.00)"/>
  </numFmts>
  <fonts count="97">
    <font>
      <sz val="10.0"/>
      <color rgb="FF000000"/>
      <name val="Arial"/>
      <scheme val="minor"/>
    </font>
    <font>
      <sz val="14.0"/>
      <color theme="1"/>
      <name val="Arial"/>
    </font>
    <font>
      <color theme="1"/>
      <name val="Roboto"/>
    </font>
    <font>
      <b/>
      <sz val="16.0"/>
      <color rgb="FFF3F3F3"/>
      <name val="Roboto"/>
    </font>
    <font>
      <u/>
      <sz val="14.0"/>
      <color rgb="FF0000FF"/>
    </font>
    <font>
      <sz val="13.0"/>
      <color rgb="FFFFFFFF"/>
      <name val="Calibri"/>
    </font>
    <font>
      <sz val="13.0"/>
      <color rgb="FF00FFFF"/>
      <name val="Calibri"/>
    </font>
    <font>
      <sz val="13.0"/>
      <color theme="1"/>
      <name val="Calibri"/>
    </font>
    <font>
      <sz val="13.0"/>
      <color rgb="FF000000"/>
      <name val="Calibri"/>
    </font>
    <font>
      <color rgb="FFFFFFFF"/>
      <name val="Arial"/>
    </font>
    <font>
      <color theme="1"/>
      <name val="Arial"/>
    </font>
    <font>
      <sz val="9.0"/>
      <color rgb="FF000000"/>
      <name val="Arial"/>
    </font>
    <font>
      <sz val="9.0"/>
      <color rgb="FF008000"/>
      <name val="Arial"/>
    </font>
    <font>
      <color rgb="FFFF0000"/>
      <name val="Arial"/>
    </font>
    <font>
      <sz val="8.0"/>
      <color rgb="FFFF0000"/>
      <name val="Arial"/>
    </font>
    <font>
      <sz val="10.0"/>
      <color rgb="FFFF0000"/>
      <name val="Arial"/>
    </font>
    <font>
      <color rgb="FF00FFFF"/>
      <name val="Arial"/>
    </font>
    <font>
      <sz val="17.0"/>
      <color rgb="FFFFFFFF"/>
      <name val="Roboto"/>
    </font>
    <font>
      <b/>
      <sz val="17.0"/>
      <color rgb="FFFFFFFF"/>
      <name val="Roboto"/>
    </font>
    <font>
      <b/>
      <sz val="8.0"/>
      <color rgb="FFFFFFFF"/>
      <name val="Roboto"/>
    </font>
    <font>
      <b/>
      <sz val="13.0"/>
      <color rgb="FFFFFFFF"/>
      <name val="Roboto"/>
    </font>
    <font/>
    <font>
      <sz val="25.0"/>
      <color rgb="FF134F5C"/>
      <name val="Roboto"/>
    </font>
    <font>
      <sz val="8.0"/>
      <color theme="1"/>
      <name val="Roboto"/>
    </font>
    <font>
      <b/>
      <sz val="8.0"/>
      <color rgb="FF666666"/>
      <name val="Roboto"/>
    </font>
    <font>
      <sz val="25.0"/>
      <color rgb="FFFFFFFF"/>
      <name val="Roboto"/>
    </font>
    <font>
      <b/>
      <sz val="12.0"/>
      <color theme="1"/>
      <name val="Roboto"/>
    </font>
    <font>
      <b/>
      <color theme="1"/>
      <name val="Roboto"/>
    </font>
    <font>
      <sz val="8.0"/>
      <color rgb="FF134F5C"/>
      <name val="Roboto"/>
    </font>
    <font>
      <i/>
      <sz val="9.0"/>
      <color theme="1"/>
      <name val="Roboto"/>
    </font>
    <font>
      <b/>
      <sz val="8.0"/>
      <color rgb="FF990000"/>
      <name val="Roboto"/>
    </font>
    <font>
      <sz val="10.0"/>
      <color rgb="FF000000"/>
      <name val="Roboto"/>
    </font>
    <font>
      <sz val="8.0"/>
      <color rgb="FF990000"/>
      <name val="Roboto"/>
    </font>
    <font>
      <sz val="9.0"/>
      <color rgb="FF134F5C"/>
      <name val="Roboto"/>
    </font>
    <font>
      <sz val="9.0"/>
      <color theme="1"/>
      <name val="Roboto"/>
    </font>
    <font>
      <b/>
      <sz val="9.0"/>
      <color rgb="FFFFFFFF"/>
      <name val="Roboto"/>
    </font>
    <font>
      <b/>
      <sz val="22.0"/>
      <color rgb="FFFFFFFF"/>
      <name val="Roboto"/>
    </font>
    <font>
      <sz val="11.0"/>
      <color rgb="FFFFFFFF"/>
      <name val="Roboto"/>
    </font>
    <font>
      <b/>
      <sz val="12.0"/>
      <color rgb="FFFFFFFF"/>
      <name val="Roboto"/>
    </font>
    <font>
      <color rgb="FFFFFFFF"/>
      <name val="Roboto"/>
    </font>
    <font>
      <b/>
      <sz val="11.0"/>
      <color rgb="FFFFFFFF"/>
      <name val="Roboto"/>
    </font>
    <font>
      <sz val="11.0"/>
      <color theme="1"/>
      <name val="Roboto"/>
    </font>
    <font>
      <sz val="12.0"/>
      <color theme="1"/>
      <name val="Roboto"/>
    </font>
    <font>
      <b/>
      <sz val="12.0"/>
      <color rgb="FF434343"/>
      <name val="Roboto"/>
    </font>
    <font>
      <b/>
      <sz val="11.0"/>
      <color rgb="FF434343"/>
      <name val="Roboto"/>
    </font>
    <font>
      <sz val="9.0"/>
      <color rgb="FFFFFFFF"/>
      <name val="Arial"/>
    </font>
    <font>
      <sz val="9.0"/>
      <color theme="1"/>
      <name val="Arial"/>
    </font>
    <font>
      <b/>
      <sz val="14.0"/>
      <color theme="1"/>
      <name val="Arial"/>
    </font>
    <font>
      <sz val="15.0"/>
      <color rgb="FFFFFFFF"/>
      <name val="Roboto"/>
    </font>
    <font>
      <sz val="9.0"/>
      <color rgb="FF999999"/>
      <name val="Roboto"/>
    </font>
    <font>
      <sz val="9.0"/>
      <color rgb="FF999999"/>
      <name val="Arial"/>
    </font>
    <font>
      <b/>
      <sz val="10.0"/>
      <color rgb="FFFFFFFF"/>
      <name val="Roboto"/>
    </font>
    <font>
      <color rgb="FFFFF2CC"/>
      <name val="Arial"/>
    </font>
    <font>
      <sz val="9.0"/>
      <color theme="1"/>
      <name val="Calibri"/>
    </font>
    <font>
      <color rgb="FF000000"/>
      <name val="Arial"/>
    </font>
    <font>
      <b/>
      <sz val="21.0"/>
      <color theme="1"/>
      <name val="Roboto"/>
    </font>
    <font>
      <sz val="16.0"/>
      <color rgb="FF666666"/>
      <name val="Roboto"/>
    </font>
    <font>
      <sz val="4.0"/>
      <color theme="1"/>
      <name val="Roboto"/>
    </font>
    <font>
      <sz val="7.0"/>
      <color theme="1"/>
      <name val="Roboto"/>
    </font>
    <font>
      <b/>
      <sz val="10.0"/>
      <color rgb="FF666666"/>
      <name val="Roboto"/>
    </font>
    <font>
      <sz val="8.0"/>
      <color rgb="FFFF0000"/>
      <name val="Roboto"/>
    </font>
    <font>
      <sz val="4.0"/>
      <color rgb="FFFF0000"/>
      <name val="Roboto"/>
    </font>
    <font>
      <color theme="1"/>
      <name val="Arial"/>
      <scheme val="minor"/>
    </font>
    <font>
      <b/>
      <sz val="10.0"/>
      <color rgb="FF434343"/>
      <name val="Roboto"/>
    </font>
    <font>
      <sz val="10.0"/>
      <color theme="1"/>
      <name val="Roboto"/>
    </font>
    <font>
      <sz val="8.0"/>
      <color rgb="FF344846"/>
      <name val="Roboto"/>
    </font>
    <font>
      <sz val="8.0"/>
      <color rgb="FF071924"/>
      <name val="Roboto"/>
    </font>
    <font>
      <sz val="17.0"/>
      <color theme="1"/>
      <name val="Roboto"/>
    </font>
    <font>
      <sz val="14.0"/>
      <color theme="1"/>
      <name val="Roboto"/>
    </font>
    <font>
      <sz val="9.0"/>
      <color rgb="FF1F1F1F"/>
      <name val="Arial"/>
    </font>
    <font>
      <sz val="12.0"/>
      <color rgb="FF990000"/>
      <name val="Roboto"/>
    </font>
    <font>
      <sz val="9.0"/>
      <color rgb="FF990000"/>
      <name val="Roboto"/>
    </font>
    <font>
      <b/>
      <sz val="11.0"/>
      <color theme="1"/>
      <name val="Roboto"/>
    </font>
    <font>
      <b/>
      <sz val="22.0"/>
      <color rgb="FFE06666"/>
      <name val="Roboto"/>
    </font>
    <font>
      <b/>
      <sz val="17.0"/>
      <color rgb="FF434343"/>
      <name val="Roboto"/>
    </font>
    <font>
      <b/>
      <u/>
      <sz val="14.0"/>
      <color rgb="FFFFFFFF"/>
      <name val="Roboto"/>
    </font>
    <font>
      <sz val="22.0"/>
      <color rgb="FFFFFFFF"/>
      <name val="Roboto"/>
    </font>
    <font>
      <sz val="11.0"/>
      <color rgb="FF000000"/>
      <name val="Roboto"/>
    </font>
    <font>
      <sz val="9.0"/>
      <color rgb="FF000000"/>
      <name val="Roboto"/>
    </font>
    <font>
      <b/>
      <sz val="21.0"/>
      <color rgb="FF222222"/>
      <name val="Arial"/>
    </font>
    <font>
      <sz val="17.0"/>
      <color theme="1"/>
      <name val="Arial"/>
    </font>
    <font>
      <b/>
      <u/>
      <sz val="11.0"/>
      <color theme="1"/>
      <name val="Arial"/>
    </font>
    <font>
      <sz val="11.0"/>
      <color theme="1"/>
      <name val="Arial"/>
    </font>
    <font>
      <color rgb="FFFCE5CD"/>
      <name val="Arial"/>
    </font>
    <font>
      <sz val="14.0"/>
      <color rgb="FF000000"/>
      <name val="Arial"/>
    </font>
    <font>
      <b/>
      <sz val="12.0"/>
      <color rgb="FF000000"/>
      <name val="Arial"/>
    </font>
    <font>
      <b/>
      <sz val="12.0"/>
      <color theme="1"/>
      <name val="Arial"/>
    </font>
    <font>
      <color rgb="FFF3F3F3"/>
      <name val="Roboto"/>
    </font>
    <font>
      <color rgb="FF434343"/>
      <name val="Roboto"/>
    </font>
    <font>
      <b/>
      <sz val="17.0"/>
      <color rgb="FFFFFFFF"/>
      <name val="Calibri"/>
    </font>
    <font>
      <b/>
      <sz val="17.0"/>
      <color theme="1"/>
      <name val="Calibri"/>
    </font>
    <font>
      <color theme="1"/>
      <name val="Calibri"/>
    </font>
    <font>
      <b/>
      <sz val="11.0"/>
      <color rgb="FF45818E"/>
      <name val="Calibri"/>
    </font>
    <font>
      <b/>
      <sz val="11.0"/>
      <color rgb="FFE06666"/>
      <name val="Calibri"/>
    </font>
    <font>
      <b/>
      <sz val="11.0"/>
      <color rgb="FFFFFFFF"/>
      <name val="Calibri"/>
    </font>
    <font>
      <sz val="8.0"/>
      <color theme="1"/>
      <name val="Calibri"/>
    </font>
    <font>
      <sz val="8.0"/>
      <color theme="1"/>
      <name val="Arial"/>
    </font>
  </fonts>
  <fills count="23">
    <fill>
      <patternFill patternType="none"/>
    </fill>
    <fill>
      <patternFill patternType="lightGray"/>
    </fill>
    <fill>
      <patternFill patternType="solid">
        <fgColor rgb="FF26A69A"/>
        <bgColor rgb="FF26A69A"/>
      </patternFill>
    </fill>
    <fill>
      <patternFill patternType="solid">
        <fgColor rgb="FFFFFFFF"/>
        <bgColor rgb="FFFFFFFF"/>
      </patternFill>
    </fill>
    <fill>
      <patternFill patternType="solid">
        <fgColor rgb="FF434343"/>
        <bgColor rgb="FF434343"/>
      </patternFill>
    </fill>
    <fill>
      <patternFill patternType="solid">
        <fgColor rgb="FF666666"/>
        <bgColor rgb="FF666666"/>
      </patternFill>
    </fill>
    <fill>
      <patternFill patternType="solid">
        <fgColor rgb="FF134F5C"/>
        <bgColor rgb="FF134F5C"/>
      </patternFill>
    </fill>
    <fill>
      <patternFill patternType="solid">
        <fgColor rgb="FFA2C4C9"/>
        <bgColor rgb="FFA2C4C9"/>
      </patternFill>
    </fill>
    <fill>
      <patternFill patternType="solid">
        <fgColor rgb="FFD0E0E3"/>
        <bgColor rgb="FFD0E0E3"/>
      </patternFill>
    </fill>
    <fill>
      <patternFill patternType="solid">
        <fgColor rgb="FF00FFFF"/>
        <bgColor rgb="FF00FFFF"/>
      </patternFill>
    </fill>
    <fill>
      <patternFill patternType="solid">
        <fgColor rgb="FF45818E"/>
        <bgColor rgb="FF45818E"/>
      </patternFill>
    </fill>
    <fill>
      <patternFill patternType="solid">
        <fgColor rgb="FFD9D9D9"/>
        <bgColor rgb="FFD9D9D9"/>
      </patternFill>
    </fill>
    <fill>
      <patternFill patternType="solid">
        <fgColor rgb="FF76A5AF"/>
        <bgColor rgb="FF76A5AF"/>
      </patternFill>
    </fill>
    <fill>
      <patternFill patternType="solid">
        <fgColor rgb="FF3974AC"/>
        <bgColor rgb="FF3974AC"/>
      </patternFill>
    </fill>
    <fill>
      <patternFill patternType="solid">
        <fgColor rgb="FFDDF2F0"/>
        <bgColor rgb="FFDDF2F0"/>
      </patternFill>
    </fill>
    <fill>
      <patternFill patternType="solid">
        <fgColor rgb="FFEBEFF1"/>
        <bgColor rgb="FFEBEFF1"/>
      </patternFill>
    </fill>
    <fill>
      <patternFill patternType="solid">
        <fgColor rgb="FFE0F7FA"/>
        <bgColor rgb="FFE0F7FA"/>
      </patternFill>
    </fill>
    <fill>
      <patternFill patternType="solid">
        <fgColor rgb="FFFFFF00"/>
        <bgColor rgb="FFFFFF00"/>
      </patternFill>
    </fill>
    <fill>
      <patternFill patternType="solid">
        <fgColor rgb="FFFF9900"/>
        <bgColor rgb="FFFF9900"/>
      </patternFill>
    </fill>
    <fill>
      <patternFill patternType="solid">
        <fgColor rgb="FFE1E9F7"/>
        <bgColor rgb="FFE1E9F7"/>
      </patternFill>
    </fill>
    <fill>
      <patternFill patternType="solid">
        <fgColor rgb="FFF3F3F3"/>
        <bgColor rgb="FFF3F3F3"/>
      </patternFill>
    </fill>
    <fill>
      <patternFill patternType="solid">
        <fgColor rgb="FFE06666"/>
        <bgColor rgb="FFE06666"/>
      </patternFill>
    </fill>
    <fill>
      <patternFill patternType="solid">
        <fgColor rgb="FFF4CCCC"/>
        <bgColor rgb="FFF4CCCC"/>
      </patternFill>
    </fill>
  </fills>
  <borders count="37">
    <border/>
    <border>
      <left style="thick">
        <color rgb="FFFF0000"/>
      </left>
      <right style="thick">
        <color rgb="FFFF0000"/>
      </right>
      <top style="thick">
        <color rgb="FFFF0000"/>
      </top>
      <bottom style="thick">
        <color rgb="FFFF0000"/>
      </bottom>
    </border>
    <border>
      <left style="hair">
        <color rgb="FF666666"/>
      </left>
      <top style="hair">
        <color rgb="FF666666"/>
      </top>
      <bottom style="hair">
        <color rgb="FF666666"/>
      </bottom>
    </border>
    <border>
      <top style="hair">
        <color rgb="FF666666"/>
      </top>
      <bottom style="hair">
        <color rgb="FF666666"/>
      </bottom>
    </border>
    <border>
      <right style="hair">
        <color rgb="FF666666"/>
      </right>
      <top style="hair">
        <color rgb="FF666666"/>
      </top>
      <bottom style="hair">
        <color rgb="FF666666"/>
      </bottom>
    </border>
    <border>
      <left style="hair">
        <color rgb="FF666666"/>
      </left>
      <right style="hair">
        <color rgb="FF666666"/>
      </right>
      <top style="hair">
        <color rgb="FF666666"/>
      </top>
      <bottom style="hair">
        <color rgb="FF666666"/>
      </bottom>
    </border>
    <border>
      <left style="thick">
        <color rgb="FF002F4A"/>
      </left>
      <bottom style="hair">
        <color rgb="FF666666"/>
      </bottom>
    </border>
    <border>
      <bottom style="hair">
        <color rgb="FF666666"/>
      </bottom>
    </border>
    <border>
      <left style="thick">
        <color rgb="FF434343"/>
      </left>
      <right style="hair">
        <color rgb="FF666666"/>
      </right>
      <bottom style="hair">
        <color rgb="FF666666"/>
      </bottom>
    </border>
    <border>
      <left style="thick">
        <color rgb="FF1C4587"/>
      </left>
      <right style="hair">
        <color rgb="FF666666"/>
      </right>
      <bottom style="hair">
        <color rgb="FF666666"/>
      </bottom>
    </border>
    <border>
      <left style="hair">
        <color rgb="FF666666"/>
      </left>
      <right style="hair">
        <color rgb="FF666666"/>
      </right>
      <bottom style="hair">
        <color rgb="FF666666"/>
      </bottom>
    </border>
    <border>
      <left style="thick">
        <color rgb="FF45818E"/>
      </left>
      <right style="hair">
        <color rgb="FF999999"/>
      </right>
      <top style="hair">
        <color rgb="FF999999"/>
      </top>
      <bottom style="hair">
        <color rgb="FF999999"/>
      </bottom>
    </border>
    <border>
      <left style="hair">
        <color rgb="FF999999"/>
      </left>
      <right style="hair">
        <color rgb="FF999999"/>
      </right>
      <top style="hair">
        <color rgb="FF999999"/>
      </top>
      <bottom style="hair">
        <color rgb="FF999999"/>
      </bottom>
    </border>
    <border>
      <left style="hair">
        <color rgb="FF45818E"/>
      </left>
      <right style="hair">
        <color rgb="FF45818E"/>
      </right>
      <top style="thick">
        <color rgb="FF45818E"/>
      </top>
    </border>
    <border>
      <left style="hair">
        <color rgb="FF45818E"/>
      </left>
      <top style="thick">
        <color rgb="FF45818E"/>
      </top>
    </border>
    <border>
      <left style="hair">
        <color rgb="FF999999"/>
      </left>
      <right style="hair">
        <color rgb="FF999999"/>
      </right>
      <top style="hair">
        <color rgb="FF999999"/>
      </top>
    </border>
    <border>
      <left style="thick">
        <color rgb="FFFFFFFF"/>
      </left>
      <right style="thick">
        <color rgb="FFFFFFFF"/>
      </right>
      <top style="thick">
        <color rgb="FFFFFFFF"/>
      </top>
      <bottom style="thick">
        <color rgb="FFFFFFFF"/>
      </bottom>
    </border>
    <border>
      <left style="thick">
        <color rgb="FFFFFFFF"/>
      </left>
      <top style="thick">
        <color rgb="FFFFFFFF"/>
      </top>
      <bottom style="thick">
        <color rgb="FFFFFFFF"/>
      </bottom>
    </border>
    <border>
      <left style="hair">
        <color rgb="FF999999"/>
      </left>
      <top style="hair">
        <color rgb="FF999999"/>
      </top>
      <bottom style="hair">
        <color rgb="FF999999"/>
      </bottom>
    </border>
    <border>
      <left style="thick">
        <color rgb="FFF3F3F3"/>
      </left>
      <right style="thick">
        <color rgb="FFF3F3F3"/>
      </right>
      <top style="thick">
        <color rgb="FFF3F3F3"/>
      </top>
      <bottom style="thick">
        <color rgb="FFF3F3F3"/>
      </bottom>
    </border>
    <border>
      <bottom style="thick">
        <color rgb="FF666666"/>
      </bottom>
    </border>
    <border>
      <left style="hair">
        <color rgb="FF78909C"/>
      </left>
      <top style="medium">
        <color rgb="FF000000"/>
      </top>
      <bottom style="medium">
        <color rgb="FF000000"/>
      </bottom>
    </border>
    <border>
      <right style="thick">
        <color rgb="FF999999"/>
      </right>
      <bottom style="thick">
        <color rgb="FF78909C"/>
      </bottom>
    </border>
    <border>
      <left style="hair">
        <color rgb="FF78909C"/>
      </left>
      <top style="hair">
        <color rgb="FF78909C"/>
      </top>
      <bottom style="hair">
        <color rgb="FF78909C"/>
      </bottom>
    </border>
    <border>
      <right style="thick">
        <color rgb="FF999999"/>
      </right>
    </border>
    <border>
      <left style="thick">
        <color rgb="FF999999"/>
      </left>
      <right style="thick">
        <color rgb="FF999999"/>
      </right>
      <bottom style="thick">
        <color rgb="FF78909C"/>
      </bottom>
    </border>
    <border>
      <left style="thick">
        <color rgb="FF78909C"/>
      </left>
      <right style="thick">
        <color rgb="FF78909C"/>
      </right>
      <top style="thick">
        <color rgb="FF78909C"/>
      </top>
      <bottom style="thick">
        <color rgb="FF78909C"/>
      </bottom>
    </border>
    <border>
      <left style="thick">
        <color rgb="FF999999"/>
      </left>
      <right style="thick">
        <color rgb="FF999999"/>
      </right>
    </border>
    <border>
      <left style="hair">
        <color rgb="FF78909C"/>
      </left>
      <right style="hair">
        <color rgb="FF78909C"/>
      </right>
    </border>
    <border>
      <left style="hair">
        <color rgb="FF78909C"/>
      </left>
      <right style="hair">
        <color rgb="FF78909C"/>
      </right>
      <bottom style="hair">
        <color rgb="FF78909C"/>
      </bottom>
    </border>
    <border>
      <left style="hair">
        <color rgb="FFB7B7B7"/>
      </left>
      <right style="hair">
        <color rgb="FFB7B7B7"/>
      </right>
      <top style="hair">
        <color rgb="FFB7B7B7"/>
      </top>
      <bottom style="hair">
        <color rgb="FFB7B7B7"/>
      </bottom>
    </border>
    <border>
      <right style="hair">
        <color rgb="FF78909C"/>
      </right>
      <top style="hair">
        <color rgb="FF78909C"/>
      </top>
      <bottom style="hair">
        <color rgb="FF78909C"/>
      </bottom>
    </border>
    <border>
      <left style="hair">
        <color rgb="FF78909C"/>
      </left>
      <right style="hair">
        <color rgb="FF78909C"/>
      </right>
      <top style="hair">
        <color rgb="FF78909C"/>
      </top>
      <bottom style="hair">
        <color rgb="FF78909C"/>
      </bottom>
    </border>
    <border>
      <right style="hair">
        <color rgb="FF999999"/>
      </right>
      <top style="hair">
        <color rgb="FF999999"/>
      </top>
      <bottom style="hair">
        <color rgb="FF999999"/>
      </bottom>
    </border>
    <border>
      <left style="hair">
        <color rgb="FF999999"/>
      </left>
      <right style="hair">
        <color rgb="FF999999"/>
      </right>
      <bottom style="hair">
        <color rgb="FF999999"/>
      </bottom>
    </border>
    <border>
      <left style="thick">
        <color rgb="FFFF0000"/>
      </left>
    </border>
    <border>
      <left style="medium">
        <color rgb="FFFF0000"/>
      </left>
      <right style="medium">
        <color rgb="FFFF0000"/>
      </right>
      <top style="medium">
        <color rgb="FFFF0000"/>
      </top>
      <bottom style="medium">
        <color rgb="FFFF0000"/>
      </bottom>
    </border>
  </borders>
  <cellStyleXfs count="1">
    <xf borderId="0" fillId="0" fontId="0" numFmtId="0" applyAlignment="1" applyFont="1"/>
  </cellStyleXfs>
  <cellXfs count="379">
    <xf borderId="0" fillId="0" fontId="0" numFmtId="0" xfId="0" applyAlignment="1" applyFont="1">
      <alignment readingOrder="0" shrinkToFit="0" vertical="bottom" wrapText="0"/>
    </xf>
    <xf borderId="0" fillId="0" fontId="1" numFmtId="0" xfId="0" applyFont="1"/>
    <xf borderId="0" fillId="2" fontId="2" numFmtId="0" xfId="0" applyAlignment="1" applyFill="1" applyFont="1">
      <alignment vertical="bottom"/>
    </xf>
    <xf borderId="0" fillId="2" fontId="3" numFmtId="0" xfId="0" applyAlignment="1" applyFont="1">
      <alignment vertical="bottom"/>
    </xf>
    <xf borderId="0" fillId="0" fontId="4" numFmtId="0" xfId="0" applyFont="1"/>
    <xf borderId="1" fillId="0" fontId="5" numFmtId="0" xfId="0" applyAlignment="1" applyBorder="1" applyFont="1">
      <alignment shrinkToFit="0" wrapText="1"/>
    </xf>
    <xf borderId="0" fillId="0" fontId="5" numFmtId="0" xfId="0" applyAlignment="1" applyFont="1">
      <alignment shrinkToFit="0" wrapText="1"/>
    </xf>
    <xf borderId="0" fillId="0" fontId="5" numFmtId="4" xfId="0" applyAlignment="1" applyFont="1" applyNumberFormat="1">
      <alignment shrinkToFit="0" wrapText="1"/>
    </xf>
    <xf borderId="0" fillId="0" fontId="6" numFmtId="164" xfId="0" applyAlignment="1" applyFont="1" applyNumberFormat="1">
      <alignment shrinkToFit="0" wrapText="1"/>
    </xf>
    <xf borderId="0" fillId="0" fontId="5" numFmtId="164" xfId="0" applyAlignment="1" applyFont="1" applyNumberFormat="1">
      <alignment shrinkToFit="0" wrapText="1"/>
    </xf>
    <xf borderId="0" fillId="0" fontId="7" numFmtId="0" xfId="0" applyFont="1"/>
    <xf borderId="0" fillId="0" fontId="8" numFmtId="4" xfId="0" applyFont="1" applyNumberFormat="1"/>
    <xf borderId="0" fillId="0" fontId="7" numFmtId="4" xfId="0" applyFont="1" applyNumberFormat="1"/>
    <xf borderId="0" fillId="0" fontId="7" numFmtId="165" xfId="0" applyFont="1" applyNumberFormat="1"/>
    <xf borderId="0" fillId="0" fontId="8" numFmtId="0" xfId="0" applyFont="1"/>
    <xf borderId="0" fillId="0" fontId="7" numFmtId="164" xfId="0" applyFont="1" applyNumberFormat="1"/>
    <xf borderId="1" fillId="0" fontId="9" numFmtId="0" xfId="0" applyAlignment="1" applyBorder="1" applyFont="1">
      <alignment shrinkToFit="0" wrapText="1"/>
    </xf>
    <xf borderId="0" fillId="0" fontId="9" numFmtId="0" xfId="0" applyAlignment="1" applyFont="1">
      <alignment shrinkToFit="0" wrapText="1"/>
    </xf>
    <xf borderId="0" fillId="0" fontId="9" numFmtId="164" xfId="0" applyAlignment="1" applyFont="1" applyNumberFormat="1">
      <alignment shrinkToFit="0" wrapText="1"/>
    </xf>
    <xf borderId="0" fillId="0" fontId="10" numFmtId="0" xfId="0" applyFont="1"/>
    <xf borderId="0" fillId="3" fontId="11" numFmtId="10" xfId="0" applyFill="1" applyFont="1" applyNumberFormat="1"/>
    <xf borderId="0" fillId="0" fontId="10" numFmtId="10" xfId="0" applyFont="1" applyNumberFormat="1"/>
    <xf borderId="0" fillId="3" fontId="12" numFmtId="0" xfId="0" applyFont="1"/>
    <xf borderId="0" fillId="0" fontId="10" numFmtId="165" xfId="0" applyFont="1" applyNumberFormat="1"/>
    <xf borderId="0" fillId="0" fontId="10" numFmtId="164" xfId="0" applyFont="1" applyNumberFormat="1"/>
    <xf borderId="0" fillId="0" fontId="13" numFmtId="0" xfId="0" applyAlignment="1" applyFont="1">
      <alignment shrinkToFit="0" wrapText="1"/>
    </xf>
    <xf borderId="0" fillId="0" fontId="14" numFmtId="0" xfId="0" applyAlignment="1" applyFont="1">
      <alignment horizontal="right" shrinkToFit="0" wrapText="1"/>
    </xf>
    <xf borderId="0" fillId="0" fontId="15" numFmtId="165" xfId="0" applyAlignment="1" applyFont="1" applyNumberFormat="1">
      <alignment shrinkToFit="0" wrapText="1"/>
    </xf>
    <xf borderId="0" fillId="0" fontId="15" numFmtId="164" xfId="0" applyAlignment="1" applyFont="1" applyNumberFormat="1">
      <alignment shrinkToFit="0" wrapText="1"/>
    </xf>
    <xf borderId="0" fillId="0" fontId="13" numFmtId="166" xfId="0" applyAlignment="1" applyFont="1" applyNumberFormat="1">
      <alignment shrinkToFit="0" wrapText="1"/>
    </xf>
    <xf borderId="0" fillId="0" fontId="13" numFmtId="41" xfId="0" applyAlignment="1" applyFont="1" applyNumberFormat="1">
      <alignment shrinkToFit="0" wrapText="1"/>
    </xf>
    <xf borderId="1" fillId="4" fontId="9" numFmtId="0" xfId="0" applyAlignment="1" applyBorder="1" applyFill="1" applyFont="1">
      <alignment shrinkToFit="0" wrapText="1"/>
    </xf>
    <xf borderId="0" fillId="4" fontId="9" numFmtId="0" xfId="0" applyAlignment="1" applyFont="1">
      <alignment shrinkToFit="0" wrapText="1"/>
    </xf>
    <xf borderId="0" fillId="0" fontId="16" numFmtId="165" xfId="0" applyAlignment="1" applyFont="1" applyNumberFormat="1">
      <alignment shrinkToFit="0" wrapText="1"/>
    </xf>
    <xf borderId="0" fillId="0" fontId="16" numFmtId="166" xfId="0" applyAlignment="1" applyFont="1" applyNumberFormat="1">
      <alignment shrinkToFit="0" wrapText="1"/>
    </xf>
    <xf borderId="0" fillId="0" fontId="16" numFmtId="164" xfId="0" applyAlignment="1" applyFont="1" applyNumberFormat="1">
      <alignment shrinkToFit="0" wrapText="1"/>
    </xf>
    <xf borderId="0" fillId="5" fontId="16" numFmtId="166" xfId="0" applyAlignment="1" applyFill="1" applyFont="1" applyNumberFormat="1">
      <alignment shrinkToFit="0" wrapText="1"/>
    </xf>
    <xf borderId="0" fillId="5" fontId="9" numFmtId="164" xfId="0" applyAlignment="1" applyFont="1" applyNumberFormat="1">
      <alignment shrinkToFit="0" wrapText="1"/>
    </xf>
    <xf borderId="0" fillId="0" fontId="9" numFmtId="166" xfId="0" applyAlignment="1" applyFont="1" applyNumberFormat="1">
      <alignment shrinkToFit="0" wrapText="1"/>
    </xf>
    <xf borderId="0" fillId="0" fontId="9" numFmtId="41" xfId="0" applyAlignment="1" applyFont="1" applyNumberFormat="1">
      <alignment shrinkToFit="0" wrapText="1"/>
    </xf>
    <xf borderId="0" fillId="0" fontId="10" numFmtId="166" xfId="0" applyFont="1" applyNumberFormat="1"/>
    <xf borderId="0" fillId="5" fontId="9" numFmtId="166" xfId="0" applyFont="1" applyNumberFormat="1"/>
    <xf borderId="0" fillId="5" fontId="9" numFmtId="164" xfId="0" applyFont="1" applyNumberFormat="1"/>
    <xf borderId="0" fillId="0" fontId="10" numFmtId="41" xfId="0" applyFont="1" applyNumberFormat="1"/>
    <xf borderId="0" fillId="0" fontId="10" numFmtId="0" xfId="0" applyFont="1"/>
    <xf borderId="0" fillId="5" fontId="9" numFmtId="0" xfId="0" applyFont="1"/>
    <xf borderId="0" fillId="6" fontId="17" numFmtId="0" xfId="0" applyAlignment="1" applyFill="1" applyFont="1">
      <alignment horizontal="center" shrinkToFit="0" vertical="center" wrapText="1"/>
    </xf>
    <xf borderId="2" fillId="6" fontId="18" numFmtId="167" xfId="0" applyAlignment="1" applyBorder="1" applyFont="1" applyNumberFormat="1">
      <alignment horizontal="left" shrinkToFit="0" vertical="center" wrapText="0"/>
    </xf>
    <xf borderId="3" fillId="6" fontId="18" numFmtId="167" xfId="0" applyAlignment="1" applyBorder="1" applyFont="1" applyNumberFormat="1">
      <alignment horizontal="left" shrinkToFit="0" vertical="center" wrapText="0"/>
    </xf>
    <xf borderId="0" fillId="6" fontId="19" numFmtId="167" xfId="0" applyAlignment="1" applyFont="1" applyNumberFormat="1">
      <alignment horizontal="right" shrinkToFit="0" vertical="center" wrapText="0"/>
    </xf>
    <xf borderId="2" fillId="6" fontId="20" numFmtId="49" xfId="0" applyAlignment="1" applyBorder="1" applyFont="1" applyNumberFormat="1">
      <alignment horizontal="center" shrinkToFit="0" vertical="center" wrapText="1"/>
    </xf>
    <xf borderId="4" fillId="0" fontId="21" numFmtId="0" xfId="0" applyBorder="1" applyFont="1"/>
    <xf borderId="0" fillId="6" fontId="22" numFmtId="0" xfId="0" applyAlignment="1" applyFont="1">
      <alignment horizontal="center" shrinkToFit="0" wrapText="1"/>
    </xf>
    <xf borderId="0" fillId="0" fontId="23" numFmtId="0" xfId="0" applyAlignment="1" applyFont="1">
      <alignment shrinkToFit="0" wrapText="1"/>
    </xf>
    <xf borderId="0" fillId="0" fontId="24" numFmtId="0" xfId="0" applyAlignment="1" applyFont="1">
      <alignment horizontal="right" vertical="center"/>
    </xf>
    <xf borderId="0" fillId="0" fontId="23" numFmtId="0" xfId="0" applyAlignment="1" applyFont="1">
      <alignment vertical="top"/>
    </xf>
    <xf borderId="0" fillId="6" fontId="25" numFmtId="0" xfId="0" applyAlignment="1" applyFont="1">
      <alignment horizontal="center" shrinkToFit="0" wrapText="1"/>
    </xf>
    <xf borderId="0" fillId="6" fontId="23" numFmtId="0" xfId="0" applyAlignment="1" applyFont="1">
      <alignment vertical="top"/>
    </xf>
    <xf borderId="2" fillId="7" fontId="26" numFmtId="0" xfId="0" applyAlignment="1" applyBorder="1" applyFill="1" applyFont="1">
      <alignment horizontal="center" shrinkToFit="0" vertical="center" wrapText="1"/>
    </xf>
    <xf borderId="3" fillId="0" fontId="21" numFmtId="0" xfId="0" applyBorder="1" applyFont="1"/>
    <xf borderId="0" fillId="0" fontId="23" numFmtId="167" xfId="0" applyAlignment="1" applyFont="1" applyNumberFormat="1">
      <alignment shrinkToFit="0" vertical="bottom" wrapText="1"/>
    </xf>
    <xf borderId="5" fillId="8" fontId="23" numFmtId="167" xfId="0" applyAlignment="1" applyBorder="1" applyFill="1" applyFont="1" applyNumberFormat="1">
      <alignment horizontal="center" shrinkToFit="0" vertical="bottom" wrapText="1"/>
    </xf>
    <xf borderId="5" fillId="8" fontId="2" numFmtId="0" xfId="0" applyAlignment="1" applyBorder="1" applyFont="1">
      <alignment horizontal="center" shrinkToFit="0" wrapText="1"/>
    </xf>
    <xf borderId="5" fillId="8" fontId="27" numFmtId="167" xfId="0" applyAlignment="1" applyBorder="1" applyFont="1" applyNumberFormat="1">
      <alignment horizontal="center" shrinkToFit="0" wrapText="1"/>
    </xf>
    <xf borderId="0" fillId="0" fontId="2" numFmtId="0" xfId="0" applyFont="1"/>
    <xf borderId="0" fillId="6" fontId="28" numFmtId="0" xfId="0" applyAlignment="1" applyFont="1">
      <alignment horizontal="center" shrinkToFit="0" vertical="bottom" wrapText="1"/>
    </xf>
    <xf borderId="0" fillId="0" fontId="23" numFmtId="0" xfId="0" applyAlignment="1" applyFont="1">
      <alignment shrinkToFit="0" vertical="bottom" wrapText="1"/>
    </xf>
    <xf borderId="0" fillId="0" fontId="29" numFmtId="167" xfId="0" applyAlignment="1" applyFont="1" applyNumberFormat="1">
      <alignment horizontal="right" shrinkToFit="0" vertical="top" wrapText="1"/>
    </xf>
    <xf borderId="0" fillId="0" fontId="23" numFmtId="167" xfId="0" applyAlignment="1" applyFont="1" applyNumberFormat="1">
      <alignment horizontal="center" shrinkToFit="0" vertical="bottom" wrapText="1"/>
    </xf>
    <xf borderId="0" fillId="0" fontId="30" numFmtId="0" xfId="0" applyAlignment="1" applyFont="1">
      <alignment horizontal="right" shrinkToFit="0" vertical="top" wrapText="0"/>
    </xf>
    <xf borderId="5" fillId="3" fontId="31" numFmtId="167" xfId="0" applyAlignment="1" applyBorder="1" applyFont="1" applyNumberFormat="1">
      <alignment horizontal="center" vertical="center"/>
    </xf>
    <xf borderId="5" fillId="8" fontId="27" numFmtId="167" xfId="0" applyAlignment="1" applyBorder="1" applyFont="1" applyNumberFormat="1">
      <alignment horizontal="center" vertical="center"/>
    </xf>
    <xf borderId="0" fillId="6" fontId="28" numFmtId="0" xfId="0" applyAlignment="1" applyFont="1">
      <alignment horizontal="center" shrinkToFit="0" vertical="top" wrapText="1"/>
    </xf>
    <xf borderId="0" fillId="0" fontId="23" numFmtId="0" xfId="0" applyAlignment="1" applyFont="1">
      <alignment shrinkToFit="0" vertical="top" wrapText="1"/>
    </xf>
    <xf borderId="0" fillId="0" fontId="32" numFmtId="0" xfId="0" applyAlignment="1" applyFont="1">
      <alignment shrinkToFit="0" vertical="top" wrapText="1"/>
    </xf>
    <xf borderId="0" fillId="0" fontId="30" numFmtId="167" xfId="0" applyAlignment="1" applyFont="1" applyNumberFormat="1">
      <alignment horizontal="center" shrinkToFit="0" vertical="top" wrapText="0"/>
    </xf>
    <xf borderId="0" fillId="6" fontId="33" numFmtId="0" xfId="0" applyAlignment="1" applyFont="1">
      <alignment horizontal="left" shrinkToFit="0" wrapText="1"/>
    </xf>
    <xf borderId="0" fillId="0" fontId="34" numFmtId="0" xfId="0" applyAlignment="1" applyFont="1">
      <alignment horizontal="left" shrinkToFit="0" wrapText="1"/>
    </xf>
    <xf borderId="6" fillId="0" fontId="35" numFmtId="0" xfId="0" applyAlignment="1" applyBorder="1" applyFont="1">
      <alignment horizontal="left" shrinkToFit="0" wrapText="1"/>
    </xf>
    <xf borderId="7" fillId="0" fontId="35" numFmtId="0" xfId="0" applyAlignment="1" applyBorder="1" applyFont="1">
      <alignment horizontal="left" shrinkToFit="0" wrapText="1"/>
    </xf>
    <xf borderId="8" fillId="0" fontId="35" numFmtId="0" xfId="0" applyAlignment="1" applyBorder="1" applyFont="1">
      <alignment horizontal="left" shrinkToFit="0" wrapText="1"/>
    </xf>
    <xf borderId="9" fillId="0" fontId="35" numFmtId="0" xfId="0" applyAlignment="1" applyBorder="1" applyFont="1">
      <alignment horizontal="left" shrinkToFit="0" wrapText="1"/>
    </xf>
    <xf borderId="9" fillId="0" fontId="35" numFmtId="49" xfId="0" applyAlignment="1" applyBorder="1" applyFont="1" applyNumberFormat="1">
      <alignment horizontal="left" shrinkToFit="0" wrapText="1"/>
    </xf>
    <xf borderId="10" fillId="9" fontId="35" numFmtId="4" xfId="0" applyAlignment="1" applyBorder="1" applyFill="1" applyFont="1" applyNumberFormat="1">
      <alignment horizontal="left" shrinkToFit="0" vertical="bottom" wrapText="1"/>
    </xf>
    <xf borderId="0" fillId="0" fontId="35" numFmtId="0" xfId="0" applyAlignment="1" applyFont="1">
      <alignment horizontal="left" shrinkToFit="0" wrapText="1"/>
    </xf>
    <xf borderId="0" fillId="0" fontId="34" numFmtId="0" xfId="0" applyAlignment="1" applyFont="1">
      <alignment horizontal="left" vertical="top"/>
    </xf>
    <xf borderId="0" fillId="6" fontId="34" numFmtId="0" xfId="0" applyAlignment="1" applyFont="1">
      <alignment horizontal="left" vertical="top"/>
    </xf>
    <xf borderId="0" fillId="6" fontId="22" numFmtId="0" xfId="0" applyAlignment="1" applyFont="1">
      <alignment horizontal="center" shrinkToFit="0" wrapText="1"/>
    </xf>
    <xf borderId="5" fillId="0" fontId="23" numFmtId="0" xfId="0" applyAlignment="1" applyBorder="1" applyFont="1">
      <alignment shrinkToFit="0" vertical="bottom" wrapText="1"/>
    </xf>
    <xf borderId="5" fillId="0" fontId="34" numFmtId="0" xfId="0" applyAlignment="1" applyBorder="1" applyFont="1">
      <alignment shrinkToFit="0" vertical="bottom" wrapText="1"/>
    </xf>
    <xf borderId="11" fillId="8" fontId="34" numFmtId="167" xfId="0" applyAlignment="1" applyBorder="1" applyFont="1" applyNumberFormat="1">
      <alignment shrinkToFit="0" vertical="bottom" wrapText="1"/>
    </xf>
    <xf borderId="5" fillId="0" fontId="34" numFmtId="0" xfId="0" applyAlignment="1" applyBorder="1" applyFont="1">
      <alignment horizontal="center" shrinkToFit="0" vertical="bottom" wrapText="1"/>
    </xf>
    <xf borderId="5" fillId="8" fontId="34" numFmtId="168" xfId="0" applyAlignment="1" applyBorder="1" applyFont="1" applyNumberFormat="1">
      <alignment horizontal="center" shrinkToFit="0" vertical="bottom" wrapText="1"/>
    </xf>
    <xf borderId="12" fillId="8" fontId="34" numFmtId="4" xfId="0" applyAlignment="1" applyBorder="1" applyFont="1" applyNumberFormat="1">
      <alignment horizontal="center" shrinkToFit="0" vertical="bottom" wrapText="1"/>
    </xf>
    <xf borderId="5" fillId="8" fontId="34" numFmtId="167" xfId="0" applyAlignment="1" applyBorder="1" applyFont="1" applyNumberFormat="1">
      <alignment shrinkToFit="0" vertical="bottom" wrapText="1"/>
    </xf>
    <xf borderId="0" fillId="0" fontId="2" numFmtId="167" xfId="0" applyFont="1" applyNumberFormat="1"/>
    <xf borderId="0" fillId="6" fontId="2" numFmtId="167" xfId="0" applyFont="1" applyNumberFormat="1"/>
    <xf borderId="0" fillId="10" fontId="36" numFmtId="0" xfId="0" applyAlignment="1" applyFill="1" applyFont="1">
      <alignment vertical="center"/>
    </xf>
    <xf borderId="0" fillId="10" fontId="37" numFmtId="0" xfId="0" applyAlignment="1" applyFont="1">
      <alignment shrinkToFit="0" wrapText="1"/>
    </xf>
    <xf borderId="0" fillId="10" fontId="37" numFmtId="0" xfId="0" applyAlignment="1" applyFont="1">
      <alignment horizontal="right" shrinkToFit="0" vertical="center" wrapText="1"/>
    </xf>
    <xf borderId="0" fillId="10" fontId="38" numFmtId="0" xfId="0" applyAlignment="1" applyFont="1">
      <alignment horizontal="center" shrinkToFit="0" vertical="center" wrapText="1"/>
    </xf>
    <xf borderId="0" fillId="10" fontId="39" numFmtId="0" xfId="0" applyFont="1"/>
    <xf borderId="0" fillId="10" fontId="40" numFmtId="0" xfId="0" applyAlignment="1" applyFont="1">
      <alignment shrinkToFit="0" vertical="center" wrapText="1"/>
    </xf>
    <xf borderId="0" fillId="0" fontId="2" numFmtId="0" xfId="0" applyAlignment="1" applyFont="1">
      <alignment horizontal="center"/>
    </xf>
    <xf borderId="0" fillId="0" fontId="41" numFmtId="0" xfId="0" applyAlignment="1" applyFont="1">
      <alignment shrinkToFit="0" wrapText="1"/>
    </xf>
    <xf borderId="0" fillId="0" fontId="42" numFmtId="0" xfId="0" applyAlignment="1" applyFont="1">
      <alignment horizontal="left"/>
    </xf>
    <xf borderId="0" fillId="10" fontId="38" numFmtId="0" xfId="0" applyAlignment="1" applyFont="1">
      <alignment horizontal="left" shrinkToFit="0" vertical="bottom" wrapText="1"/>
    </xf>
    <xf borderId="12" fillId="10" fontId="38" numFmtId="0" xfId="0" applyAlignment="1" applyBorder="1" applyFont="1">
      <alignment horizontal="left" shrinkToFit="0" vertical="bottom" wrapText="1"/>
    </xf>
    <xf borderId="0" fillId="0" fontId="42" numFmtId="0" xfId="0" applyFont="1"/>
    <xf borderId="13" fillId="7" fontId="43" numFmtId="0" xfId="0" applyAlignment="1" applyBorder="1" applyFont="1">
      <alignment horizontal="center" shrinkToFit="0" vertical="bottom" wrapText="1"/>
    </xf>
    <xf borderId="14" fillId="7" fontId="43" numFmtId="0" xfId="0" applyAlignment="1" applyBorder="1" applyFont="1">
      <alignment horizontal="left" shrinkToFit="0" vertical="bottom" wrapText="1"/>
    </xf>
    <xf borderId="12" fillId="7" fontId="43" numFmtId="0" xfId="0" applyAlignment="1" applyBorder="1" applyFont="1">
      <alignment horizontal="left" shrinkToFit="0" vertical="bottom" wrapText="1"/>
    </xf>
    <xf borderId="12" fillId="7" fontId="43" numFmtId="0" xfId="0" applyAlignment="1" applyBorder="1" applyFont="1">
      <alignment horizontal="center" shrinkToFit="0" vertical="bottom" wrapText="1"/>
    </xf>
    <xf borderId="15" fillId="7" fontId="44" numFmtId="0" xfId="0" applyAlignment="1" applyBorder="1" applyFont="1">
      <alignment horizontal="left" shrinkToFit="0" vertical="bottom" wrapText="1"/>
    </xf>
    <xf borderId="0" fillId="0" fontId="23" numFmtId="0" xfId="0" applyAlignment="1" applyFont="1">
      <alignment vertical="center"/>
    </xf>
    <xf borderId="16" fillId="8" fontId="23" numFmtId="0" xfId="0" applyAlignment="1" applyBorder="1" applyFont="1">
      <alignment horizontal="center" vertical="center"/>
    </xf>
    <xf borderId="17" fillId="8" fontId="23" numFmtId="0" xfId="0" applyAlignment="1" applyBorder="1" applyFont="1">
      <alignment vertical="center"/>
    </xf>
    <xf borderId="12" fillId="8" fontId="23" numFmtId="0" xfId="0" applyAlignment="1" applyBorder="1" applyFont="1">
      <alignment shrinkToFit="0" vertical="center" wrapText="1"/>
    </xf>
    <xf borderId="12" fillId="8" fontId="23" numFmtId="0" xfId="0" applyAlignment="1" applyBorder="1" applyFont="1">
      <alignment horizontal="center" shrinkToFit="0" vertical="center" wrapText="1"/>
    </xf>
    <xf borderId="18" fillId="8" fontId="23" numFmtId="0" xfId="0" applyAlignment="1" applyBorder="1" applyFont="1">
      <alignment horizontal="center" shrinkToFit="0" vertical="center" wrapText="1"/>
    </xf>
    <xf borderId="19" fillId="8" fontId="23" numFmtId="0" xfId="0" applyAlignment="1" applyBorder="1" applyFont="1">
      <alignment shrinkToFit="0" vertical="center" wrapText="1"/>
    </xf>
    <xf borderId="16" fillId="3" fontId="23" numFmtId="0" xfId="0" applyAlignment="1" applyBorder="1" applyFont="1">
      <alignment horizontal="center" vertical="center"/>
    </xf>
    <xf borderId="17" fillId="3" fontId="23" numFmtId="0" xfId="0" applyAlignment="1" applyBorder="1" applyFont="1">
      <alignment vertical="center"/>
    </xf>
    <xf borderId="12" fillId="3" fontId="23" numFmtId="0" xfId="0" applyAlignment="1" applyBorder="1" applyFont="1">
      <alignment shrinkToFit="0" vertical="center" wrapText="1"/>
    </xf>
    <xf borderId="12" fillId="3" fontId="23" numFmtId="0" xfId="0" applyAlignment="1" applyBorder="1" applyFont="1">
      <alignment horizontal="center" shrinkToFit="0" vertical="center" wrapText="1"/>
    </xf>
    <xf borderId="18" fillId="3" fontId="23" numFmtId="0" xfId="0" applyAlignment="1" applyBorder="1" applyFont="1">
      <alignment horizontal="center" shrinkToFit="0" vertical="center" wrapText="1"/>
    </xf>
    <xf borderId="19" fillId="3" fontId="23" numFmtId="0" xfId="0" applyAlignment="1" applyBorder="1" applyFont="1">
      <alignment shrinkToFit="0" vertical="center" wrapText="1"/>
    </xf>
    <xf borderId="12" fillId="3" fontId="23" numFmtId="168" xfId="0" applyAlignment="1" applyBorder="1" applyFont="1" applyNumberFormat="1">
      <alignment horizontal="center" shrinkToFit="0" vertical="center" wrapText="1"/>
    </xf>
    <xf borderId="18" fillId="3" fontId="23" numFmtId="168" xfId="0" applyAlignment="1" applyBorder="1" applyFont="1" applyNumberFormat="1">
      <alignment horizontal="center" shrinkToFit="0" vertical="center" wrapText="1"/>
    </xf>
    <xf borderId="12" fillId="8" fontId="23" numFmtId="168" xfId="0" applyAlignment="1" applyBorder="1" applyFont="1" applyNumberFormat="1">
      <alignment horizontal="center" shrinkToFit="0" vertical="center" wrapText="1"/>
    </xf>
    <xf borderId="18" fillId="8" fontId="23" numFmtId="168" xfId="0" applyAlignment="1" applyBorder="1" applyFont="1" applyNumberFormat="1">
      <alignment horizontal="center" shrinkToFit="0" vertical="center" wrapText="1"/>
    </xf>
    <xf borderId="0" fillId="0" fontId="23" numFmtId="0" xfId="0" applyFont="1"/>
    <xf borderId="0" fillId="3" fontId="23" numFmtId="0" xfId="0" applyAlignment="1" applyFont="1">
      <alignment horizontal="center"/>
    </xf>
    <xf borderId="0" fillId="3" fontId="23" numFmtId="0" xfId="0" applyFont="1"/>
    <xf borderId="12" fillId="3" fontId="23" numFmtId="0" xfId="0" applyBorder="1" applyFont="1"/>
    <xf borderId="12" fillId="3" fontId="23" numFmtId="0" xfId="0" applyAlignment="1" applyBorder="1" applyFont="1">
      <alignment horizontal="center"/>
    </xf>
    <xf borderId="18" fillId="3" fontId="23" numFmtId="0" xfId="0" applyAlignment="1" applyBorder="1" applyFont="1">
      <alignment horizontal="center"/>
    </xf>
    <xf borderId="0" fillId="8" fontId="23" numFmtId="0" xfId="0" applyAlignment="1" applyFont="1">
      <alignment horizontal="center"/>
    </xf>
    <xf borderId="0" fillId="8" fontId="23" numFmtId="0" xfId="0" applyFont="1"/>
    <xf borderId="12" fillId="8" fontId="23" numFmtId="0" xfId="0" applyBorder="1" applyFont="1"/>
    <xf borderId="12" fillId="8" fontId="23" numFmtId="0" xfId="0" applyAlignment="1" applyBorder="1" applyFont="1">
      <alignment horizontal="center"/>
    </xf>
    <xf borderId="18" fillId="8" fontId="23" numFmtId="0" xfId="0" applyAlignment="1" applyBorder="1" applyFont="1">
      <alignment horizontal="center"/>
    </xf>
    <xf borderId="0" fillId="3" fontId="23" numFmtId="0" xfId="0" applyAlignment="1" applyFont="1">
      <alignment shrinkToFit="0" vertical="center" wrapText="1"/>
    </xf>
    <xf borderId="0" fillId="8" fontId="23" numFmtId="0" xfId="0" applyAlignment="1" applyFont="1">
      <alignment shrinkToFit="0" vertical="center" wrapText="1"/>
    </xf>
    <xf borderId="0" fillId="0" fontId="45" numFmtId="0" xfId="0" applyFont="1"/>
    <xf borderId="0" fillId="0" fontId="45" numFmtId="0" xfId="0" applyFont="1"/>
    <xf borderId="0" fillId="0" fontId="46" numFmtId="0" xfId="0" applyFont="1"/>
    <xf borderId="0" fillId="0" fontId="46" numFmtId="0" xfId="0" applyFont="1"/>
    <xf borderId="0" fillId="11" fontId="47" numFmtId="0" xfId="0" applyAlignment="1" applyFill="1" applyFont="1">
      <alignment horizontal="right"/>
    </xf>
    <xf borderId="0" fillId="11" fontId="47" numFmtId="0" xfId="0" applyFont="1"/>
    <xf borderId="0" fillId="11" fontId="10" numFmtId="0" xfId="0" applyAlignment="1" applyFont="1">
      <alignment horizontal="right"/>
    </xf>
    <xf borderId="0" fillId="11" fontId="10" numFmtId="0" xfId="0" applyFont="1"/>
    <xf borderId="20" fillId="11" fontId="10" numFmtId="0" xfId="0" applyBorder="1" applyFont="1"/>
    <xf borderId="0" fillId="4" fontId="48" numFmtId="0" xfId="0" applyAlignment="1" applyFont="1">
      <alignment vertical="bottom"/>
    </xf>
    <xf borderId="0" fillId="0" fontId="34" numFmtId="0" xfId="0" applyAlignment="1" applyFont="1">
      <alignment vertical="bottom"/>
    </xf>
    <xf borderId="0" fillId="3" fontId="11" numFmtId="0" xfId="0" applyAlignment="1" applyFont="1">
      <alignment horizontal="center"/>
    </xf>
    <xf borderId="0" fillId="0" fontId="49" numFmtId="0" xfId="0" applyAlignment="1" applyFont="1">
      <alignment shrinkToFit="0" vertical="bottom" wrapText="1"/>
    </xf>
    <xf borderId="0" fillId="3" fontId="50" numFmtId="0" xfId="0" applyAlignment="1" applyFont="1">
      <alignment horizontal="center" shrinkToFit="0" wrapText="1"/>
    </xf>
    <xf borderId="0" fillId="0" fontId="49" numFmtId="165" xfId="0" applyAlignment="1" applyFont="1" applyNumberFormat="1">
      <alignment shrinkToFit="0" vertical="bottom" wrapText="1"/>
    </xf>
    <xf borderId="0" fillId="0" fontId="49" numFmtId="166" xfId="0" applyAlignment="1" applyFont="1" applyNumberFormat="1">
      <alignment shrinkToFit="0" vertical="bottom" wrapText="1"/>
    </xf>
    <xf borderId="0" fillId="0" fontId="49" numFmtId="164" xfId="0" applyAlignment="1" applyFont="1" applyNumberFormat="1">
      <alignment shrinkToFit="0" vertical="bottom" wrapText="1"/>
    </xf>
    <xf borderId="1" fillId="12" fontId="51" numFmtId="0" xfId="0" applyAlignment="1" applyBorder="1" applyFill="1" applyFont="1">
      <alignment vertical="bottom"/>
    </xf>
    <xf borderId="0" fillId="12" fontId="51" numFmtId="0" xfId="0" applyAlignment="1" applyFont="1">
      <alignment vertical="bottom"/>
    </xf>
    <xf borderId="0" fillId="12" fontId="51" numFmtId="0" xfId="0" applyAlignment="1" applyFont="1">
      <alignment shrinkToFit="0" vertical="bottom" wrapText="1"/>
    </xf>
    <xf borderId="12" fillId="12" fontId="52" numFmtId="165" xfId="0" applyAlignment="1" applyBorder="1" applyFont="1" applyNumberFormat="1">
      <alignment shrinkToFit="0" vertical="bottom" wrapText="1"/>
    </xf>
    <xf borderId="12" fillId="12" fontId="52" numFmtId="166" xfId="0" applyAlignment="1" applyBorder="1" applyFont="1" applyNumberFormat="1">
      <alignment shrinkToFit="0" vertical="bottom" wrapText="1"/>
    </xf>
    <xf borderId="12" fillId="12" fontId="52" numFmtId="164" xfId="0" applyAlignment="1" applyBorder="1" applyFont="1" applyNumberFormat="1">
      <alignment shrinkToFit="0" vertical="bottom" wrapText="1"/>
    </xf>
    <xf borderId="12" fillId="12" fontId="16" numFmtId="0" xfId="0" applyAlignment="1" applyBorder="1" applyFont="1">
      <alignment shrinkToFit="0" vertical="bottom" wrapText="1"/>
    </xf>
    <xf borderId="12" fillId="13" fontId="16" numFmtId="0" xfId="0" applyAlignment="1" applyBorder="1" applyFill="1" applyFont="1">
      <alignment shrinkToFit="0" wrapText="1"/>
    </xf>
    <xf borderId="0" fillId="3" fontId="53" numFmtId="0" xfId="0" applyAlignment="1" applyFont="1">
      <alignment shrinkToFit="0" vertical="bottom" wrapText="1"/>
    </xf>
    <xf borderId="0" fillId="3" fontId="53" numFmtId="0" xfId="0" applyAlignment="1" applyFont="1">
      <alignment vertical="bottom"/>
    </xf>
    <xf borderId="12" fillId="7" fontId="9" numFmtId="169" xfId="0" applyAlignment="1" applyBorder="1" applyFont="1" applyNumberFormat="1">
      <alignment vertical="bottom"/>
    </xf>
    <xf borderId="12" fillId="12" fontId="9" numFmtId="2" xfId="0" applyAlignment="1" applyBorder="1" applyFont="1" applyNumberFormat="1">
      <alignment horizontal="right" vertical="bottom"/>
    </xf>
    <xf borderId="12" fillId="3" fontId="54" numFmtId="10" xfId="0" applyBorder="1" applyFont="1" applyNumberFormat="1"/>
    <xf borderId="0" fillId="14" fontId="53" numFmtId="0" xfId="0" applyAlignment="1" applyFill="1" applyFont="1">
      <alignment shrinkToFit="0" vertical="bottom" wrapText="1"/>
    </xf>
    <xf borderId="0" fillId="14" fontId="53" numFmtId="0" xfId="0" applyAlignment="1" applyFont="1">
      <alignment vertical="bottom"/>
    </xf>
    <xf borderId="12" fillId="14" fontId="54" numFmtId="10" xfId="0" applyBorder="1" applyFont="1" applyNumberFormat="1"/>
    <xf borderId="4" fillId="5" fontId="38" numFmtId="0" xfId="0" applyAlignment="1" applyBorder="1" applyFont="1">
      <alignment shrinkToFit="0" vertical="center" wrapText="1"/>
    </xf>
    <xf borderId="0" fillId="5" fontId="38" numFmtId="0" xfId="0" applyAlignment="1" applyFont="1">
      <alignment shrinkToFit="0" vertical="center" wrapText="1"/>
    </xf>
    <xf borderId="0" fillId="15" fontId="34" numFmtId="49" xfId="0" applyAlignment="1" applyFill="1" applyFont="1" applyNumberFormat="1">
      <alignment readingOrder="0"/>
    </xf>
    <xf borderId="0" fillId="15" fontId="34" numFmtId="0" xfId="0" applyAlignment="1" applyFont="1">
      <alignment readingOrder="0"/>
    </xf>
    <xf borderId="0" fillId="15" fontId="34" numFmtId="0" xfId="0" applyAlignment="1" applyFont="1">
      <alignment horizontal="center" readingOrder="0"/>
    </xf>
    <xf borderId="0" fillId="15" fontId="34" numFmtId="170" xfId="0" applyAlignment="1" applyFont="1" applyNumberFormat="1">
      <alignment readingOrder="0"/>
    </xf>
    <xf borderId="0" fillId="15" fontId="34" numFmtId="170" xfId="0" applyFont="1" applyNumberFormat="1"/>
    <xf borderId="0" fillId="3" fontId="34" numFmtId="49" xfId="0" applyAlignment="1" applyFont="1" applyNumberFormat="1">
      <alignment readingOrder="0"/>
    </xf>
    <xf borderId="0" fillId="3" fontId="34" numFmtId="0" xfId="0" applyAlignment="1" applyFont="1">
      <alignment readingOrder="0"/>
    </xf>
    <xf borderId="0" fillId="3" fontId="34" numFmtId="0" xfId="0" applyAlignment="1" applyFont="1">
      <alignment horizontal="center" readingOrder="0"/>
    </xf>
    <xf borderId="5" fillId="3" fontId="23" numFmtId="0" xfId="0" applyAlignment="1" applyBorder="1" applyFont="1">
      <alignment readingOrder="0" shrinkToFit="0" wrapText="1"/>
    </xf>
    <xf borderId="0" fillId="3" fontId="23" numFmtId="170" xfId="0" applyAlignment="1" applyFont="1" applyNumberFormat="1">
      <alignment readingOrder="0" shrinkToFit="0" wrapText="1"/>
    </xf>
    <xf borderId="0" fillId="3" fontId="34" numFmtId="170" xfId="0" applyAlignment="1" applyFont="1" applyNumberFormat="1">
      <alignment readingOrder="0"/>
    </xf>
    <xf borderId="0" fillId="3" fontId="23" numFmtId="170" xfId="0" applyAlignment="1" applyFont="1" applyNumberFormat="1">
      <alignment shrinkToFit="0" wrapText="1"/>
    </xf>
    <xf borderId="0" fillId="3" fontId="34" numFmtId="170" xfId="0" applyFont="1" applyNumberFormat="1"/>
    <xf borderId="0" fillId="15" fontId="34" numFmtId="49" xfId="0" applyFont="1" applyNumberFormat="1"/>
    <xf borderId="0" fillId="15" fontId="34" numFmtId="0" xfId="0" applyFont="1"/>
    <xf borderId="0" fillId="15" fontId="34" numFmtId="0" xfId="0" applyAlignment="1" applyFont="1">
      <alignment horizontal="center"/>
    </xf>
    <xf borderId="0" fillId="3" fontId="34" numFmtId="49" xfId="0" applyFont="1" applyNumberFormat="1"/>
    <xf borderId="0" fillId="3" fontId="34" numFmtId="0" xfId="0" applyFont="1"/>
    <xf borderId="0" fillId="3" fontId="34" numFmtId="0" xfId="0" applyAlignment="1" applyFont="1">
      <alignment horizontal="center"/>
    </xf>
    <xf borderId="0" fillId="16" fontId="55" numFmtId="0" xfId="0" applyAlignment="1" applyFill="1" applyFont="1">
      <alignment shrinkToFit="0" vertical="top" wrapText="0"/>
    </xf>
    <xf borderId="0" fillId="16" fontId="42" numFmtId="0" xfId="0" applyAlignment="1" applyFont="1">
      <alignment shrinkToFit="0" vertical="top" wrapText="1"/>
    </xf>
    <xf borderId="0" fillId="16" fontId="42" numFmtId="166" xfId="0" applyAlignment="1" applyFont="1" applyNumberFormat="1">
      <alignment shrinkToFit="0" vertical="top" wrapText="1"/>
    </xf>
    <xf borderId="0" fillId="16" fontId="56" numFmtId="166" xfId="0" applyAlignment="1" applyFont="1" applyNumberFormat="1">
      <alignment shrinkToFit="0" vertical="top" wrapText="1"/>
    </xf>
    <xf borderId="0" fillId="16" fontId="57" numFmtId="0" xfId="0" applyAlignment="1" applyFont="1">
      <alignment shrinkToFit="0" vertical="top" wrapText="1"/>
    </xf>
    <xf borderId="0" fillId="16" fontId="58" numFmtId="0" xfId="0" applyAlignment="1" applyFont="1">
      <alignment shrinkToFit="0" vertical="top" wrapText="0"/>
    </xf>
    <xf borderId="5" fillId="5" fontId="38" numFmtId="0" xfId="0" applyAlignment="1" applyBorder="1" applyFont="1">
      <alignment shrinkToFit="0" vertical="center" wrapText="1"/>
    </xf>
    <xf borderId="5" fillId="5" fontId="38" numFmtId="166" xfId="0" applyAlignment="1" applyBorder="1" applyFont="1" applyNumberFormat="1">
      <alignment horizontal="center" shrinkToFit="0" vertical="center" wrapText="1"/>
    </xf>
    <xf borderId="5" fillId="5" fontId="38" numFmtId="0" xfId="0" applyAlignment="1" applyBorder="1" applyFont="1">
      <alignment horizontal="center" shrinkToFit="0" vertical="center" wrapText="1"/>
    </xf>
    <xf borderId="21" fillId="0" fontId="59" numFmtId="166" xfId="0" applyAlignment="1" applyBorder="1" applyFont="1" applyNumberFormat="1">
      <alignment horizontal="center" shrinkToFit="0" vertical="center" wrapText="1"/>
    </xf>
    <xf borderId="21" fillId="0" fontId="59" numFmtId="169" xfId="0" applyAlignment="1" applyBorder="1" applyFont="1" applyNumberFormat="1">
      <alignment horizontal="center" shrinkToFit="0" vertical="center" wrapText="1"/>
    </xf>
    <xf borderId="0" fillId="0" fontId="59" numFmtId="169" xfId="0" applyAlignment="1" applyFont="1" applyNumberFormat="1">
      <alignment horizontal="center" shrinkToFit="0" vertical="center" wrapText="1"/>
    </xf>
    <xf borderId="22" fillId="16" fontId="57" numFmtId="0" xfId="0" applyAlignment="1" applyBorder="1" applyFont="1">
      <alignment shrinkToFit="0" vertical="top" wrapText="1"/>
    </xf>
    <xf borderId="5" fillId="17" fontId="23" numFmtId="0" xfId="0" applyAlignment="1" applyBorder="1" applyFill="1" applyFont="1">
      <alignment shrinkToFit="0" wrapText="1"/>
    </xf>
    <xf borderId="5" fillId="0" fontId="23" numFmtId="0" xfId="0" applyAlignment="1" applyBorder="1" applyFont="1">
      <alignment shrinkToFit="0" wrapText="1"/>
    </xf>
    <xf borderId="10" fillId="0" fontId="23" numFmtId="0" xfId="0" applyAlignment="1" applyBorder="1" applyFont="1">
      <alignment shrinkToFit="0" wrapText="1"/>
    </xf>
    <xf borderId="10" fillId="0" fontId="23" numFmtId="4" xfId="0" applyAlignment="1" applyBorder="1" applyFont="1" applyNumberFormat="1">
      <alignment shrinkToFit="0" wrapText="1"/>
    </xf>
    <xf borderId="23" fillId="8" fontId="23" numFmtId="166" xfId="0" applyAlignment="1" applyBorder="1" applyFont="1" applyNumberFormat="1">
      <alignment horizontal="center" shrinkToFit="0" vertical="center" wrapText="1"/>
    </xf>
    <xf borderId="0" fillId="16" fontId="57" numFmtId="0" xfId="0" applyAlignment="1" applyFont="1">
      <alignment shrinkToFit="0" wrapText="1"/>
    </xf>
    <xf borderId="24" fillId="16" fontId="23" numFmtId="0" xfId="0" applyBorder="1" applyFont="1"/>
    <xf borderId="5" fillId="0" fontId="23" numFmtId="4" xfId="0" applyAlignment="1" applyBorder="1" applyFont="1" applyNumberFormat="1">
      <alignment shrinkToFit="0" wrapText="1"/>
    </xf>
    <xf borderId="5" fillId="0" fontId="23" numFmtId="46" xfId="0" applyAlignment="1" applyBorder="1" applyFont="1" applyNumberFormat="1">
      <alignment shrinkToFit="0" wrapText="1"/>
    </xf>
    <xf borderId="5" fillId="0" fontId="60" numFmtId="0" xfId="0" applyAlignment="1" applyBorder="1" applyFont="1">
      <alignment shrinkToFit="0" wrapText="1"/>
    </xf>
    <xf borderId="5" fillId="0" fontId="60" numFmtId="4" xfId="0" applyAlignment="1" applyBorder="1" applyFont="1" applyNumberFormat="1">
      <alignment shrinkToFit="0" wrapText="1"/>
    </xf>
    <xf borderId="23" fillId="8" fontId="60" numFmtId="166" xfId="0" applyAlignment="1" applyBorder="1" applyFont="1" applyNumberFormat="1">
      <alignment horizontal="center" shrinkToFit="0" vertical="center" wrapText="1"/>
    </xf>
    <xf borderId="0" fillId="16" fontId="61" numFmtId="0" xfId="0" applyAlignment="1" applyFont="1">
      <alignment shrinkToFit="0" wrapText="1"/>
    </xf>
    <xf borderId="24" fillId="16" fontId="60" numFmtId="0" xfId="0" applyBorder="1" applyFont="1"/>
    <xf borderId="24" fillId="16" fontId="23" numFmtId="0" xfId="0" applyAlignment="1" applyBorder="1" applyFont="1">
      <alignment vertical="center"/>
    </xf>
    <xf borderId="5" fillId="0" fontId="23" numFmtId="171" xfId="0" applyAlignment="1" applyBorder="1" applyFont="1" applyNumberFormat="1">
      <alignment shrinkToFit="0" wrapText="1"/>
    </xf>
    <xf borderId="0" fillId="0" fontId="62" numFmtId="0" xfId="0" applyFont="1"/>
    <xf borderId="0" fillId="0" fontId="51" numFmtId="0" xfId="0" applyAlignment="1" applyFont="1">
      <alignment shrinkToFit="0" vertical="center" wrapText="1"/>
    </xf>
    <xf borderId="0" fillId="0" fontId="63" numFmtId="0" xfId="0" applyAlignment="1" applyFont="1">
      <alignment shrinkToFit="0" vertical="center" wrapText="1"/>
    </xf>
    <xf borderId="0" fillId="0" fontId="51" numFmtId="0" xfId="0" applyAlignment="1" applyFont="1">
      <alignment horizontal="center" shrinkToFit="0" vertical="center" wrapText="1"/>
    </xf>
    <xf borderId="0" fillId="0" fontId="64" numFmtId="0" xfId="0" applyAlignment="1" applyFont="1">
      <alignment horizontal="right" shrinkToFit="0" vertical="top" wrapText="1"/>
    </xf>
    <xf borderId="0" fillId="0" fontId="64" numFmtId="169" xfId="0" applyAlignment="1" applyFont="1" applyNumberFormat="1">
      <alignment horizontal="right" shrinkToFit="0" vertical="top" wrapText="1"/>
    </xf>
    <xf borderId="0" fillId="0" fontId="64" numFmtId="0" xfId="0" applyAlignment="1" applyFont="1">
      <alignment shrinkToFit="0" vertical="top" wrapText="1"/>
    </xf>
    <xf borderId="21" fillId="0" fontId="59" numFmtId="0" xfId="0" applyAlignment="1" applyBorder="1" applyFont="1">
      <alignment horizontal="center" shrinkToFit="0" vertical="center" wrapText="1"/>
    </xf>
    <xf borderId="5" fillId="0" fontId="23" numFmtId="0" xfId="0" applyAlignment="1" applyBorder="1" applyFont="1">
      <alignment readingOrder="0" shrinkToFit="0" wrapText="1"/>
    </xf>
    <xf borderId="5" fillId="0" fontId="65" numFmtId="0" xfId="0" applyAlignment="1" applyBorder="1" applyFont="1">
      <alignment readingOrder="0" shrinkToFit="0" wrapText="1"/>
    </xf>
    <xf borderId="10" fillId="0" fontId="23" numFmtId="0" xfId="0" applyAlignment="1" applyBorder="1" applyFont="1">
      <alignment readingOrder="0" shrinkToFit="0" wrapText="1"/>
    </xf>
    <xf borderId="10" fillId="0" fontId="23" numFmtId="171" xfId="0" applyAlignment="1" applyBorder="1" applyFont="1" applyNumberFormat="1">
      <alignment readingOrder="0" shrinkToFit="0" wrapText="1"/>
    </xf>
    <xf borderId="23" fillId="8" fontId="23" numFmtId="0" xfId="0" applyAlignment="1" applyBorder="1" applyFont="1">
      <alignment horizontal="center" readingOrder="0" shrinkToFit="0" vertical="center" wrapText="1"/>
    </xf>
    <xf borderId="23" fillId="8" fontId="23" numFmtId="169" xfId="0" applyAlignment="1" applyBorder="1" applyFont="1" applyNumberFormat="1">
      <alignment horizontal="center" shrinkToFit="0" vertical="center" wrapText="1"/>
    </xf>
    <xf borderId="0" fillId="0" fontId="23" numFmtId="0" xfId="0" applyAlignment="1" applyFont="1">
      <alignment readingOrder="0" shrinkToFit="0" wrapText="1"/>
    </xf>
    <xf borderId="5" fillId="0" fontId="23" numFmtId="171" xfId="0" applyAlignment="1" applyBorder="1" applyFont="1" applyNumberFormat="1">
      <alignment readingOrder="0" shrinkToFit="0" wrapText="1"/>
    </xf>
    <xf borderId="5" fillId="0" fontId="34" numFmtId="0" xfId="0" applyAlignment="1" applyBorder="1" applyFont="1">
      <alignment readingOrder="0"/>
    </xf>
    <xf borderId="23" fillId="8" fontId="66" numFmtId="0" xfId="0" applyAlignment="1" applyBorder="1" applyFont="1">
      <alignment horizontal="center" readingOrder="0" shrinkToFit="0" vertical="center" wrapText="1"/>
    </xf>
    <xf quotePrefix="1" borderId="5" fillId="0" fontId="23" numFmtId="0" xfId="0" applyAlignment="1" applyBorder="1" applyFont="1">
      <alignment readingOrder="0" shrinkToFit="0" wrapText="1"/>
    </xf>
    <xf borderId="0" fillId="0" fontId="23" numFmtId="171" xfId="0" applyAlignment="1" applyFont="1" applyNumberFormat="1">
      <alignment readingOrder="0" shrinkToFit="0" wrapText="1"/>
    </xf>
    <xf borderId="0" fillId="8" fontId="23" numFmtId="0" xfId="0" applyAlignment="1" applyFont="1">
      <alignment horizontal="center" readingOrder="0" shrinkToFit="0" vertical="center" wrapText="1"/>
    </xf>
    <xf borderId="23" fillId="8" fontId="23" numFmtId="0" xfId="0" applyAlignment="1" applyBorder="1" applyFont="1">
      <alignment horizontal="center" shrinkToFit="0" vertical="center" wrapText="1"/>
    </xf>
    <xf borderId="5" fillId="0" fontId="34" numFmtId="0" xfId="0" applyBorder="1" applyFont="1"/>
    <xf borderId="0" fillId="0" fontId="23" numFmtId="171" xfId="0" applyAlignment="1" applyFont="1" applyNumberFormat="1">
      <alignment shrinkToFit="0" wrapText="1"/>
    </xf>
    <xf borderId="0" fillId="8" fontId="23" numFmtId="0" xfId="0" applyAlignment="1" applyFont="1">
      <alignment horizontal="center" shrinkToFit="0" vertical="center" wrapText="1"/>
    </xf>
    <xf borderId="0" fillId="0" fontId="38" numFmtId="0" xfId="0" applyAlignment="1" applyFont="1">
      <alignment shrinkToFit="0" vertical="center" wrapText="1"/>
    </xf>
    <xf borderId="0" fillId="0" fontId="38" numFmtId="0" xfId="0" applyAlignment="1" applyFont="1">
      <alignment horizontal="center" shrinkToFit="0" vertical="center" wrapText="1"/>
    </xf>
    <xf borderId="0" fillId="0" fontId="38" numFmtId="166" xfId="0" applyAlignment="1" applyFont="1" applyNumberFormat="1">
      <alignment horizontal="center" shrinkToFit="0" vertical="center" wrapText="1"/>
    </xf>
    <xf borderId="0" fillId="0" fontId="67" numFmtId="0" xfId="0" applyAlignment="1" applyFont="1">
      <alignment shrinkToFit="0" vertical="top" wrapText="1"/>
    </xf>
    <xf borderId="0" fillId="0" fontId="67" numFmtId="169" xfId="0" applyAlignment="1" applyFont="1" applyNumberFormat="1">
      <alignment shrinkToFit="0" vertical="top" wrapText="1"/>
    </xf>
    <xf borderId="0" fillId="0" fontId="68" numFmtId="0" xfId="0" applyAlignment="1" applyFont="1">
      <alignment shrinkToFit="0" vertical="top" wrapText="1"/>
    </xf>
    <xf borderId="21" fillId="0" fontId="59" numFmtId="169" xfId="0" applyAlignment="1" applyBorder="1" applyFont="1" applyNumberFormat="1">
      <alignment horizontal="center" shrinkToFit="0" vertical="top" wrapText="1"/>
    </xf>
    <xf borderId="0" fillId="0" fontId="59" numFmtId="169" xfId="0" applyAlignment="1" applyFont="1" applyNumberFormat="1">
      <alignment horizontal="center" shrinkToFit="0" vertical="top" wrapText="1"/>
    </xf>
    <xf borderId="5" fillId="0" fontId="23" numFmtId="166" xfId="0" applyAlignment="1" applyBorder="1" applyFont="1" applyNumberFormat="1">
      <alignment shrinkToFit="0" wrapText="1"/>
    </xf>
    <xf borderId="5" fillId="3" fontId="69" numFmtId="0" xfId="0" applyAlignment="1" applyBorder="1" applyFont="1">
      <alignment readingOrder="0"/>
    </xf>
    <xf borderId="5" fillId="0" fontId="23" numFmtId="166" xfId="0" applyAlignment="1" applyBorder="1" applyFont="1" applyNumberFormat="1">
      <alignment readingOrder="0" shrinkToFit="0" wrapText="1"/>
    </xf>
    <xf borderId="23" fillId="8" fontId="23" numFmtId="169" xfId="0" applyAlignment="1" applyBorder="1" applyFont="1" applyNumberFormat="1">
      <alignment horizontal="center" readingOrder="0" shrinkToFit="0" vertical="center" wrapText="1"/>
    </xf>
    <xf borderId="0" fillId="0" fontId="70" numFmtId="0" xfId="0" applyAlignment="1" applyFont="1">
      <alignment horizontal="right" shrinkToFit="0" vertical="top" wrapText="1"/>
    </xf>
    <xf borderId="0" fillId="0" fontId="70" numFmtId="169" xfId="0" applyAlignment="1" applyFont="1" applyNumberFormat="1">
      <alignment horizontal="right" shrinkToFit="0" vertical="top" wrapText="1"/>
    </xf>
    <xf borderId="0" fillId="0" fontId="71" numFmtId="0" xfId="0" applyAlignment="1" applyFont="1">
      <alignment shrinkToFit="0" vertical="top" wrapText="0"/>
    </xf>
    <xf borderId="25" fillId="16" fontId="57" numFmtId="0" xfId="0" applyAlignment="1" applyBorder="1" applyFont="1">
      <alignment shrinkToFit="0" vertical="top" wrapText="1"/>
    </xf>
    <xf borderId="2" fillId="8" fontId="23" numFmtId="0" xfId="0" applyAlignment="1" applyBorder="1" applyFont="1">
      <alignment horizontal="center" readingOrder="0" shrinkToFit="0" vertical="center" wrapText="1"/>
    </xf>
    <xf borderId="0" fillId="0" fontId="34" numFmtId="0" xfId="0" applyFont="1"/>
    <xf borderId="0" fillId="8" fontId="23" numFmtId="169" xfId="0" applyAlignment="1" applyFont="1" applyNumberFormat="1">
      <alignment horizontal="center" shrinkToFit="0" vertical="center" wrapText="1"/>
    </xf>
    <xf borderId="0" fillId="16" fontId="23" numFmtId="0" xfId="0" applyFont="1"/>
    <xf borderId="0" fillId="0" fontId="10" numFmtId="0" xfId="0" applyFont="1"/>
    <xf borderId="26" fillId="5" fontId="38" numFmtId="0" xfId="0" applyAlignment="1" applyBorder="1" applyFont="1">
      <alignment horizontal="center" shrinkToFit="0" vertical="center" wrapText="1"/>
    </xf>
    <xf borderId="26" fillId="5" fontId="38" numFmtId="0" xfId="0" applyAlignment="1" applyBorder="1" applyFont="1">
      <alignment horizontal="left" shrinkToFit="0" vertical="center" wrapText="1"/>
    </xf>
    <xf borderId="0" fillId="5" fontId="38" numFmtId="0" xfId="0" applyAlignment="1" applyFont="1">
      <alignment horizontal="center" shrinkToFit="0" vertical="center" wrapText="1"/>
    </xf>
    <xf borderId="27" fillId="16" fontId="72" numFmtId="0" xfId="0" applyAlignment="1" applyBorder="1" applyFont="1">
      <alignment shrinkToFit="0" vertical="top" wrapText="1"/>
    </xf>
    <xf borderId="28" fillId="17" fontId="23" numFmtId="0" xfId="0" applyAlignment="1" applyBorder="1" applyFont="1">
      <alignment horizontal="center" shrinkToFit="0" vertical="center" wrapText="1"/>
    </xf>
    <xf borderId="29" fillId="0" fontId="23" numFmtId="0" xfId="0" applyAlignment="1" applyBorder="1" applyFont="1">
      <alignment shrinkToFit="0" vertical="center" wrapText="1"/>
    </xf>
    <xf borderId="29" fillId="0" fontId="34" numFmtId="0" xfId="0" applyAlignment="1" applyBorder="1" applyFont="1">
      <alignment horizontal="left" shrinkToFit="0" vertical="center" wrapText="1"/>
    </xf>
    <xf borderId="0" fillId="0" fontId="34" numFmtId="0" xfId="0" applyAlignment="1" applyFont="1">
      <alignment horizontal="center" shrinkToFit="0" vertical="center" wrapText="1"/>
    </xf>
    <xf borderId="0" fillId="0" fontId="23" numFmtId="0" xfId="0" applyAlignment="1" applyFont="1">
      <alignment shrinkToFit="0" vertical="center" wrapText="1"/>
    </xf>
    <xf borderId="27" fillId="16" fontId="23" numFmtId="0" xfId="0" applyAlignment="1" applyBorder="1" applyFont="1">
      <alignment shrinkToFit="0" vertical="center" wrapText="1"/>
    </xf>
    <xf borderId="30" fillId="0" fontId="23" numFmtId="0" xfId="0" applyAlignment="1" applyBorder="1" applyFont="1">
      <alignment horizontal="center" shrinkToFit="0" vertical="center" wrapText="1"/>
    </xf>
    <xf borderId="31" fillId="0" fontId="23" numFmtId="0" xfId="0" applyAlignment="1" applyBorder="1" applyFont="1">
      <alignment horizontal="left" shrinkToFit="0" vertical="center" wrapText="1"/>
    </xf>
    <xf borderId="32" fillId="0" fontId="23" numFmtId="0" xfId="0" applyAlignment="1" applyBorder="1" applyFont="1">
      <alignment shrinkToFit="0" vertical="center" wrapText="1"/>
    </xf>
    <xf borderId="32" fillId="0" fontId="34" numFmtId="0" xfId="0" applyAlignment="1" applyBorder="1" applyFont="1">
      <alignment horizontal="left" shrinkToFit="0" vertical="center" wrapText="1"/>
    </xf>
    <xf borderId="32" fillId="0" fontId="23" numFmtId="0" xfId="0" applyAlignment="1" applyBorder="1" applyFont="1">
      <alignment horizontal="center" shrinkToFit="0" vertical="center" wrapText="1"/>
    </xf>
    <xf borderId="32" fillId="0" fontId="34" numFmtId="171" xfId="0" applyAlignment="1" applyBorder="1" applyFont="1" applyNumberFormat="1">
      <alignment horizontal="left" shrinkToFit="0" vertical="center" wrapText="1"/>
    </xf>
    <xf borderId="0" fillId="0" fontId="23" numFmtId="0" xfId="0" applyAlignment="1" applyFont="1">
      <alignment horizontal="left" shrinkToFit="0" vertical="center" wrapText="1"/>
    </xf>
    <xf borderId="0" fillId="0" fontId="34" numFmtId="0" xfId="0" applyAlignment="1" applyFont="1">
      <alignment horizontal="left" shrinkToFit="0" vertical="center" wrapText="1"/>
    </xf>
    <xf borderId="0" fillId="0" fontId="23" numFmtId="0" xfId="0" applyAlignment="1" applyFont="1">
      <alignment horizontal="center" shrinkToFit="0" vertical="center" wrapText="1"/>
    </xf>
    <xf borderId="0" fillId="16" fontId="23" numFmtId="0" xfId="0" applyAlignment="1" applyFont="1">
      <alignment shrinkToFit="0" vertical="center" wrapText="1"/>
    </xf>
    <xf borderId="0" fillId="0" fontId="73" numFmtId="0" xfId="0" applyFont="1"/>
    <xf borderId="0" fillId="0" fontId="18" numFmtId="0" xfId="0" applyFont="1"/>
    <xf borderId="0" fillId="0" fontId="74" numFmtId="0" xfId="0" applyFont="1"/>
    <xf borderId="0" fillId="0" fontId="74" numFmtId="171" xfId="0" applyAlignment="1" applyFont="1" applyNumberFormat="1">
      <alignment shrinkToFit="0" wrapText="1"/>
    </xf>
    <xf borderId="0" fillId="0" fontId="74" numFmtId="49" xfId="0" applyAlignment="1" applyFont="1" applyNumberFormat="1">
      <alignment shrinkToFit="0" wrapText="1"/>
    </xf>
    <xf borderId="0" fillId="18" fontId="75" numFmtId="0" xfId="0" applyAlignment="1" applyFill="1" applyFont="1">
      <alignment horizontal="center" vertical="center"/>
    </xf>
    <xf borderId="0" fillId="4" fontId="36" numFmtId="0" xfId="0" applyFont="1"/>
    <xf borderId="0" fillId="4" fontId="76" numFmtId="0" xfId="0" applyFont="1"/>
    <xf borderId="0" fillId="4" fontId="38" numFmtId="0" xfId="0" applyFont="1"/>
    <xf borderId="0" fillId="4" fontId="38" numFmtId="171" xfId="0" applyAlignment="1" applyFont="1" applyNumberFormat="1">
      <alignment shrinkToFit="0" wrapText="1"/>
    </xf>
    <xf borderId="0" fillId="4" fontId="38" numFmtId="49" xfId="0" applyAlignment="1" applyFont="1" applyNumberFormat="1">
      <alignment shrinkToFit="0" wrapText="1"/>
    </xf>
    <xf borderId="0" fillId="4" fontId="38" numFmtId="0" xfId="0" applyAlignment="1" applyFont="1">
      <alignment horizontal="center"/>
    </xf>
    <xf borderId="0" fillId="0" fontId="38" numFmtId="0" xfId="0" applyFont="1"/>
    <xf borderId="0" fillId="0" fontId="38" numFmtId="171" xfId="0" applyAlignment="1" applyFont="1" applyNumberFormat="1">
      <alignment shrinkToFit="0" wrapText="1"/>
    </xf>
    <xf borderId="0" fillId="0" fontId="38" numFmtId="49" xfId="0" applyAlignment="1" applyFont="1" applyNumberFormat="1">
      <alignment shrinkToFit="0" wrapText="1"/>
    </xf>
    <xf borderId="0" fillId="0" fontId="38" numFmtId="0" xfId="0" applyAlignment="1" applyFont="1">
      <alignment horizontal="center"/>
    </xf>
    <xf borderId="5" fillId="4" fontId="38" numFmtId="0" xfId="0" applyBorder="1" applyFont="1"/>
    <xf borderId="5" fillId="4" fontId="38" numFmtId="171" xfId="0" applyAlignment="1" applyBorder="1" applyFont="1" applyNumberFormat="1">
      <alignment shrinkToFit="0" wrapText="1"/>
    </xf>
    <xf borderId="5" fillId="4" fontId="38" numFmtId="49" xfId="0" applyAlignment="1" applyBorder="1" applyFont="1" applyNumberFormat="1">
      <alignment shrinkToFit="0" wrapText="1"/>
    </xf>
    <xf borderId="5" fillId="4" fontId="38" numFmtId="0" xfId="0" applyAlignment="1" applyBorder="1" applyFont="1">
      <alignment horizontal="center"/>
    </xf>
    <xf borderId="5" fillId="0" fontId="77" numFmtId="0" xfId="0" applyBorder="1" applyFont="1"/>
    <xf borderId="5" fillId="0" fontId="77" numFmtId="171" xfId="0" applyBorder="1" applyFont="1" applyNumberFormat="1"/>
    <xf borderId="5" fillId="0" fontId="77" numFmtId="49" xfId="0" applyAlignment="1" applyBorder="1" applyFont="1" applyNumberFormat="1">
      <alignment shrinkToFit="0" wrapText="1"/>
    </xf>
    <xf borderId="5" fillId="0" fontId="77" numFmtId="0" xfId="0" applyAlignment="1" applyBorder="1" applyFont="1">
      <alignment horizontal="center"/>
    </xf>
    <xf borderId="5" fillId="0" fontId="78" numFmtId="0" xfId="0" applyBorder="1" applyFont="1"/>
    <xf borderId="5" fillId="0" fontId="78" numFmtId="171" xfId="0" applyBorder="1" applyFont="1" applyNumberFormat="1"/>
    <xf borderId="5" fillId="0" fontId="78" numFmtId="49" xfId="0" applyAlignment="1" applyBorder="1" applyFont="1" applyNumberFormat="1">
      <alignment shrinkToFit="0" wrapText="1"/>
    </xf>
    <xf borderId="5" fillId="0" fontId="78" numFmtId="0" xfId="0" applyAlignment="1" applyBorder="1" applyFont="1">
      <alignment horizontal="center"/>
    </xf>
    <xf borderId="5" fillId="0" fontId="78" numFmtId="0" xfId="0" applyAlignment="1" applyBorder="1" applyFont="1">
      <alignment shrinkToFit="0" wrapText="1"/>
    </xf>
    <xf borderId="0" fillId="0" fontId="78" numFmtId="0" xfId="0" applyFont="1"/>
    <xf borderId="5" fillId="0" fontId="78" numFmtId="0" xfId="0" applyAlignment="1" applyBorder="1" applyFont="1">
      <alignment horizontal="left"/>
    </xf>
    <xf borderId="5" fillId="0" fontId="34" numFmtId="0" xfId="0" applyBorder="1" applyFont="1"/>
    <xf borderId="5" fillId="0" fontId="34" numFmtId="171" xfId="0" applyBorder="1" applyFont="1" applyNumberFormat="1"/>
    <xf borderId="5" fillId="0" fontId="34" numFmtId="49" xfId="0" applyAlignment="1" applyBorder="1" applyFont="1" applyNumberFormat="1">
      <alignment shrinkToFit="0" wrapText="1"/>
    </xf>
    <xf borderId="5" fillId="0" fontId="34" numFmtId="0" xfId="0" applyAlignment="1" applyBorder="1" applyFont="1">
      <alignment horizontal="center"/>
    </xf>
    <xf borderId="0" fillId="0" fontId="10" numFmtId="0" xfId="0" applyAlignment="1" applyFont="1">
      <alignment shrinkToFit="0" wrapText="1"/>
    </xf>
    <xf borderId="0" fillId="11" fontId="1" numFmtId="0" xfId="0" applyAlignment="1" applyFont="1">
      <alignment horizontal="right"/>
    </xf>
    <xf borderId="0" fillId="11" fontId="10" numFmtId="4" xfId="0" applyFont="1" applyNumberFormat="1"/>
    <xf borderId="0" fillId="19" fontId="79" numFmtId="0" xfId="0" applyAlignment="1" applyFill="1" applyFont="1">
      <alignment shrinkToFit="0" wrapText="0"/>
    </xf>
    <xf borderId="0" fillId="11" fontId="80" numFmtId="0" xfId="0" applyAlignment="1" applyFont="1">
      <alignment horizontal="right"/>
    </xf>
    <xf borderId="0" fillId="11" fontId="81" numFmtId="0" xfId="0" applyAlignment="1" applyFont="1">
      <alignment horizontal="right"/>
    </xf>
    <xf borderId="0" fillId="11" fontId="82" numFmtId="2" xfId="0" applyAlignment="1" applyFont="1" applyNumberFormat="1">
      <alignment horizontal="left"/>
    </xf>
    <xf borderId="0" fillId="11" fontId="1" numFmtId="0" xfId="0" applyFont="1"/>
    <xf borderId="20" fillId="11" fontId="10" numFmtId="4" xfId="0" applyBorder="1" applyFont="1" applyNumberFormat="1"/>
    <xf borderId="0" fillId="0" fontId="10" numFmtId="4" xfId="0" applyFont="1" applyNumberFormat="1"/>
    <xf borderId="0" fillId="0" fontId="1" numFmtId="0" xfId="0" applyFont="1"/>
    <xf borderId="1" fillId="0" fontId="54" numFmtId="0" xfId="0" applyBorder="1" applyFont="1"/>
    <xf borderId="33" fillId="0" fontId="9" numFmtId="0" xfId="0" applyAlignment="1" applyBorder="1" applyFont="1">
      <alignment shrinkToFit="0" wrapText="1"/>
    </xf>
    <xf borderId="12" fillId="0" fontId="9" numFmtId="0" xfId="0" applyAlignment="1" applyBorder="1" applyFont="1">
      <alignment shrinkToFit="0" wrapText="1"/>
    </xf>
    <xf borderId="12" fillId="0" fontId="83" numFmtId="0" xfId="0" applyAlignment="1" applyBorder="1" applyFont="1">
      <alignment shrinkToFit="0" wrapText="1"/>
    </xf>
    <xf borderId="12" fillId="0" fontId="16" numFmtId="4" xfId="0" applyAlignment="1" applyBorder="1" applyFont="1" applyNumberFormat="1">
      <alignment shrinkToFit="0" wrapText="1"/>
    </xf>
    <xf borderId="12" fillId="0" fontId="16" numFmtId="0" xfId="0" applyAlignment="1" applyBorder="1" applyFont="1">
      <alignment shrinkToFit="0" wrapText="1"/>
    </xf>
    <xf borderId="0" fillId="0" fontId="84" numFmtId="0" xfId="0" applyFont="1"/>
    <xf borderId="34" fillId="0" fontId="54" numFmtId="0" xfId="0" applyBorder="1" applyFont="1"/>
    <xf borderId="12" fillId="0" fontId="54" numFmtId="0" xfId="0" applyBorder="1" applyFont="1"/>
    <xf borderId="12" fillId="8" fontId="54" numFmtId="0" xfId="0" applyBorder="1" applyFont="1"/>
    <xf borderId="12" fillId="8" fontId="85" numFmtId="0" xfId="0" applyBorder="1" applyFont="1"/>
    <xf borderId="12" fillId="0" fontId="54" numFmtId="4" xfId="0" applyBorder="1" applyFont="1" applyNumberFormat="1"/>
    <xf borderId="12" fillId="0" fontId="54" numFmtId="10" xfId="0" applyBorder="1" applyFont="1" applyNumberFormat="1"/>
    <xf borderId="0" fillId="0" fontId="54" numFmtId="0" xfId="0" applyFont="1"/>
    <xf borderId="12" fillId="0" fontId="10" numFmtId="0" xfId="0" applyBorder="1" applyFont="1"/>
    <xf borderId="12" fillId="8" fontId="10" numFmtId="0" xfId="0" applyBorder="1" applyFont="1"/>
    <xf borderId="12" fillId="8" fontId="86" numFmtId="0" xfId="0" applyBorder="1" applyFont="1"/>
    <xf borderId="0" fillId="5" fontId="87" numFmtId="0" xfId="0" applyAlignment="1" applyFont="1">
      <alignment vertical="bottom"/>
    </xf>
    <xf borderId="0" fillId="3" fontId="88" numFmtId="0" xfId="0" applyAlignment="1" applyFont="1">
      <alignment shrinkToFit="0" vertical="bottom" wrapText="1"/>
    </xf>
    <xf borderId="0" fillId="3" fontId="2" numFmtId="0" xfId="0" applyAlignment="1" applyFont="1">
      <alignment horizontal="right" vertical="bottom"/>
    </xf>
    <xf borderId="0" fillId="3" fontId="2" numFmtId="10" xfId="0" applyAlignment="1" applyFont="1" applyNumberFormat="1">
      <alignment horizontal="right" vertical="bottom"/>
    </xf>
    <xf borderId="0" fillId="20" fontId="88" numFmtId="0" xfId="0" applyAlignment="1" applyFill="1" applyFont="1">
      <alignment shrinkToFit="0" vertical="bottom" wrapText="1"/>
    </xf>
    <xf borderId="0" fillId="10" fontId="89" numFmtId="0" xfId="0" applyFont="1"/>
    <xf borderId="0" fillId="8" fontId="90" numFmtId="0" xfId="0" applyFont="1"/>
    <xf borderId="0" fillId="8" fontId="91" numFmtId="0" xfId="0" applyFont="1"/>
    <xf borderId="0" fillId="8" fontId="92" numFmtId="0" xfId="0" applyFont="1"/>
    <xf borderId="0" fillId="0" fontId="90" numFmtId="0" xfId="0" applyFont="1"/>
    <xf borderId="35" fillId="0" fontId="90" numFmtId="0" xfId="0" applyBorder="1" applyFont="1"/>
    <xf borderId="0" fillId="21" fontId="90" numFmtId="0" xfId="0" applyFill="1" applyFont="1"/>
    <xf borderId="0" fillId="0" fontId="93" numFmtId="0" xfId="0" applyFont="1"/>
    <xf borderId="0" fillId="22" fontId="93" numFmtId="0" xfId="0" applyFill="1" applyFont="1"/>
    <xf borderId="0" fillId="21" fontId="94" numFmtId="0" xfId="0" applyFont="1"/>
    <xf borderId="0" fillId="0" fontId="91" numFmtId="0" xfId="0" applyFont="1"/>
    <xf borderId="12" fillId="0" fontId="91" numFmtId="168" xfId="0" applyBorder="1" applyFont="1" applyNumberFormat="1"/>
    <xf borderId="36" fillId="0" fontId="91" numFmtId="0" xfId="0" applyBorder="1" applyFont="1"/>
    <xf borderId="35" fillId="0" fontId="91" numFmtId="0" xfId="0" applyBorder="1" applyFont="1"/>
    <xf borderId="0" fillId="0" fontId="95" numFmtId="0" xfId="0" applyFont="1"/>
    <xf borderId="12" fillId="0" fontId="91" numFmtId="168" xfId="0" applyBorder="1" applyFont="1" applyNumberFormat="1"/>
    <xf borderId="12" fillId="0" fontId="95" numFmtId="0" xfId="0" applyBorder="1" applyFont="1"/>
    <xf borderId="0" fillId="0" fontId="96" numFmtId="0" xfId="0" applyFont="1"/>
  </cellXfs>
  <cellStyles count="1">
    <cellStyle xfId="0" name="Normal" builtinId="0"/>
  </cellStyles>
  <dxfs count="42">
    <dxf>
      <font/>
      <fill>
        <patternFill patternType="none"/>
      </fill>
      <border/>
    </dxf>
    <dxf>
      <font/>
      <fill>
        <patternFill patternType="solid">
          <fgColor rgb="FF666666"/>
          <bgColor rgb="FF666666"/>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FF00FF"/>
          <bgColor rgb="FFFF00FF"/>
        </patternFill>
      </fill>
      <border/>
    </dxf>
    <dxf>
      <font/>
      <fill>
        <patternFill patternType="solid">
          <fgColor rgb="FF999999"/>
          <bgColor rgb="FF999999"/>
        </patternFill>
      </fill>
      <border/>
    </dxf>
    <dxf>
      <font/>
      <fill>
        <patternFill patternType="solid">
          <fgColor rgb="FF351C75"/>
          <bgColor rgb="FF351C75"/>
        </patternFill>
      </fill>
      <border/>
    </dxf>
    <dxf>
      <font/>
      <fill>
        <patternFill patternType="solid">
          <fgColor rgb="FF134F5C"/>
          <bgColor rgb="FF134F5C"/>
        </patternFill>
      </fill>
      <border/>
    </dxf>
    <dxf>
      <font/>
      <fill>
        <patternFill patternType="solid">
          <fgColor rgb="FFD0E0E3"/>
          <bgColor rgb="FFD0E0E3"/>
        </patternFill>
      </fill>
      <border/>
    </dxf>
    <dxf>
      <font/>
      <fill>
        <patternFill patternType="solid">
          <fgColor rgb="FFE0F7FA"/>
          <bgColor rgb="FFE0F7FA"/>
        </patternFill>
      </fill>
      <border/>
    </dxf>
    <dxf>
      <font>
        <b/>
        <color rgb="FF990000"/>
      </font>
      <fill>
        <patternFill patternType="solid">
          <fgColor rgb="FFB7B7B7"/>
          <bgColor rgb="FFB7B7B7"/>
        </patternFill>
      </fill>
      <border/>
    </dxf>
    <dxf>
      <font>
        <b/>
        <color rgb="FFB7B7B7"/>
      </font>
      <fill>
        <patternFill patternType="solid">
          <fgColor rgb="FFD9D9D9"/>
          <bgColor rgb="FFD9D9D9"/>
        </patternFill>
      </fill>
      <border/>
    </dxf>
    <dxf>
      <font>
        <color rgb="FFFFFFFF"/>
      </font>
      <fill>
        <patternFill patternType="solid">
          <fgColor rgb="FF999999"/>
          <bgColor rgb="FF999999"/>
        </patternFill>
      </fill>
      <border/>
    </dxf>
    <dxf>
      <font>
        <color rgb="FFFFFFFF"/>
      </font>
      <fill>
        <patternFill patternType="solid">
          <fgColor rgb="FF45818E"/>
          <bgColor rgb="FF45818E"/>
        </patternFill>
      </fill>
      <border/>
    </dxf>
    <dxf>
      <font/>
      <fill>
        <patternFill patternType="solid">
          <fgColor rgb="FFDD7E6B"/>
          <bgColor rgb="FFDD7E6B"/>
        </patternFill>
      </fill>
      <border/>
    </dxf>
    <dxf>
      <font/>
      <fill>
        <patternFill patternType="solid">
          <fgColor rgb="FFF9DB80"/>
          <bgColor rgb="FFF9DB80"/>
        </patternFill>
      </fill>
      <border/>
    </dxf>
    <dxf>
      <font/>
      <fill>
        <patternFill patternType="solid">
          <fgColor rgb="FFFFF2CC"/>
          <bgColor rgb="FFFFF2CC"/>
        </patternFill>
      </fill>
      <border/>
    </dxf>
    <dxf>
      <font>
        <color rgb="FF00FFFF"/>
      </font>
      <fill>
        <patternFill patternType="solid">
          <fgColor rgb="FF666666"/>
          <bgColor rgb="FF666666"/>
        </patternFill>
      </fill>
      <border/>
    </dxf>
    <dxf>
      <font>
        <b/>
        <color rgb="FF434343"/>
      </font>
      <fill>
        <patternFill patternType="solid">
          <fgColor rgb="FFE06666"/>
          <bgColor rgb="FFE06666"/>
        </patternFill>
      </fill>
      <border/>
    </dxf>
    <dxf>
      <font>
        <b/>
        <color rgb="FF434343"/>
      </font>
      <fill>
        <patternFill patternType="solid">
          <fgColor rgb="FFB7E1CD"/>
          <bgColor rgb="FFB7E1CD"/>
        </patternFill>
      </fill>
      <border/>
    </dxf>
    <dxf>
      <font/>
      <fill>
        <patternFill patternType="solid">
          <fgColor rgb="FFE06666"/>
          <bgColor rgb="FFE06666"/>
        </patternFill>
      </fill>
      <border/>
    </dxf>
    <dxf>
      <font/>
      <fill>
        <patternFill patternType="solid">
          <fgColor rgb="FFF4C7C3"/>
          <bgColor rgb="FFF4C7C3"/>
        </patternFill>
      </fill>
      <border/>
    </dxf>
    <dxf>
      <font/>
      <fill>
        <patternFill patternType="solid">
          <fgColor rgb="FFEA9999"/>
          <bgColor rgb="FFEA9999"/>
        </patternFill>
      </fill>
      <border/>
    </dxf>
    <dxf>
      <font>
        <color rgb="FFFFFFFF"/>
      </font>
      <fill>
        <patternFill patternType="solid">
          <fgColor rgb="FFE06666"/>
          <bgColor rgb="FFE06666"/>
        </patternFill>
      </fill>
      <border/>
    </dxf>
    <dxf>
      <font>
        <color rgb="FF999999"/>
      </font>
      <fill>
        <patternFill patternType="solid">
          <fgColor rgb="FFD0E0E3"/>
          <bgColor rgb="FFD0E0E3"/>
        </patternFill>
      </fill>
      <border/>
    </dxf>
    <dxf>
      <font>
        <b/>
        <color rgb="FF434343"/>
      </font>
      <fill>
        <patternFill patternType="solid">
          <fgColor rgb="FF999999"/>
          <bgColor rgb="FF999999"/>
        </patternFill>
      </fill>
      <border/>
    </dxf>
    <dxf>
      <font>
        <b/>
        <color rgb="FF434343"/>
      </font>
      <fill>
        <patternFill patternType="solid">
          <fgColor rgb="FFEA9999"/>
          <bgColor rgb="FFEA9999"/>
        </patternFill>
      </fill>
      <border/>
    </dxf>
    <dxf>
      <font>
        <b/>
        <color rgb="FF434343"/>
      </font>
      <fill>
        <patternFill patternType="solid">
          <fgColor rgb="FFF6B26B"/>
          <bgColor rgb="FFF6B26B"/>
        </patternFill>
      </fill>
      <border/>
    </dxf>
    <dxf>
      <font/>
      <fill>
        <patternFill patternType="solid">
          <fgColor rgb="FFEDDAC9"/>
          <bgColor rgb="FFEDDAC9"/>
        </patternFill>
      </fill>
      <border/>
    </dxf>
    <dxf>
      <font>
        <color rgb="FFB7E1CD"/>
      </font>
      <fill>
        <patternFill patternType="solid">
          <fgColor rgb="FF78909C"/>
          <bgColor rgb="FF78909C"/>
        </patternFill>
      </fill>
      <border/>
    </dxf>
    <dxf>
      <font>
        <b/>
        <color rgb="FF073763"/>
      </font>
      <fill>
        <patternFill patternType="solid">
          <fgColor rgb="FFEA9999"/>
          <bgColor rgb="FFEA9999"/>
        </patternFill>
      </fill>
      <border/>
    </dxf>
    <dxf>
      <font>
        <b/>
        <color rgb="FFFFFFFF"/>
      </font>
      <fill>
        <patternFill patternType="solid">
          <fgColor rgb="FFFF0000"/>
          <bgColor rgb="FFFF0000"/>
        </patternFill>
      </fill>
      <border/>
    </dxf>
    <dxf>
      <font/>
      <fill>
        <patternFill patternType="solid">
          <fgColor rgb="FFD9D9D9"/>
          <bgColor rgb="FFD9D9D9"/>
        </patternFill>
      </fill>
      <border/>
    </dxf>
    <dxf>
      <font>
        <color rgb="FFFF0000"/>
      </font>
      <fill>
        <patternFill patternType="solid">
          <fgColor rgb="FFF3F3F3"/>
          <bgColor rgb="FFF3F3F3"/>
        </patternFill>
      </fill>
      <border/>
    </dxf>
    <dxf>
      <font>
        <b/>
        <color rgb="FF073763"/>
      </font>
      <fill>
        <patternFill patternType="solid">
          <fgColor rgb="FFD0E0E3"/>
          <bgColor rgb="FFD0E0E3"/>
        </patternFill>
      </fill>
      <border/>
    </dxf>
    <dxf>
      <font>
        <b/>
        <color rgb="FF073763"/>
      </font>
      <fill>
        <patternFill patternType="solid">
          <fgColor rgb="FFB7E1CD"/>
          <bgColor rgb="FFB7E1CD"/>
        </patternFill>
      </fill>
      <border/>
    </dxf>
    <dxf>
      <font>
        <color rgb="FFCC0000"/>
      </font>
      <fill>
        <patternFill patternType="none"/>
      </fill>
      <border/>
    </dxf>
    <dxf>
      <font/>
      <fill>
        <patternFill patternType="solid">
          <fgColor rgb="FFB7E1CD"/>
          <bgColor rgb="FFB7E1CD"/>
        </patternFill>
      </fill>
      <border/>
    </dxf>
    <dxf>
      <font/>
      <fill>
        <patternFill patternType="solid">
          <fgColor rgb="FF073763"/>
          <bgColor rgb="FF073763"/>
        </patternFill>
      </fill>
      <border/>
    </dxf>
    <dxf>
      <font>
        <color rgb="FFCCCCCC"/>
      </font>
      <fill>
        <patternFill patternType="solid">
          <fgColor rgb="FF666666"/>
          <bgColor rgb="FF666666"/>
        </patternFill>
      </fill>
      <border/>
    </dxf>
    <dxf>
      <font/>
      <fill>
        <patternFill patternType="solid">
          <fgColor rgb="FF78909C"/>
          <bgColor rgb="FF78909C"/>
        </patternFill>
      </fill>
      <border/>
    </dxf>
    <dxf>
      <font/>
      <fill>
        <patternFill patternType="solid">
          <fgColor rgb="FFEBEFF1"/>
          <bgColor rgb="FFEBEFF1"/>
        </patternFill>
      </fill>
      <border/>
    </dxf>
  </dxfs>
  <tableStyles count="13">
    <tableStyle count="3" pivot="0" name="RESUMEN_HNCxTIPO-style">
      <tableStyleElement dxfId="1" type="headerRow"/>
      <tableStyleElement dxfId="2" type="firstRowStripe"/>
      <tableStyleElement dxfId="3" type="secondRowStripe"/>
    </tableStyle>
    <tableStyle count="3" pivot="0" name="RESUMEN_HNCxTIPO_porcent-style">
      <tableStyleElement dxfId="1" type="headerRow"/>
      <tableStyleElement dxfId="2" type="firstRowStripe"/>
      <tableStyleElement dxfId="3" type="secondRowStripe"/>
    </tableStyle>
    <tableStyle count="3" pivot="0" name="HNCxTIPO-style">
      <tableStyleElement dxfId="1" type="headerRow"/>
      <tableStyleElement dxfId="2" type="firstRowStripe"/>
      <tableStyleElement dxfId="3" type="secondRowStripe"/>
    </tableStyle>
    <tableStyle count="3" pivot="0" name="CALEND_REUNIONxPROF-style">
      <tableStyleElement dxfId="6" type="headerRow"/>
      <tableStyleElement dxfId="2" type="firstRowStripe"/>
      <tableStyleElement dxfId="3" type="secondRowStripe"/>
    </tableStyle>
    <tableStyle count="3" pivot="0" name="CALEND_REUNIONxPROF-style 2">
      <tableStyleElement dxfId="7" type="headerRow"/>
      <tableStyleElement dxfId="8" type="firstRowStripe"/>
      <tableStyleElement dxfId="9" type="secondRowStripe"/>
    </tableStyle>
    <tableStyle count="3" pivot="0" name="CALEND_REUNIONxPROF-style 3">
      <tableStyleElement dxfId="6" type="headerRow"/>
      <tableStyleElement dxfId="2" type="firstRowStripe"/>
      <tableStyleElement dxfId="3" type="secondRowStripe"/>
    </tableStyle>
    <tableStyle count="3" pivot="0" name="BORRAR_REPETIDOS-style">
      <tableStyleElement dxfId="1" type="headerRow"/>
      <tableStyleElement dxfId="2" type="firstRowStripe"/>
      <tableStyleElement dxfId="3" type="secondRowStripe"/>
    </tableStyle>
    <tableStyle count="3" pivot="0" name="BORRAR_NO _VIGENTE-style">
      <tableStyleElement dxfId="1" type="headerRow"/>
      <tableStyleElement dxfId="2" type="firstRowStripe"/>
      <tableStyleElement dxfId="3" type="secondRowStripe"/>
    </tableStyle>
    <tableStyle count="3" pivot="0" name="BD_GESTION_GRAL-style">
      <tableStyleElement dxfId="38" type="headerRow"/>
      <tableStyleElement dxfId="2" type="firstRowStripe"/>
      <tableStyleElement dxfId="3" type="secondRowStripe"/>
    </tableStyle>
    <tableStyle count="3" pivot="0" name="HORAS_RESUMEN-style">
      <tableStyleElement dxfId="40" type="headerRow"/>
      <tableStyleElement dxfId="2" type="firstRowStripe"/>
      <tableStyleElement dxfId="41" type="secondRowStripe"/>
    </tableStyle>
    <tableStyle count="3" pivot="0" name="HCNversusHC-style">
      <tableStyleElement dxfId="1" type="headerRow"/>
      <tableStyleElement dxfId="2" type="firstRowStripe"/>
      <tableStyleElement dxfId="3" type="secondRowStripe"/>
    </tableStyle>
    <tableStyle count="2" pivot="0" name="REF-style">
      <tableStyleElement dxfId="2" type="firstRowStripe"/>
      <tableStyleElement dxfId="8" type="secondRowStripe"/>
    </tableStyle>
    <tableStyle count="2" pivot="0" name="REF-style 2">
      <tableStyleElement dxfId="2" type="firstRowStripe"/>
      <tableStyleElement dxfId="8"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5" Type="http://schemas.openxmlformats.org/officeDocument/2006/relationships/worksheet" Target="worksheets/sheet2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H27" displayName="Table_1" name="Table_1" id="1">
  <tableColumns count="8">
    <tableColumn name="Column1" id="1"/>
    <tableColumn name="Column2" id="2"/>
    <tableColumn name="Column3" id="3"/>
    <tableColumn name="Column4" id="4"/>
    <tableColumn name="Column5" id="5"/>
    <tableColumn name="Column6" id="6"/>
    <tableColumn name="Column7" id="7"/>
    <tableColumn name="Column8" id="8"/>
  </tableColumns>
  <tableStyleInfo name="RESUMEN_HNCxTIPO-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1:H27" displayName="Table_2" name="Table_2" id="2">
  <tableColumns count="8">
    <tableColumn name="Column1" id="1"/>
    <tableColumn name="Column2" id="2"/>
    <tableColumn name="Column3" id="3"/>
    <tableColumn name="Column4" id="4"/>
    <tableColumn name="Column5" id="5"/>
    <tableColumn name="Column6" id="6"/>
    <tableColumn name="Column7" id="7"/>
    <tableColumn name="Column8" id="8"/>
  </tableColumns>
  <tableStyleInfo name="RESUMEN_HNCxTIPO_porcent-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A3:K300" displayName="Table_3" name="Table_3" id="3">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HNCxTIPO-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A6" displayName="Table_4" name="Table_4" id="4">
  <tableColumns count="1">
    <tableColumn name="Column1" id="1"/>
  </tableColumns>
  <tableStyleInfo name="CALEND_REUNIONxPROF-style"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ref="C6:L32" displayName="Table_5" name="Table_5" id="5">
  <tableColumns count="10">
    <tableColumn name="FUNCIONARIO" id="1"/>
    <tableColumn name="AMBITO" id="2"/>
    <tableColumn name="ACTIVIDAD" id="3"/>
    <tableColumn name="CALEND" id="4"/>
    <tableColumn name="SEM" id="5"/>
    <tableColumn name="DIA" id="6"/>
    <tableColumn name="DESDE" id="7"/>
    <tableColumn name="HASTA" id="8"/>
    <tableColumn name="FREC_x000a_(nro veces año)" id="9"/>
    <tableColumn name="TIEMPO reunion" id="10"/>
  </tableColumns>
  <tableStyleInfo name="CALEND_REUNIONxPROF-style 2" showColumnStripes="0" showFirstColumn="1" showLastColumn="1" showRowStripes="1"/>
</table>
</file>

<file path=xl/tables/table6.xml><?xml version="1.0" encoding="utf-8"?>
<table xmlns="http://schemas.openxmlformats.org/spreadsheetml/2006/main" ref="A7:A32" displayName="Table_6" name="Table_6" id="6">
  <tableColumns count="1">
    <tableColumn name="AND B='JUAN PABLO  ACEITUNO  JARA'   " id="1"/>
  </tableColumns>
  <tableStyleInfo name="CALEND_REUNIONxPROF-style 3" showColumnStripes="0" showFirstColumn="1" showLastColumn="1" showRowStripes="1"/>
</table>
</file>

<file path=xl/tables/table7.xml><?xml version="1.0" encoding="utf-8"?>
<table xmlns="http://schemas.openxmlformats.org/spreadsheetml/2006/main" ref="A1:E220" displayName="Table_7" name="Table_7" id="7">
  <tableColumns count="5">
    <tableColumn name="TIPO" id="1"/>
    <tableColumn name="FUNCIONARIO" id="2"/>
    <tableColumn name="AMBITO" id="3"/>
    <tableColumn name="ACTIVIDAD" id="4"/>
    <tableColumn name="count  CHECK " id="5"/>
  </tableColumns>
  <tableStyleInfo name="BORRAR_REPETIDOS-style" showColumnStripes="0" showFirstColumn="1" showLastColumn="1" showRowStripes="1"/>
</table>
</file>

<file path=xl/tables/table8.xml><?xml version="1.0" encoding="utf-8"?>
<table xmlns="http://schemas.openxmlformats.org/spreadsheetml/2006/main" ref="A1:E220" displayName="Table_8" name="Table_8" id="8">
  <tableColumns count="5">
    <tableColumn name="TIPO" id="1"/>
    <tableColumn name="FUNCIONARIO" id="2"/>
    <tableColumn name="AMBITO" id="3"/>
    <tableColumn name="ACTIVIDAD" id="4"/>
    <tableColumn name=" ESTADO " id="5"/>
  </tableColumns>
  <tableStyleInfo name="BORRAR_NO _VIGENTE-style" showColumnStripes="0" showFirstColumn="1" showLastColumn="1" showRowStripes="1"/>
</table>
</file>

<file path=xl/tables/table9.xml><?xml version="1.0" encoding="utf-8"?>
<table xmlns="http://schemas.openxmlformats.org/spreadsheetml/2006/main" ref="A4:G83" displayName="Table_9" name="Table_9" id="9">
  <tableColumns count="7">
    <tableColumn name="TIPO" id="1"/>
    <tableColumn name="AMBITO" id="2"/>
    <tableColumn name="PROGRAMA / ESTRATEGIA" id="3"/>
    <tableColumn name="ACTIVIDAD" id="4"/>
    <tableColumn name="Hrs Gestión Programa" id="5"/>
    <tableColumn name="CRITERIOS (rangos)" id="6"/>
    <tableColumn name="APLICA?" id="7"/>
  </tableColumns>
  <tableStyleInfo name="BD_GESTION_GRAL-style" showColumnStripes="0" showFirstColumn="1" showLastColumn="1" showRowStripes="1"/>
</table>
</file>

<file path=xl/tables/table10.xml><?xml version="1.0" encoding="utf-8"?>
<table xmlns="http://schemas.openxmlformats.org/spreadsheetml/2006/main" headerRowCount="0" ref="A6:O21" displayName="Table_10" name="Table_10" id="10">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HORAS_RESUMEN-style" showColumnStripes="0" showFirstColumn="1" showLastColumn="1" showRowStripes="1"/>
  <extLst>
    <ext uri="GoogleSheetsCustomDataVersion1">
      <go:sheetsCustomData xmlns:go="http://customooxmlschemas.google.com/" headerRowCount="1"/>
    </ext>
  </extLst>
</table>
</file>

<file path=xl/tables/table11.xml><?xml version="1.0" encoding="utf-8"?>
<table xmlns="http://schemas.openxmlformats.org/spreadsheetml/2006/main" ref="A1:C3" displayName="Table_11" name="Table_11" id="11">
  <tableColumns count="3">
    <tableColumn name="TIPO" id="1"/>
    <tableColumn name="HORAS" id="2"/>
    <tableColumn name="PORCENTAJE" id="3"/>
  </tableColumns>
  <tableStyleInfo name="HCNversusHC-style" showColumnStripes="0" showFirstColumn="1" showLastColumn="1" showRowStripes="1"/>
</table>
</file>

<file path=xl/tables/table12.xml><?xml version="1.0" encoding="utf-8"?>
<table xmlns="http://schemas.openxmlformats.org/spreadsheetml/2006/main" headerRowCount="0" ref="B8:B10" displayName="Table_12" name="Table_12" id="12">
  <tableColumns count="1">
    <tableColumn name="Column1" id="1"/>
  </tableColumns>
  <tableStyleInfo name="REF-style" showColumnStripes="0" showFirstColumn="1" showLastColumn="1" showRowStripes="1"/>
</table>
</file>

<file path=xl/tables/table13.xml><?xml version="1.0" encoding="utf-8"?>
<table xmlns="http://schemas.openxmlformats.org/spreadsheetml/2006/main" headerRowCount="0" ref="B11" displayName="Table_13" name="Table_13" id="13">
  <tableColumns count="1">
    <tableColumn name="Column1" id="1"/>
  </tableColumns>
  <tableStyleInfo name="REF-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344846"/>
      </a:dk1>
      <a:lt1>
        <a:srgbClr val="FFFFFF"/>
      </a:lt1>
      <a:dk2>
        <a:srgbClr val="344846"/>
      </a:dk2>
      <a:lt2>
        <a:srgbClr val="FFFFFF"/>
      </a:lt2>
      <a:accent1>
        <a:srgbClr val="00535C"/>
      </a:accent1>
      <a:accent2>
        <a:srgbClr val="CD840E"/>
      </a:accent2>
      <a:accent3>
        <a:srgbClr val="9F545C"/>
      </a:accent3>
      <a:accent4>
        <a:srgbClr val="D9C1AD"/>
      </a:accent4>
      <a:accent5>
        <a:srgbClr val="D5E8AC"/>
      </a:accent5>
      <a:accent6>
        <a:srgbClr val="3862B5"/>
      </a:accent6>
      <a:hlink>
        <a:srgbClr val="9F545C"/>
      </a:hlink>
      <a:folHlink>
        <a:srgbClr val="9F545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5" Type="http://schemas.openxmlformats.org/officeDocument/2006/relationships/table" Target="../tables/table4.xml"/><Relationship Id="rId6" Type="http://schemas.openxmlformats.org/officeDocument/2006/relationships/table" Target="../tables/table5.xml"/><Relationship Id="rId7" Type="http://schemas.openxmlformats.org/officeDocument/2006/relationships/table" Target="../tables/table6.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9.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 Id="rId3" Type="http://schemas.openxmlformats.org/officeDocument/2006/relationships/table" Target="../tables/table10.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 Id="rId3" Type="http://schemas.openxmlformats.org/officeDocument/2006/relationships/table" Target="../tables/table11.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 Id="rId4" Type="http://schemas.openxmlformats.org/officeDocument/2006/relationships/table" Target="../tables/table12.xml"/><Relationship Id="rId5"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outlineLevelCol="1"/>
  <cols>
    <col customWidth="1" min="1" max="1" width="3.13"/>
    <col customWidth="1" min="2" max="2" width="34.75" outlineLevel="1"/>
    <col customWidth="1" min="3" max="6" width="12.63"/>
  </cols>
  <sheetData>
    <row r="1" ht="15.75" customHeight="1">
      <c r="B1" s="1"/>
      <c r="C1" s="1"/>
    </row>
    <row r="2" ht="15.75" customHeight="1">
      <c r="A2" s="2"/>
      <c r="B2" s="3" t="s">
        <v>0</v>
      </c>
      <c r="C2" s="2"/>
      <c r="D2" s="2"/>
    </row>
    <row r="3" ht="15.75" customHeight="1">
      <c r="B3" s="4" t="s">
        <v>1</v>
      </c>
      <c r="C3" s="1"/>
    </row>
    <row r="4" ht="15.75" customHeight="1">
      <c r="B4" s="4" t="s">
        <v>2</v>
      </c>
      <c r="C4" s="1"/>
    </row>
    <row r="5" ht="15.75" customHeight="1">
      <c r="B5" s="4" t="s">
        <v>3</v>
      </c>
      <c r="C5" s="1"/>
    </row>
    <row r="6" ht="15.75" customHeight="1">
      <c r="B6" s="4" t="s">
        <v>4</v>
      </c>
      <c r="C6" s="1"/>
    </row>
    <row r="7" ht="15.75" customHeight="1">
      <c r="B7" s="4" t="s">
        <v>5</v>
      </c>
      <c r="C7" s="1"/>
    </row>
    <row r="8" ht="15.75" customHeight="1">
      <c r="B8" s="4" t="s">
        <v>6</v>
      </c>
      <c r="C8" s="1"/>
    </row>
    <row r="9" ht="15.75" customHeight="1">
      <c r="B9" s="4" t="s">
        <v>7</v>
      </c>
      <c r="C9" s="1"/>
    </row>
    <row r="10" ht="15.75" customHeight="1">
      <c r="B10" s="4" t="s">
        <v>8</v>
      </c>
      <c r="C10" s="1"/>
    </row>
    <row r="11" ht="15.75" customHeight="1">
      <c r="B11" s="4" t="s">
        <v>9</v>
      </c>
      <c r="C11" s="1"/>
    </row>
    <row r="12" ht="15.75" customHeight="1">
      <c r="B12" s="4" t="s">
        <v>10</v>
      </c>
      <c r="C12" s="1"/>
    </row>
    <row r="13" ht="15.75" customHeight="1">
      <c r="B13" s="4" t="s">
        <v>11</v>
      </c>
      <c r="C13" s="1"/>
    </row>
    <row r="14" ht="15.75" customHeight="1">
      <c r="B14" s="4" t="s">
        <v>12</v>
      </c>
      <c r="C14" s="1"/>
    </row>
    <row r="15" ht="15.75" customHeight="1">
      <c r="B15" s="4" t="s">
        <v>13</v>
      </c>
      <c r="C15" s="1"/>
    </row>
    <row r="16" ht="15.75" customHeight="1">
      <c r="B16" s="4" t="s">
        <v>14</v>
      </c>
      <c r="C16" s="1"/>
    </row>
    <row r="17" ht="15.75" customHeight="1">
      <c r="B17" s="4" t="s">
        <v>15</v>
      </c>
      <c r="C17" s="1"/>
    </row>
    <row r="18" ht="15.75" customHeight="1">
      <c r="B18" s="4" t="s">
        <v>16</v>
      </c>
      <c r="C18" s="1"/>
    </row>
    <row r="19" ht="15.75" customHeight="1">
      <c r="B19" s="4" t="s">
        <v>17</v>
      </c>
      <c r="C19" s="1"/>
    </row>
    <row r="20" ht="15.75" customHeight="1">
      <c r="B20" s="4" t="s">
        <v>18</v>
      </c>
      <c r="C20" s="1"/>
    </row>
    <row r="21" ht="15.75" customHeight="1">
      <c r="B21" s="4" t="s">
        <v>19</v>
      </c>
      <c r="C21" s="1"/>
    </row>
    <row r="22" ht="15.75" customHeight="1">
      <c r="B22" s="1"/>
      <c r="C22" s="1"/>
    </row>
    <row r="23" ht="15.75" customHeight="1">
      <c r="B23" s="1"/>
      <c r="C23" s="1"/>
    </row>
    <row r="24" ht="15.75" customHeight="1">
      <c r="B24" s="1"/>
      <c r="C24" s="1"/>
    </row>
    <row r="25" ht="15.75" customHeight="1">
      <c r="B25" s="1"/>
      <c r="C25" s="1"/>
    </row>
    <row r="26" ht="15.75" customHeight="1">
      <c r="B26" s="1"/>
      <c r="C26" s="1"/>
    </row>
    <row r="27" ht="15.75" customHeight="1">
      <c r="B27" s="1"/>
      <c r="C27" s="1"/>
    </row>
    <row r="28" ht="15.75" customHeight="1">
      <c r="B28" s="1"/>
      <c r="C28" s="1"/>
    </row>
    <row r="29" ht="15.75" customHeight="1">
      <c r="C29" s="1"/>
    </row>
    <row r="30" ht="15.75" customHeight="1">
      <c r="B30" s="1"/>
      <c r="C30" s="1"/>
    </row>
    <row r="31" ht="15.75" customHeight="1">
      <c r="B31" s="1"/>
      <c r="C31" s="1"/>
    </row>
    <row r="32" ht="15.75" customHeight="1">
      <c r="B32" s="1"/>
      <c r="C32" s="1"/>
    </row>
    <row r="33" ht="15.75" customHeight="1">
      <c r="B33" s="1"/>
      <c r="C33" s="1"/>
    </row>
    <row r="34" ht="15.75" customHeight="1">
      <c r="B34" s="1"/>
      <c r="C34" s="1"/>
    </row>
    <row r="35" ht="15.75" customHeight="1">
      <c r="B35" s="1"/>
      <c r="C35" s="1"/>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1:$C$28">
    <sortState ref="B1:C28">
      <sortCondition ref="C1:C28"/>
      <sortCondition ref="B1:B28"/>
    </sortState>
  </autoFilter>
  <hyperlinks>
    <hyperlink display="RESUMEN_HNCxTIPO_porcent" location="RESUMEN_HNCxTIPO_porcent!A1" ref="B3"/>
    <hyperlink display="HNCxTIPO" location="HNCxTIPO!A1" ref="B4"/>
    <hyperlink display="CALEND_REUNIONxPROF" location="CALEND_REUNIONxPROF!A1" ref="B5"/>
    <hyperlink display="CALENDARIO_REUNIONES" location="CALENDARIO_REUNIONES!A1" ref="B6"/>
    <hyperlink display="BORRAR_REPETIDOS" location="BORRAR_REPETIDOS!A1" ref="B7"/>
    <hyperlink display="BORRAR_NO _VIGENTE" location="'BORRAR_NO _VIGENTE'!A1" ref="B8"/>
    <hyperlink display="Horas_FUNC" location="Horas_FUNC!A1" ref="B9"/>
    <hyperlink display="FUNC" location="FUNC!A1" ref="B10"/>
    <hyperlink display="CONSO_ENCUESTAS" location="CONSO_ENCUESTAS!A1" ref="B11"/>
    <hyperlink display="ENCUESTA_GESTION" location="ENCUESTA_GESTION!A1" ref="B12"/>
    <hyperlink display="ENCUESTA_REU" location="ENCUESTA_REU!A1" ref="B13"/>
    <hyperlink display="ENCUESTA_DER" location="ENCUESTA_DER!A1" ref="B14"/>
    <hyperlink display="BD" location="BD!A1" ref="B15"/>
    <hyperlink display="BD_GESTION_GRAL" location="BD_GESTION_GRAL!A1" ref="B16"/>
    <hyperlink display="FUNC_AZ" location="FUNC_AZ!A1" ref="B17"/>
    <hyperlink display="GRAF_HRSFUN" location="GRAF_HRSFUN!A1" ref="B18"/>
    <hyperlink display="HORAS_RESUMEN" location="HORAS_RESUMEN!A1" ref="B19"/>
    <hyperlink display="HCNversusHC" location="HCNversusHC!A1" ref="B20"/>
    <hyperlink display="REF" location="REF!A1" ref="B21"/>
  </hyperlinks>
  <printOptions gridLines="1" horizontalCentered="1"/>
  <pageMargins bottom="0.75" footer="0.0" header="0.0" left="0.7" right="0.7" top="0.75"/>
  <pageSetup fitToHeight="0" paperSize="9" cellComments="atEnd"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5"/>
    <col customWidth="1" min="2" max="2" width="21.75"/>
    <col customWidth="1" min="3" max="3" width="14.88"/>
    <col customWidth="1" min="4" max="6" width="15.75"/>
    <col customWidth="1" min="7" max="7" width="9.5"/>
    <col customWidth="1" min="8" max="8" width="14.5"/>
  </cols>
  <sheetData>
    <row r="1" ht="15.75" customHeight="1">
      <c r="A1" s="5" t="str">
        <f>IFERROR(__xludf.DUMMYFUNCTION("QUERY(HNCxTIPO!A3:I1000,""SELECT A,B,SUM(C) WHERE B IS NOT NULL GROUP BY A,B LABEL SUM(C) 'JORNADAS' "",1)"),"CATEG")</f>
        <v>CATEG</v>
      </c>
      <c r="B1" s="6" t="str">
        <f>IFERROR(__xludf.DUMMYFUNCTION("""COMPUTED_VALUE"""),"CARGO")</f>
        <v>CARGO</v>
      </c>
      <c r="C1" s="6" t="str">
        <f>IFERROR(__xludf.DUMMYFUNCTION("""COMPUTED_VALUE"""),"JORNADAS")</f>
        <v>JORNADAS</v>
      </c>
      <c r="D1" s="7" t="s">
        <v>20</v>
      </c>
      <c r="E1" s="7" t="s">
        <v>21</v>
      </c>
      <c r="F1" s="7" t="s">
        <v>22</v>
      </c>
      <c r="G1" s="8" t="s">
        <v>23</v>
      </c>
      <c r="H1" s="9"/>
    </row>
    <row r="2" ht="15.75" customHeight="1">
      <c r="A2" s="10" t="str">
        <f>IFERROR(__xludf.DUMMYFUNCTION("""COMPUTED_VALUE"""),"CAT_A")</f>
        <v>CAT_A</v>
      </c>
      <c r="B2" s="10" t="str">
        <f>IFERROR(__xludf.DUMMYFUNCTION("""COMPUTED_VALUE"""),"CIRUJANO DENTISTA")</f>
        <v>CIRUJANO DENTISTA</v>
      </c>
      <c r="C2" s="10">
        <f>IFERROR(__xludf.DUMMYFUNCTION("""COMPUTED_VALUE"""),66.0)</f>
        <v>66</v>
      </c>
      <c r="D2" s="11">
        <f>IFERROR(__xludf.DUMMYFUNCTION("IFERROR(INDEX(QUERY(HNCxTIPO!$A$3:$I27,""SELECT sum(E) WHERE B='""&amp;$B2&amp;""' "",0),2),"""")"),2.9)</f>
        <v>2.9</v>
      </c>
      <c r="E2" s="12">
        <f>IFERROR(__xludf.DUMMYFUNCTION("IFERROR(INDEX(QUERY(HNCxTIPO!$A$3:$I27,""SELECT sum(F) WHERE B='""&amp;$B2&amp;""' "",0),2),"""")"),2.2)</f>
        <v>2.2</v>
      </c>
      <c r="F2" s="12">
        <f>IFERROR(__xludf.DUMMYFUNCTION("IFERROR(INDEX(QUERY(HNCxTIPO!$A$3:$I27,""SELECT sum(G) WHERE B='""&amp;$B2&amp;""' "",0),2),"""")"),7.41)</f>
        <v>7.41</v>
      </c>
      <c r="G2" s="13">
        <f t="shared" ref="G2:G13" si="1">C2-D2-E2-F2</f>
        <v>53.49</v>
      </c>
      <c r="H2" s="13"/>
    </row>
    <row r="3" ht="15.75" customHeight="1">
      <c r="A3" s="10" t="str">
        <f>IFERROR(__xludf.DUMMYFUNCTION("""COMPUTED_VALUE"""),"CAT_A")</f>
        <v>CAT_A</v>
      </c>
      <c r="B3" s="10" t="str">
        <f>IFERROR(__xludf.DUMMYFUNCTION("""COMPUTED_VALUE"""),"MEDICO CIRUJANO")</f>
        <v>MEDICO CIRUJANO</v>
      </c>
      <c r="C3" s="10">
        <f>IFERROR(__xludf.DUMMYFUNCTION("""COMPUTED_VALUE"""),88.0)</f>
        <v>88</v>
      </c>
      <c r="D3" s="11">
        <f>IFERROR(__xludf.DUMMYFUNCTION("IFERROR(INDEX(QUERY(HNCxTIPO!$A$3:$I27,""SELECT sum(E) WHERE B='""&amp;$B3&amp;""' "",0),2),"""")"),6.05)</f>
        <v>6.05</v>
      </c>
      <c r="E3" s="12">
        <f>IFERROR(__xludf.DUMMYFUNCTION("IFERROR(INDEX(QUERY(HNCxTIPO!$A$3:$I27,""SELECT sum(F) WHERE B='""&amp;$B3&amp;""' "",0),2),"""")"),4.4)</f>
        <v>4.4</v>
      </c>
      <c r="F3" s="12">
        <f>IFERROR(__xludf.DUMMYFUNCTION("IFERROR(INDEX(QUERY(HNCxTIPO!$A$3:$I27,""SELECT sum(G) WHERE B='""&amp;$B3&amp;""' "",0),2),"""")"),12.5)</f>
        <v>12.5</v>
      </c>
      <c r="G3" s="13">
        <f t="shared" si="1"/>
        <v>65.05</v>
      </c>
      <c r="H3" s="13"/>
    </row>
    <row r="4" ht="15.75" customHeight="1">
      <c r="A4" s="10" t="str">
        <f>IFERROR(__xludf.DUMMYFUNCTION("""COMPUTED_VALUE"""),"CAT_B")</f>
        <v>CAT_B</v>
      </c>
      <c r="B4" s="10" t="str">
        <f>IFERROR(__xludf.DUMMYFUNCTION("""COMPUTED_VALUE"""),"ENFERMERA(O)")</f>
        <v>ENFERMERA(O)</v>
      </c>
      <c r="C4" s="10">
        <f>IFERROR(__xludf.DUMMYFUNCTION("""COMPUTED_VALUE"""),66.0)</f>
        <v>66</v>
      </c>
      <c r="D4" s="11">
        <f>IFERROR(__xludf.DUMMYFUNCTION("IFERROR(INDEX(QUERY(HNCxTIPO!$A$3:$I27,""SELECT sum(E) WHERE B='""&amp;$B4&amp;""' "",0),2),"""")"),27.4)</f>
        <v>27.4</v>
      </c>
      <c r="E4" s="12">
        <f>IFERROR(__xludf.DUMMYFUNCTION("IFERROR(INDEX(QUERY(HNCxTIPO!$A$3:$I27,""SELECT sum(F) WHERE B='""&amp;$B4&amp;""' "",0),2),"""")"),2.2)</f>
        <v>2.2</v>
      </c>
      <c r="F4" s="12">
        <f>IFERROR(__xludf.DUMMYFUNCTION("IFERROR(INDEX(QUERY(HNCxTIPO!$A$3:$I27,""SELECT sum(G) WHERE B='""&amp;$B4&amp;""' "",0),2),"""")"),8.75)</f>
        <v>8.75</v>
      </c>
      <c r="G4" s="13">
        <f t="shared" si="1"/>
        <v>27.65</v>
      </c>
      <c r="H4" s="13"/>
    </row>
    <row r="5" ht="15.75" customHeight="1">
      <c r="A5" s="10" t="str">
        <f>IFERROR(__xludf.DUMMYFUNCTION("""COMPUTED_VALUE"""),"CAT_B")</f>
        <v>CAT_B</v>
      </c>
      <c r="B5" s="10" t="str">
        <f>IFERROR(__xludf.DUMMYFUNCTION("""COMPUTED_VALUE"""),"GESTOR COMUNITARIO")</f>
        <v>GESTOR COMUNITARIO</v>
      </c>
      <c r="C5" s="10">
        <f>IFERROR(__xludf.DUMMYFUNCTION("""COMPUTED_VALUE"""),33.0)</f>
        <v>33</v>
      </c>
      <c r="D5" s="11">
        <f>IFERROR(__xludf.DUMMYFUNCTION("IFERROR(INDEX(QUERY(HNCxTIPO!$A$3:$I27,""SELECT sum(E) WHERE B='""&amp;$B5&amp;""' "",0),2),"""")"),33.9)</f>
        <v>33.9</v>
      </c>
      <c r="E5" s="12">
        <f>IFERROR(__xludf.DUMMYFUNCTION("IFERROR(INDEX(QUERY(HNCxTIPO!$A$3:$I27,""SELECT sum(F) WHERE B='""&amp;$B5&amp;""' "",0),2),"""")"),2.2)</f>
        <v>2.2</v>
      </c>
      <c r="F5" s="12">
        <f>IFERROR(__xludf.DUMMYFUNCTION("IFERROR(INDEX(QUERY(HNCxTIPO!$A$3:$I27,""SELECT sum(G) WHERE B='""&amp;$B5&amp;""' "",0),2),"""")"),6.25)</f>
        <v>6.25</v>
      </c>
      <c r="G5" s="13">
        <f t="shared" si="1"/>
        <v>-9.35</v>
      </c>
      <c r="H5" s="13"/>
    </row>
    <row r="6" ht="15.75" customHeight="1">
      <c r="A6" s="10" t="str">
        <f>IFERROR(__xludf.DUMMYFUNCTION("""COMPUTED_VALUE"""),"CAT_B")</f>
        <v>CAT_B</v>
      </c>
      <c r="B6" s="10" t="str">
        <f>IFERROR(__xludf.DUMMYFUNCTION("""COMPUTED_VALUE"""),"KINESIOLOGA/O")</f>
        <v>KINESIOLOGA/O</v>
      </c>
      <c r="C6" s="10">
        <f>IFERROR(__xludf.DUMMYFUNCTION("""COMPUTED_VALUE"""),44.0)</f>
        <v>44</v>
      </c>
      <c r="D6" s="11">
        <f>IFERROR(__xludf.DUMMYFUNCTION("IFERROR(INDEX(QUERY(HNCxTIPO!$A$3:$I27,""SELECT sum(E) WHERE B='""&amp;$B6&amp;""' "",0),2),"""")"),8.0)</f>
        <v>8</v>
      </c>
      <c r="E6" s="12">
        <f>IFERROR(__xludf.DUMMYFUNCTION("IFERROR(INDEX(QUERY(HNCxTIPO!$A$3:$I27,""SELECT sum(F) WHERE B='""&amp;$B6&amp;""' "",0),2),"""")"),2.2)</f>
        <v>2.2</v>
      </c>
      <c r="F6" s="12">
        <f>IFERROR(__xludf.DUMMYFUNCTION("IFERROR(INDEX(QUERY(HNCxTIPO!$A$3:$I27,""SELECT sum(G) WHERE B='""&amp;$B6&amp;""' "",0),2),"""")"),6.66)</f>
        <v>6.66</v>
      </c>
      <c r="G6" s="13">
        <f t="shared" si="1"/>
        <v>27.14</v>
      </c>
      <c r="H6" s="13"/>
    </row>
    <row r="7" ht="15.75" customHeight="1">
      <c r="A7" s="10" t="str">
        <f>IFERROR(__xludf.DUMMYFUNCTION("""COMPUTED_VALUE"""),"CAT_B")</f>
        <v>CAT_B</v>
      </c>
      <c r="B7" s="10" t="str">
        <f>IFERROR(__xludf.DUMMYFUNCTION("""COMPUTED_VALUE"""),"MATRON/A")</f>
        <v>MATRON/A</v>
      </c>
      <c r="C7" s="10">
        <f>IFERROR(__xludf.DUMMYFUNCTION("""COMPUTED_VALUE"""),44.0)</f>
        <v>44</v>
      </c>
      <c r="D7" s="11">
        <f>IFERROR(__xludf.DUMMYFUNCTION("IFERROR(INDEX(QUERY(HNCxTIPO!$A$3:$I27,""SELECT sum(E) WHERE B='""&amp;$B7&amp;""' "",0),2),"""")"),17.0)</f>
        <v>17</v>
      </c>
      <c r="E7" s="12">
        <f>IFERROR(__xludf.DUMMYFUNCTION("IFERROR(INDEX(QUERY(HNCxTIPO!$A$3:$I27,""SELECT sum(F) WHERE B='""&amp;$B7&amp;""' "",0),2),"""")"),1.6)</f>
        <v>1.6</v>
      </c>
      <c r="F7" s="12">
        <f>IFERROR(__xludf.DUMMYFUNCTION("IFERROR(INDEX(QUERY(HNCxTIPO!$A$3:$I27,""SELECT sum(G) WHERE B='""&amp;$B7&amp;""' "",0),2),"""")"),6.66)</f>
        <v>6.66</v>
      </c>
      <c r="G7" s="13">
        <f t="shared" si="1"/>
        <v>18.74</v>
      </c>
      <c r="H7" s="13"/>
    </row>
    <row r="8" ht="15.75" customHeight="1">
      <c r="A8" s="10" t="str">
        <f>IFERROR(__xludf.DUMMYFUNCTION("""COMPUTED_VALUE"""),"CAT_B")</f>
        <v>CAT_B</v>
      </c>
      <c r="B8" s="10" t="str">
        <f>IFERROR(__xludf.DUMMYFUNCTION("""COMPUTED_VALUE"""),"NUTRICIONISTA")</f>
        <v>NUTRICIONISTA</v>
      </c>
      <c r="C8" s="10">
        <f>IFERROR(__xludf.DUMMYFUNCTION("""COMPUTED_VALUE"""),44.0)</f>
        <v>44</v>
      </c>
      <c r="D8" s="11">
        <f>IFERROR(__xludf.DUMMYFUNCTION("IFERROR(INDEX(QUERY(HNCxTIPO!$A$3:$I27,""SELECT sum(E) WHERE B='""&amp;$B8&amp;""' "",0),2),"""")"),24.0)</f>
        <v>24</v>
      </c>
      <c r="E8" s="12">
        <f>IFERROR(__xludf.DUMMYFUNCTION("IFERROR(INDEX(QUERY(HNCxTIPO!$A$3:$I27,""SELECT sum(F) WHERE B='""&amp;$B8&amp;""' "",0),2),"""")"),2.2)</f>
        <v>2.2</v>
      </c>
      <c r="F8" s="12">
        <f>IFERROR(__xludf.DUMMYFUNCTION("IFERROR(INDEX(QUERY(HNCxTIPO!$A$3:$I27,""SELECT sum(G) WHERE B='""&amp;$B8&amp;""' "",0),2),"""")"),6.25)</f>
        <v>6.25</v>
      </c>
      <c r="G8" s="13">
        <f t="shared" si="1"/>
        <v>11.55</v>
      </c>
      <c r="H8" s="13"/>
    </row>
    <row r="9" ht="15.75" customHeight="1">
      <c r="A9" s="10" t="str">
        <f>IFERROR(__xludf.DUMMYFUNCTION("""COMPUTED_VALUE"""),"CAT_B")</f>
        <v>CAT_B</v>
      </c>
      <c r="B9" s="10" t="str">
        <f>IFERROR(__xludf.DUMMYFUNCTION("""COMPUTED_VALUE"""),"PSICOLOGA/O")</f>
        <v>PSICOLOGA/O</v>
      </c>
      <c r="C9" s="10">
        <f>IFERROR(__xludf.DUMMYFUNCTION("""COMPUTED_VALUE"""),44.0)</f>
        <v>44</v>
      </c>
      <c r="D9" s="11">
        <f>IFERROR(__xludf.DUMMYFUNCTION("IFERROR(INDEX(QUERY(HNCxTIPO!$A$3:$I27,""SELECT sum(E) WHERE B='""&amp;$B9&amp;""' "",0),2),"""")"),1.8)</f>
        <v>1.8</v>
      </c>
      <c r="E9" s="12">
        <f>IFERROR(__xludf.DUMMYFUNCTION("IFERROR(INDEX(QUERY(HNCxTIPO!$A$3:$I27,""SELECT sum(F) WHERE B='""&amp;$B9&amp;""' "",0),2),"""")"),2.2)</f>
        <v>2.2</v>
      </c>
      <c r="F9" s="12">
        <f>IFERROR(__xludf.DUMMYFUNCTION("IFERROR(INDEX(QUERY(HNCxTIPO!$A$3:$I27,""SELECT sum(G) WHERE B='""&amp;$B9&amp;""' "",0),2),"""")"),5.75)</f>
        <v>5.75</v>
      </c>
      <c r="G9" s="13">
        <f t="shared" si="1"/>
        <v>34.25</v>
      </c>
      <c r="H9" s="13"/>
    </row>
    <row r="10" ht="15.75" customHeight="1">
      <c r="A10" s="10" t="str">
        <f>IFERROR(__xludf.DUMMYFUNCTION("""COMPUTED_VALUE"""),"CAT_B")</f>
        <v>CAT_B</v>
      </c>
      <c r="B10" s="10" t="str">
        <f>IFERROR(__xludf.DUMMYFUNCTION("""COMPUTED_VALUE"""),"TRABAJADOR/A SOCIAL")</f>
        <v>TRABAJADOR/A SOCIAL</v>
      </c>
      <c r="C10" s="10">
        <f>IFERROR(__xludf.DUMMYFUNCTION("""COMPUTED_VALUE"""),88.0)</f>
        <v>88</v>
      </c>
      <c r="D10" s="11">
        <f>IFERROR(__xludf.DUMMYFUNCTION("IFERROR(INDEX(QUERY(HNCxTIPO!$A$3:$I27,""SELECT sum(E) WHERE B='""&amp;$B10&amp;""' "",0),2),"""")"),23.799999999999997)</f>
        <v>23.8</v>
      </c>
      <c r="E10" s="12">
        <f>IFERROR(__xludf.DUMMYFUNCTION("IFERROR(INDEX(QUERY(HNCxTIPO!$A$3:$I27,""SELECT sum(F) WHERE B='""&amp;$B10&amp;""' "",0),2),"""")"),2.2)</f>
        <v>2.2</v>
      </c>
      <c r="F10" s="12">
        <f>IFERROR(__xludf.DUMMYFUNCTION("IFERROR(INDEX(QUERY(HNCxTIPO!$A$3:$I27,""SELECT sum(G) WHERE B='""&amp;$B10&amp;""' "",0),2),"""")"),34.5)</f>
        <v>34.5</v>
      </c>
      <c r="G10" s="13">
        <f t="shared" si="1"/>
        <v>27.5</v>
      </c>
      <c r="H10" s="13"/>
    </row>
    <row r="11" ht="15.75" customHeight="1">
      <c r="A11" s="10" t="str">
        <f>IFERROR(__xludf.DUMMYFUNCTION("""COMPUTED_VALUE"""),"CAT_C")</f>
        <v>CAT_C</v>
      </c>
      <c r="B11" s="10" t="str">
        <f>IFERROR(__xludf.DUMMYFUNCTION("""COMPUTED_VALUE"""),"PODOLOGA")</f>
        <v>PODOLOGA</v>
      </c>
      <c r="C11" s="10">
        <f>IFERROR(__xludf.DUMMYFUNCTION("""COMPUTED_VALUE"""),22.0)</f>
        <v>22</v>
      </c>
      <c r="D11" s="11">
        <f>IFERROR(__xludf.DUMMYFUNCTION("IFERROR(INDEX(QUERY(HNCxTIPO!$A$3:$I27,""SELECT sum(E) WHERE B='""&amp;$B11&amp;""' "",0),2),"""")"),0.9)</f>
        <v>0.9</v>
      </c>
      <c r="E11" s="12" t="str">
        <f>IFERROR(__xludf.DUMMYFUNCTION("IFERROR(INDEX(QUERY(HNCxTIPO!$A$3:$I27,""SELECT sum(F) WHERE B='""&amp;$B11&amp;""' "",0),2),"""")"),"")</f>
        <v/>
      </c>
      <c r="F11" s="12">
        <f>IFERROR(__xludf.DUMMYFUNCTION("IFERROR(INDEX(QUERY(HNCxTIPO!$A$3:$I27,""SELECT sum(G) WHERE B='""&amp;$B11&amp;""' "",0),2),"""")"),2.5)</f>
        <v>2.5</v>
      </c>
      <c r="G11" s="13">
        <f t="shared" si="1"/>
        <v>18.6</v>
      </c>
      <c r="H11" s="13"/>
    </row>
    <row r="12" ht="15.75" customHeight="1">
      <c r="A12" s="10" t="str">
        <f>IFERROR(__xludf.DUMMYFUNCTION("""COMPUTED_VALUE"""),"CAT_C")</f>
        <v>CAT_C</v>
      </c>
      <c r="B12" s="10" t="str">
        <f>IFERROR(__xludf.DUMMYFUNCTION("""COMPUTED_VALUE"""),"TENS")</f>
        <v>TENS</v>
      </c>
      <c r="C12" s="10">
        <f>IFERROR(__xludf.DUMMYFUNCTION("""COMPUTED_VALUE"""),132.0)</f>
        <v>132</v>
      </c>
      <c r="D12" s="11">
        <f>IFERROR(__xludf.DUMMYFUNCTION("IFERROR(INDEX(QUERY(HNCxTIPO!$A$3:$I27,""SELECT sum(E) WHERE B='""&amp;$B12&amp;""' "",0),2),"""")"),6.0)</f>
        <v>6</v>
      </c>
      <c r="E12" s="12">
        <f>IFERROR(__xludf.DUMMYFUNCTION("IFERROR(INDEX(QUERY(HNCxTIPO!$A$3:$I27,""SELECT sum(F) WHERE B='""&amp;$B12&amp;""' "",0),2),"""")"),6.6000000000000005)</f>
        <v>6.6</v>
      </c>
      <c r="F12" s="12">
        <f>IFERROR(__xludf.DUMMYFUNCTION("IFERROR(INDEX(QUERY(HNCxTIPO!$A$3:$I27,""SELECT sum(G) WHERE B='""&amp;$B12&amp;""' "",0),2),"""")"),18.75)</f>
        <v>18.75</v>
      </c>
      <c r="G12" s="13">
        <f t="shared" si="1"/>
        <v>100.65</v>
      </c>
      <c r="H12" s="13"/>
    </row>
    <row r="13" ht="15.75" customHeight="1">
      <c r="A13" s="10" t="str">
        <f>IFERROR(__xludf.DUMMYFUNCTION("""COMPUTED_VALUE"""),"CAT_C")</f>
        <v>CAT_C</v>
      </c>
      <c r="B13" s="10" t="str">
        <f>IFERROR(__xludf.DUMMYFUNCTION("""COMPUTED_VALUE"""),"TENS FARMACIA")</f>
        <v>TENS FARMACIA</v>
      </c>
      <c r="C13" s="10">
        <f>IFERROR(__xludf.DUMMYFUNCTION("""COMPUTED_VALUE"""),44.0)</f>
        <v>44</v>
      </c>
      <c r="D13" s="11">
        <f>IFERROR(__xludf.DUMMYFUNCTION("IFERROR(INDEX(QUERY(HNCxTIPO!$A$3:$I27,""SELECT sum(E) WHERE B='""&amp;$B13&amp;""' "",0),2),"""")"),2.0)</f>
        <v>2</v>
      </c>
      <c r="E13" s="12">
        <f>IFERROR(__xludf.DUMMYFUNCTION("IFERROR(INDEX(QUERY(HNCxTIPO!$A$3:$I27,""SELECT sum(F) WHERE B='""&amp;$B13&amp;""' "",0),2),"""")"),2.2)</f>
        <v>2.2</v>
      </c>
      <c r="F13" s="12">
        <f>IFERROR(__xludf.DUMMYFUNCTION("IFERROR(INDEX(QUERY(HNCxTIPO!$A$3:$I27,""SELECT sum(G) WHERE B='""&amp;$B13&amp;""' "",0),2),"""")"),6.25)</f>
        <v>6.25</v>
      </c>
      <c r="G13" s="13">
        <f t="shared" si="1"/>
        <v>33.55</v>
      </c>
      <c r="H13" s="13"/>
    </row>
    <row r="14" ht="15.75" customHeight="1">
      <c r="A14" s="10" t="str">
        <f>IFERROR(__xludf.DUMMYFUNCTION("""COMPUTED_VALUE"""),"CAT_C")</f>
        <v>CAT_C</v>
      </c>
      <c r="B14" s="10" t="str">
        <f>IFERROR(__xludf.DUMMYFUNCTION("""COMPUTED_VALUE"""),"TONS")</f>
        <v>TONS</v>
      </c>
      <c r="C14" s="10">
        <f>IFERROR(__xludf.DUMMYFUNCTION("""COMPUTED_VALUE"""),44.0)</f>
        <v>44</v>
      </c>
      <c r="D14" s="14"/>
      <c r="E14" s="13"/>
      <c r="F14" s="13"/>
      <c r="G14" s="13"/>
      <c r="H14" s="13"/>
    </row>
    <row r="15" ht="15.75" customHeight="1">
      <c r="A15" s="10"/>
      <c r="B15" s="10"/>
      <c r="C15" s="10"/>
      <c r="D15" s="10"/>
      <c r="E15" s="12"/>
      <c r="F15" s="12"/>
      <c r="G15" s="15"/>
      <c r="H15" s="10"/>
    </row>
    <row r="16" ht="15.75" customHeight="1">
      <c r="A16" s="10"/>
      <c r="B16" s="10"/>
      <c r="C16" s="10"/>
      <c r="D16" s="10"/>
      <c r="E16" s="13"/>
      <c r="F16" s="15"/>
      <c r="G16" s="15"/>
      <c r="H16" s="10"/>
    </row>
    <row r="17" ht="15.75" customHeight="1">
      <c r="A17" s="10"/>
      <c r="B17" s="10"/>
      <c r="C17" s="10"/>
      <c r="D17" s="10"/>
      <c r="E17" s="13"/>
      <c r="F17" s="15"/>
      <c r="G17" s="15"/>
      <c r="H17" s="10"/>
    </row>
    <row r="18" ht="15.75" customHeight="1">
      <c r="A18" s="10"/>
      <c r="B18" s="10"/>
      <c r="C18" s="10"/>
      <c r="D18" s="10"/>
      <c r="E18" s="13"/>
      <c r="F18" s="15"/>
      <c r="G18" s="15"/>
      <c r="H18" s="10"/>
    </row>
    <row r="19" ht="15.75" customHeight="1">
      <c r="A19" s="10"/>
      <c r="B19" s="10"/>
      <c r="C19" s="10"/>
      <c r="D19" s="10"/>
      <c r="E19" s="13"/>
      <c r="F19" s="15"/>
      <c r="G19" s="15"/>
      <c r="H19" s="10"/>
    </row>
    <row r="20" ht="15.75" customHeight="1">
      <c r="A20" s="10"/>
      <c r="B20" s="10"/>
      <c r="C20" s="10"/>
      <c r="D20" s="10"/>
      <c r="E20" s="13"/>
      <c r="F20" s="15"/>
      <c r="G20" s="15"/>
      <c r="H20" s="10"/>
    </row>
    <row r="21" ht="15.75" customHeight="1">
      <c r="A21" s="10"/>
      <c r="B21" s="10"/>
      <c r="C21" s="10"/>
      <c r="D21" s="10"/>
      <c r="E21" s="13"/>
      <c r="F21" s="15"/>
      <c r="G21" s="15"/>
      <c r="H21" s="10"/>
    </row>
    <row r="22" ht="15.75" customHeight="1">
      <c r="A22" s="10"/>
      <c r="B22" s="10"/>
      <c r="C22" s="10"/>
      <c r="D22" s="10"/>
      <c r="E22" s="13"/>
      <c r="F22" s="15"/>
      <c r="G22" s="15"/>
      <c r="H22" s="10"/>
    </row>
    <row r="23" ht="15.75" customHeight="1">
      <c r="A23" s="10"/>
      <c r="B23" s="10"/>
      <c r="C23" s="10"/>
      <c r="D23" s="10"/>
      <c r="E23" s="13"/>
      <c r="F23" s="15"/>
      <c r="G23" s="15"/>
      <c r="H23" s="10"/>
    </row>
    <row r="24" ht="15.75" customHeight="1">
      <c r="A24" s="10"/>
      <c r="B24" s="10"/>
      <c r="C24" s="10"/>
      <c r="D24" s="10"/>
      <c r="E24" s="13"/>
      <c r="F24" s="15"/>
      <c r="G24" s="15"/>
      <c r="H24" s="10"/>
    </row>
    <row r="25" ht="15.75" customHeight="1">
      <c r="A25" s="10"/>
      <c r="B25" s="10"/>
      <c r="C25" s="10"/>
      <c r="D25" s="10"/>
      <c r="E25" s="13"/>
      <c r="F25" s="15"/>
      <c r="G25" s="15"/>
      <c r="H25" s="10"/>
    </row>
    <row r="26" ht="15.75" customHeight="1">
      <c r="A26" s="10"/>
      <c r="B26" s="10"/>
      <c r="C26" s="10"/>
      <c r="D26" s="10"/>
      <c r="E26" s="13"/>
      <c r="F26" s="15"/>
      <c r="G26" s="15"/>
      <c r="H26" s="10"/>
    </row>
    <row r="27" ht="15.75" customHeight="1">
      <c r="A27" s="10"/>
      <c r="B27" s="10"/>
      <c r="C27" s="10"/>
      <c r="D27" s="10"/>
      <c r="E27" s="13"/>
      <c r="F27" s="15"/>
      <c r="G27" s="15"/>
      <c r="H27" s="10"/>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13"/>
    <col customWidth="1" min="2" max="2" width="21.75"/>
    <col customWidth="1" min="3" max="3" width="8.5"/>
    <col customWidth="1" min="4" max="4" width="14.63"/>
    <col customWidth="1" min="5" max="5" width="9.5"/>
    <col customWidth="1" min="6" max="6" width="15.88"/>
    <col customWidth="1" min="7" max="7" width="9.5"/>
    <col customWidth="1" min="8" max="8" width="14.5"/>
  </cols>
  <sheetData>
    <row r="1" ht="15.75" customHeight="1">
      <c r="A1" s="16" t="str">
        <f>IFERROR(__xludf.DUMMYFUNCTION("QUERY(HNCxTIPO!A3:I1000,""SELECT A,B,SUM(C) WHERE B IS NOT NULL GROUP BY A,B LABEL SUM(C) 'JORNADAS' "",1)"),"CATEG")</f>
        <v>CATEG</v>
      </c>
      <c r="B1" s="17" t="str">
        <f>IFERROR(__xludf.DUMMYFUNCTION("""COMPUTED_VALUE"""),"CARGO")</f>
        <v>CARGO</v>
      </c>
      <c r="C1" s="17" t="str">
        <f>IFERROR(__xludf.DUMMYFUNCTION("""COMPUTED_VALUE"""),"JORNADAS")</f>
        <v>JORNADAS</v>
      </c>
      <c r="D1" s="17" t="s">
        <v>20</v>
      </c>
      <c r="E1" s="18" t="s">
        <v>21</v>
      </c>
      <c r="F1" s="18" t="s">
        <v>24</v>
      </c>
      <c r="G1" s="18"/>
      <c r="H1" s="18"/>
    </row>
    <row r="2" ht="15.75" customHeight="1">
      <c r="A2" s="19" t="str">
        <f>IFERROR(__xludf.DUMMYFUNCTION("""COMPUTED_VALUE"""),"CAT_A")</f>
        <v>CAT_A</v>
      </c>
      <c r="B2" s="19" t="str">
        <f>IFERROR(__xludf.DUMMYFUNCTION("""COMPUTED_VALUE"""),"CIRUJANO DENTISTA")</f>
        <v>CIRUJANO DENTISTA</v>
      </c>
      <c r="C2" s="19">
        <f>IFERROR(__xludf.DUMMYFUNCTION("""COMPUTED_VALUE"""),66.0)</f>
        <v>66</v>
      </c>
      <c r="D2" s="20">
        <f>IFERROR(__xludf.DUMMYFUNCTION("IFERROR(INDEX(QUERY(HNCxTIPO!$A$3:$I27,""SELECT sum(E)/SUM(H) WHERE B='""&amp;$B2&amp;""' "",0),2),"""")"),0.23181454836131093)</f>
        <v>0.2318145484</v>
      </c>
      <c r="E2" s="21">
        <f>IFERROR(__xludf.DUMMYFUNCTION("IFERROR(INDEX(QUERY(HNCxTIPO!$A$3:$I27,""SELECT sum(F)/SUM(H) WHERE B='""&amp;$B2&amp;""' "",0),2),"""")"),0.17585931254996004)</f>
        <v>0.1758593125</v>
      </c>
      <c r="F2" s="21">
        <f>IFERROR(__xludf.DUMMYFUNCTION("IFERROR(INDEX(QUERY(HNCxTIPO!$A$3:$I27,""SELECT sum(G)/SUM(H) WHERE B='""&amp;$B2&amp;""' "",0),2),"""")"),0.592326139088729)</f>
        <v>0.5923261391</v>
      </c>
      <c r="G2" s="21"/>
      <c r="H2" s="21"/>
    </row>
    <row r="3" ht="15.75" customHeight="1">
      <c r="A3" s="19" t="str">
        <f>IFERROR(__xludf.DUMMYFUNCTION("""COMPUTED_VALUE"""),"CAT_A")</f>
        <v>CAT_A</v>
      </c>
      <c r="B3" s="22" t="str">
        <f>IFERROR(__xludf.DUMMYFUNCTION("""COMPUTED_VALUE"""),"MEDICO CIRUJANO")</f>
        <v>MEDICO CIRUJANO</v>
      </c>
      <c r="C3" s="19">
        <f>IFERROR(__xludf.DUMMYFUNCTION("""COMPUTED_VALUE"""),88.0)</f>
        <v>88</v>
      </c>
      <c r="D3" s="20">
        <f>IFERROR(__xludf.DUMMYFUNCTION("IFERROR(INDEX(QUERY(HNCxTIPO!$A$3:$I27,""SELECT sum(E)/SUM(H) WHERE B='""&amp;$B3&amp;""' "",0),2),"""")"),0.2636165577342048)</f>
        <v>0.2636165577</v>
      </c>
      <c r="E3" s="21">
        <f>IFERROR(__xludf.DUMMYFUNCTION("IFERROR(INDEX(QUERY(HNCxTIPO!$A$3:$I27,""SELECT sum(F)/SUM(H) WHERE B='""&amp;$B3&amp;""' "",0),2),"""")"),0.1917211328976035)</f>
        <v>0.1917211329</v>
      </c>
      <c r="F3" s="21">
        <f>IFERROR(__xludf.DUMMYFUNCTION("IFERROR(INDEX(QUERY(HNCxTIPO!$A$3:$I27,""SELECT sum(G)/SUM(H) WHERE B='""&amp;$B3&amp;""' "",0),2),"""")"),0.5446623093681917)</f>
        <v>0.5446623094</v>
      </c>
      <c r="G3" s="21"/>
      <c r="H3" s="21"/>
    </row>
    <row r="4" ht="15.75" customHeight="1">
      <c r="A4" s="19" t="str">
        <f>IFERROR(__xludf.DUMMYFUNCTION("""COMPUTED_VALUE"""),"CAT_B")</f>
        <v>CAT_B</v>
      </c>
      <c r="B4" s="19" t="str">
        <f>IFERROR(__xludf.DUMMYFUNCTION("""COMPUTED_VALUE"""),"ENFERMERA(O)")</f>
        <v>ENFERMERA(O)</v>
      </c>
      <c r="C4" s="19">
        <f>IFERROR(__xludf.DUMMYFUNCTION("""COMPUTED_VALUE"""),66.0)</f>
        <v>66</v>
      </c>
      <c r="D4" s="20">
        <f>IFERROR(__xludf.DUMMYFUNCTION("IFERROR(INDEX(QUERY(HNCxTIPO!$A$3:$I27,""SELECT sum(E)/SUM(H) WHERE B='""&amp;$B4&amp;""' "",0),2),"""")"),0.7144719687092568)</f>
        <v>0.7144719687</v>
      </c>
      <c r="E4" s="21">
        <f>IFERROR(__xludf.DUMMYFUNCTION("IFERROR(INDEX(QUERY(HNCxTIPO!$A$3:$I27,""SELECT sum(F)/SUM(H) WHERE B='""&amp;$B4&amp;""' "",0),2),"""")"),0.05736636245110822)</f>
        <v>0.05736636245</v>
      </c>
      <c r="F4" s="21">
        <f>IFERROR(__xludf.DUMMYFUNCTION("IFERROR(INDEX(QUERY(HNCxTIPO!$A$3:$I27,""SELECT sum(G)/SUM(H) WHERE B='""&amp;$B4&amp;""' "",0),2),"""")"),0.22816166883963493)</f>
        <v>0.2281616688</v>
      </c>
      <c r="G4" s="21"/>
      <c r="H4" s="21"/>
    </row>
    <row r="5" ht="15.75" customHeight="1">
      <c r="A5" s="19" t="str">
        <f>IFERROR(__xludf.DUMMYFUNCTION("""COMPUTED_VALUE"""),"CAT_B")</f>
        <v>CAT_B</v>
      </c>
      <c r="B5" s="19" t="str">
        <f>IFERROR(__xludf.DUMMYFUNCTION("""COMPUTED_VALUE"""),"GESTOR COMUNITARIO")</f>
        <v>GESTOR COMUNITARIO</v>
      </c>
      <c r="C5" s="19">
        <f>IFERROR(__xludf.DUMMYFUNCTION("""COMPUTED_VALUE"""),33.0)</f>
        <v>33</v>
      </c>
      <c r="D5" s="20">
        <f>IFERROR(__xludf.DUMMYFUNCTION("IFERROR(INDEX(QUERY(HNCxTIPO!$A$3:$I27,""SELECT sum(E)/SUM(H) WHERE B='""&amp;$B5&amp;""' "",0),2),"""")"),0.8004722550177095)</f>
        <v>0.800472255</v>
      </c>
      <c r="E5" s="21">
        <f>IFERROR(__xludf.DUMMYFUNCTION("IFERROR(INDEX(QUERY(HNCxTIPO!$A$3:$I27,""SELECT sum(F)/SUM(H) WHERE B='""&amp;$B5&amp;""' "",0),2),"""")"),0.05194805194805195)</f>
        <v>0.05194805195</v>
      </c>
      <c r="F5" s="21">
        <f>IFERROR(__xludf.DUMMYFUNCTION("IFERROR(INDEX(QUERY(HNCxTIPO!$A$3:$I27,""SELECT sum(G)/SUM(H) WHERE B='""&amp;$B5&amp;""' "",0),2),"""")"),0.14757969303423848)</f>
        <v>0.147579693</v>
      </c>
      <c r="G5" s="21"/>
      <c r="H5" s="21"/>
    </row>
    <row r="6" ht="15.75" customHeight="1">
      <c r="A6" s="19" t="str">
        <f>IFERROR(__xludf.DUMMYFUNCTION("""COMPUTED_VALUE"""),"CAT_B")</f>
        <v>CAT_B</v>
      </c>
      <c r="B6" s="19" t="str">
        <f>IFERROR(__xludf.DUMMYFUNCTION("""COMPUTED_VALUE"""),"KINESIOLOGA/O")</f>
        <v>KINESIOLOGA/O</v>
      </c>
      <c r="C6" s="19">
        <f>IFERROR(__xludf.DUMMYFUNCTION("""COMPUTED_VALUE"""),44.0)</f>
        <v>44</v>
      </c>
      <c r="D6" s="20">
        <f>IFERROR(__xludf.DUMMYFUNCTION("IFERROR(INDEX(QUERY(HNCxTIPO!$A$3:$I27,""SELECT sum(E)/SUM(H) WHERE B='""&amp;$B6&amp;""' "",0),2),"""")"),0.4744958481613286)</f>
        <v>0.4744958482</v>
      </c>
      <c r="E6" s="21">
        <f>IFERROR(__xludf.DUMMYFUNCTION("IFERROR(INDEX(QUERY(HNCxTIPO!$A$3:$I27,""SELECT sum(F)/SUM(H) WHERE B='""&amp;$B6&amp;""' "",0),2),"""")"),0.13048635824436539)</f>
        <v>0.1304863582</v>
      </c>
      <c r="F6" s="21">
        <f>IFERROR(__xludf.DUMMYFUNCTION("IFERROR(INDEX(QUERY(HNCxTIPO!$A$3:$I27,""SELECT sum(G)/SUM(H) WHERE B='""&amp;$B6&amp;""' "",0),2),"""")"),0.39501779359430605)</f>
        <v>0.3950177936</v>
      </c>
      <c r="G6" s="21"/>
      <c r="H6" s="21"/>
    </row>
    <row r="7" ht="15.75" customHeight="1">
      <c r="A7" s="19" t="str">
        <f>IFERROR(__xludf.DUMMYFUNCTION("""COMPUTED_VALUE"""),"CAT_B")</f>
        <v>CAT_B</v>
      </c>
      <c r="B7" s="19" t="str">
        <f>IFERROR(__xludf.DUMMYFUNCTION("""COMPUTED_VALUE"""),"MATRON/A")</f>
        <v>MATRON/A</v>
      </c>
      <c r="C7" s="19">
        <f>IFERROR(__xludf.DUMMYFUNCTION("""COMPUTED_VALUE"""),44.0)</f>
        <v>44</v>
      </c>
      <c r="D7" s="20">
        <f>IFERROR(__xludf.DUMMYFUNCTION("IFERROR(INDEX(QUERY(HNCxTIPO!$A$3:$I27,""SELECT sum(E)/SUM(H) WHERE B='""&amp;$B7&amp;""' "",0),2),"""")"),0.6730007917656373)</f>
        <v>0.6730007918</v>
      </c>
      <c r="E7" s="21">
        <f>IFERROR(__xludf.DUMMYFUNCTION("IFERROR(INDEX(QUERY(HNCxTIPO!$A$3:$I27,""SELECT sum(F)/SUM(H) WHERE B='""&amp;$B7&amp;""' "",0),2),"""")"),0.06334125098970704)</f>
        <v>0.06334125099</v>
      </c>
      <c r="F7" s="21">
        <f>IFERROR(__xludf.DUMMYFUNCTION("IFERROR(INDEX(QUERY(HNCxTIPO!$A$3:$I27,""SELECT sum(G)/SUM(H) WHERE B='""&amp;$B7&amp;""' "",0),2),"""")"),0.26365795724465557)</f>
        <v>0.2636579572</v>
      </c>
      <c r="G7" s="21"/>
      <c r="H7" s="21"/>
    </row>
    <row r="8" ht="15.75" customHeight="1">
      <c r="A8" s="19" t="str">
        <f>IFERROR(__xludf.DUMMYFUNCTION("""COMPUTED_VALUE"""),"CAT_B")</f>
        <v>CAT_B</v>
      </c>
      <c r="B8" s="19" t="str">
        <f>IFERROR(__xludf.DUMMYFUNCTION("""COMPUTED_VALUE"""),"NUTRICIONISTA")</f>
        <v>NUTRICIONISTA</v>
      </c>
      <c r="C8" s="19">
        <f>IFERROR(__xludf.DUMMYFUNCTION("""COMPUTED_VALUE"""),44.0)</f>
        <v>44</v>
      </c>
      <c r="D8" s="20">
        <f>IFERROR(__xludf.DUMMYFUNCTION("IFERROR(INDEX(QUERY(HNCxTIPO!$A$3:$I27,""SELECT sum(E)/SUM(H) WHERE B='""&amp;$B8&amp;""' "",0),2),"""")"),0.7395993836671803)</f>
        <v>0.7395993837</v>
      </c>
      <c r="E8" s="21">
        <f>IFERROR(__xludf.DUMMYFUNCTION("IFERROR(INDEX(QUERY(HNCxTIPO!$A$3:$I27,""SELECT sum(F)/SUM(H) WHERE B='""&amp;$B8&amp;""' "",0),2),"""")"),0.06779661016949153)</f>
        <v>0.06779661017</v>
      </c>
      <c r="F8" s="21">
        <f>IFERROR(__xludf.DUMMYFUNCTION("IFERROR(INDEX(QUERY(HNCxTIPO!$A$3:$I27,""SELECT sum(G)/SUM(H) WHERE B='""&amp;$B8&amp;""' "",0),2),"""")"),0.19260400616332818)</f>
        <v>0.1926040062</v>
      </c>
      <c r="G8" s="21"/>
      <c r="H8" s="21"/>
    </row>
    <row r="9" ht="15.75" customHeight="1">
      <c r="A9" s="19" t="str">
        <f>IFERROR(__xludf.DUMMYFUNCTION("""COMPUTED_VALUE"""),"CAT_B")</f>
        <v>CAT_B</v>
      </c>
      <c r="B9" s="19" t="str">
        <f>IFERROR(__xludf.DUMMYFUNCTION("""COMPUTED_VALUE"""),"PSICOLOGA/O")</f>
        <v>PSICOLOGA/O</v>
      </c>
      <c r="C9" s="19">
        <f>IFERROR(__xludf.DUMMYFUNCTION("""COMPUTED_VALUE"""),44.0)</f>
        <v>44</v>
      </c>
      <c r="D9" s="20">
        <f>IFERROR(__xludf.DUMMYFUNCTION("IFERROR(INDEX(QUERY(HNCxTIPO!$A$3:$I27,""SELECT sum(E)/SUM(H) WHERE B='""&amp;$B9&amp;""' "",0),2),"""")"),0.18461538461538463)</f>
        <v>0.1846153846</v>
      </c>
      <c r="E9" s="21">
        <f>IFERROR(__xludf.DUMMYFUNCTION("IFERROR(INDEX(QUERY(HNCxTIPO!$A$3:$I27,""SELECT sum(F)/SUM(H) WHERE B='""&amp;$B9&amp;""' "",0),2),"""")"),0.22564102564102567)</f>
        <v>0.2256410256</v>
      </c>
      <c r="F9" s="21">
        <f>IFERROR(__xludf.DUMMYFUNCTION("IFERROR(INDEX(QUERY(HNCxTIPO!$A$3:$I27,""SELECT sum(G)/SUM(H) WHERE B='""&amp;$B9&amp;""' "",0),2),"""")"),0.5897435897435898)</f>
        <v>0.5897435897</v>
      </c>
      <c r="G9" s="21"/>
      <c r="H9" s="21"/>
    </row>
    <row r="10" ht="15.75" customHeight="1">
      <c r="A10" s="19" t="str">
        <f>IFERROR(__xludf.DUMMYFUNCTION("""COMPUTED_VALUE"""),"CAT_B")</f>
        <v>CAT_B</v>
      </c>
      <c r="B10" s="19" t="str">
        <f>IFERROR(__xludf.DUMMYFUNCTION("""COMPUTED_VALUE"""),"TRABAJADOR/A SOCIAL")</f>
        <v>TRABAJADOR/A SOCIAL</v>
      </c>
      <c r="C10" s="19">
        <f>IFERROR(__xludf.DUMMYFUNCTION("""COMPUTED_VALUE"""),88.0)</f>
        <v>88</v>
      </c>
      <c r="D10" s="20">
        <f>IFERROR(__xludf.DUMMYFUNCTION("IFERROR(INDEX(QUERY(HNCxTIPO!$A$3:$I27,""SELECT sum(E)/SUM(H) WHERE B='""&amp;$B10&amp;""' "",0),2),"""")"),0.39338842975206606)</f>
        <v>0.3933884298</v>
      </c>
      <c r="E10" s="21">
        <f>IFERROR(__xludf.DUMMYFUNCTION("IFERROR(INDEX(QUERY(HNCxTIPO!$A$3:$I27,""SELECT sum(F)/SUM(H) WHERE B='""&amp;$B10&amp;""' "",0),2),"""")"),0.03636363636363637)</f>
        <v>0.03636363636</v>
      </c>
      <c r="F10" s="21">
        <f>IFERROR(__xludf.DUMMYFUNCTION("IFERROR(INDEX(QUERY(HNCxTIPO!$A$3:$I27,""SELECT sum(G)/SUM(H) WHERE B='""&amp;$B10&amp;""' "",0),2),"""")"),0.5702479338842975)</f>
        <v>0.5702479339</v>
      </c>
      <c r="G10" s="21"/>
      <c r="H10" s="21"/>
    </row>
    <row r="11" ht="15.75" customHeight="1">
      <c r="A11" s="19" t="str">
        <f>IFERROR(__xludf.DUMMYFUNCTION("""COMPUTED_VALUE"""),"CAT_C")</f>
        <v>CAT_C</v>
      </c>
      <c r="B11" s="19" t="str">
        <f>IFERROR(__xludf.DUMMYFUNCTION("""COMPUTED_VALUE"""),"PODOLOGA")</f>
        <v>PODOLOGA</v>
      </c>
      <c r="C11" s="19">
        <f>IFERROR(__xludf.DUMMYFUNCTION("""COMPUTED_VALUE"""),22.0)</f>
        <v>22</v>
      </c>
      <c r="D11" s="20">
        <f>IFERROR(__xludf.DUMMYFUNCTION("IFERROR(INDEX(QUERY(HNCxTIPO!$A$3:$I27,""SELECT sum(E)/SUM(H) WHERE B='""&amp;$B11&amp;""' "",0),2),"""")"),0.2647058823529412)</f>
        <v>0.2647058824</v>
      </c>
      <c r="E11" s="21" t="str">
        <f>IFERROR(__xludf.DUMMYFUNCTION("IFERROR(INDEX(QUERY(HNCxTIPO!$A$3:$I27,""SELECT sum(F)/SUM(H) WHERE B='""&amp;$B11&amp;""' "",0),2),"""")"),"")</f>
        <v/>
      </c>
      <c r="F11" s="21">
        <f>IFERROR(__xludf.DUMMYFUNCTION("IFERROR(INDEX(QUERY(HNCxTIPO!$A$3:$I27,""SELECT sum(G)/SUM(H) WHERE B='""&amp;$B11&amp;""' "",0),2),"""")"),0.7352941176470589)</f>
        <v>0.7352941176</v>
      </c>
      <c r="G11" s="21"/>
      <c r="H11" s="21"/>
    </row>
    <row r="12" ht="15.75" customHeight="1">
      <c r="A12" s="19" t="str">
        <f>IFERROR(__xludf.DUMMYFUNCTION("""COMPUTED_VALUE"""),"CAT_C")</f>
        <v>CAT_C</v>
      </c>
      <c r="B12" s="19" t="str">
        <f>IFERROR(__xludf.DUMMYFUNCTION("""COMPUTED_VALUE"""),"TENS")</f>
        <v>TENS</v>
      </c>
      <c r="C12" s="19">
        <f>IFERROR(__xludf.DUMMYFUNCTION("""COMPUTED_VALUE"""),132.0)</f>
        <v>132</v>
      </c>
      <c r="D12" s="20">
        <f>IFERROR(__xludf.DUMMYFUNCTION("IFERROR(INDEX(QUERY(HNCxTIPO!$A$3:$I27,""SELECT sum(E)/SUM(H) WHERE B='""&amp;$B12&amp;""' "",0),2),"""")"),0.19138755980861244)</f>
        <v>0.1913875598</v>
      </c>
      <c r="E12" s="21">
        <f>IFERROR(__xludf.DUMMYFUNCTION("IFERROR(INDEX(QUERY(HNCxTIPO!$A$3:$I27,""SELECT sum(F)/SUM(H) WHERE B='""&amp;$B12&amp;""' "",0),2),"""")"),0.21052631578947373)</f>
        <v>0.2105263158</v>
      </c>
      <c r="F12" s="21">
        <f>IFERROR(__xludf.DUMMYFUNCTION("IFERROR(INDEX(QUERY(HNCxTIPO!$A$3:$I27,""SELECT sum(G)/SUM(H) WHERE B='""&amp;$B12&amp;""' "",0),2),"""")"),0.5980861244019139)</f>
        <v>0.5980861244</v>
      </c>
      <c r="G12" s="21"/>
      <c r="H12" s="21"/>
    </row>
    <row r="13" ht="15.75" customHeight="1">
      <c r="A13" s="19" t="str">
        <f>IFERROR(__xludf.DUMMYFUNCTION("""COMPUTED_VALUE"""),"CAT_C")</f>
        <v>CAT_C</v>
      </c>
      <c r="B13" s="19" t="str">
        <f>IFERROR(__xludf.DUMMYFUNCTION("""COMPUTED_VALUE"""),"TENS FARMACIA")</f>
        <v>TENS FARMACIA</v>
      </c>
      <c r="C13" s="19">
        <f>IFERROR(__xludf.DUMMYFUNCTION("""COMPUTED_VALUE"""),44.0)</f>
        <v>44</v>
      </c>
      <c r="D13" s="20">
        <f>IFERROR(__xludf.DUMMYFUNCTION("IFERROR(INDEX(QUERY(HNCxTIPO!$A$3:$I27,""SELECT sum(E)/SUM(H) WHERE B='""&amp;$B13&amp;""' "",0),2),"""")"),0.19138755980861244)</f>
        <v>0.1913875598</v>
      </c>
      <c r="E13" s="21">
        <f>IFERROR(__xludf.DUMMYFUNCTION("IFERROR(INDEX(QUERY(HNCxTIPO!$A$3:$I27,""SELECT sum(F)/SUM(H) WHERE B='""&amp;$B13&amp;""' "",0),2),"""")"),0.21052631578947373)</f>
        <v>0.2105263158</v>
      </c>
      <c r="F13" s="21">
        <f>IFERROR(__xludf.DUMMYFUNCTION("IFERROR(INDEX(QUERY(HNCxTIPO!$A$3:$I27,""SELECT sum(G)/SUM(H) WHERE B='""&amp;$B13&amp;""' "",0),2),"""")"),0.5980861244019139)</f>
        <v>0.5980861244</v>
      </c>
      <c r="G13" s="21"/>
      <c r="H13" s="21"/>
    </row>
    <row r="14" ht="15.75" customHeight="1">
      <c r="A14" s="19" t="str">
        <f>IFERROR(__xludf.DUMMYFUNCTION("""COMPUTED_VALUE"""),"CAT_C")</f>
        <v>CAT_C</v>
      </c>
      <c r="B14" s="19" t="str">
        <f>IFERROR(__xludf.DUMMYFUNCTION("""COMPUTED_VALUE"""),"TONS")</f>
        <v>TONS</v>
      </c>
      <c r="C14" s="19">
        <f>IFERROR(__xludf.DUMMYFUNCTION("""COMPUTED_VALUE"""),44.0)</f>
        <v>44</v>
      </c>
      <c r="D14" s="20">
        <f>IFERROR(__xludf.DUMMYFUNCTION("IFERROR(INDEX(QUERY(HNCxTIPO!$A$3:$I27,""SELECT sum(E)/""&amp;C14&amp;"" WHERE B='""&amp;$B14&amp;""' "",0),2),"""")"),0.045454545454545456)</f>
        <v>0.04545454545</v>
      </c>
      <c r="E14" s="21">
        <f>IFERROR(__xludf.DUMMYFUNCTION("IFERROR(INDEX(QUERY(HNCxTIPO!$A$3:$I27,""SELECT sum(F)/""&amp;C14&amp;""  WHERE B='""&amp;$B14&amp;""' "",0),2),"""")"),0.05)</f>
        <v>0.05</v>
      </c>
      <c r="F14" s="21">
        <f>IFERROR(__xludf.DUMMYFUNCTION("IFERROR(INDEX(QUERY(HNCxTIPO!$A$3:$I27,""SELECT sum(G)/""&amp;C14&amp;""  WHERE B='""&amp;$B14&amp;""' "",0),2),"""")"),0.14204545454545456)</f>
        <v>0.1420454545</v>
      </c>
      <c r="G14" s="21"/>
      <c r="H14" s="21"/>
    </row>
    <row r="15" ht="15.75" customHeight="1">
      <c r="A15" s="19"/>
      <c r="B15" s="19"/>
      <c r="C15" s="19"/>
      <c r="D15" s="20"/>
      <c r="E15" s="21"/>
      <c r="F15" s="21"/>
      <c r="G15" s="21"/>
      <c r="H15" s="21"/>
    </row>
    <row r="16" ht="15.75" customHeight="1">
      <c r="A16" s="19"/>
      <c r="B16" s="19"/>
      <c r="C16" s="19"/>
      <c r="D16" s="20"/>
      <c r="E16" s="21"/>
      <c r="F16" s="21"/>
      <c r="G16" s="21"/>
      <c r="H16" s="21"/>
    </row>
    <row r="17" ht="15.75" customHeight="1">
      <c r="A17" s="19"/>
      <c r="B17" s="19"/>
      <c r="C17" s="19"/>
      <c r="D17" s="19"/>
      <c r="E17" s="23"/>
      <c r="F17" s="24"/>
      <c r="G17" s="24"/>
      <c r="H17" s="19"/>
    </row>
    <row r="18" ht="15.75" customHeight="1">
      <c r="A18" s="19"/>
      <c r="B18" s="19"/>
      <c r="C18" s="19"/>
      <c r="D18" s="19"/>
      <c r="E18" s="23"/>
      <c r="F18" s="24"/>
      <c r="G18" s="24"/>
      <c r="H18" s="19"/>
    </row>
    <row r="19" ht="15.75" customHeight="1">
      <c r="A19" s="19"/>
      <c r="B19" s="19"/>
      <c r="C19" s="19"/>
      <c r="D19" s="19"/>
      <c r="E19" s="23"/>
      <c r="F19" s="24"/>
      <c r="G19" s="24"/>
      <c r="H19" s="19"/>
    </row>
    <row r="20" ht="15.75" customHeight="1">
      <c r="A20" s="19"/>
      <c r="B20" s="19"/>
      <c r="C20" s="19"/>
      <c r="D20" s="19"/>
      <c r="E20" s="23"/>
      <c r="F20" s="24"/>
      <c r="G20" s="24"/>
      <c r="H20" s="19"/>
    </row>
    <row r="21" ht="15.75" customHeight="1">
      <c r="A21" s="19"/>
      <c r="B21" s="19"/>
      <c r="C21" s="19"/>
      <c r="D21" s="19"/>
      <c r="E21" s="23"/>
      <c r="F21" s="24"/>
      <c r="G21" s="24"/>
      <c r="H21" s="19"/>
    </row>
    <row r="22" ht="15.75" customHeight="1">
      <c r="A22" s="19"/>
      <c r="B22" s="19"/>
      <c r="C22" s="19"/>
      <c r="D22" s="19"/>
      <c r="E22" s="23"/>
      <c r="F22" s="24"/>
      <c r="G22" s="24"/>
      <c r="H22" s="19"/>
    </row>
    <row r="23" ht="15.75" customHeight="1">
      <c r="A23" s="19"/>
      <c r="B23" s="19"/>
      <c r="C23" s="19"/>
      <c r="D23" s="19"/>
      <c r="E23" s="23"/>
      <c r="F23" s="24"/>
      <c r="G23" s="24"/>
      <c r="H23" s="19"/>
    </row>
    <row r="24" ht="15.75" customHeight="1">
      <c r="A24" s="19"/>
      <c r="B24" s="19"/>
      <c r="C24" s="19"/>
      <c r="D24" s="19"/>
      <c r="E24" s="23"/>
      <c r="F24" s="24"/>
      <c r="G24" s="24"/>
      <c r="H24" s="19"/>
    </row>
    <row r="25" ht="15.75" customHeight="1">
      <c r="A25" s="19"/>
      <c r="B25" s="19"/>
      <c r="C25" s="19"/>
      <c r="D25" s="19"/>
      <c r="E25" s="23"/>
      <c r="F25" s="24"/>
      <c r="G25" s="24"/>
      <c r="H25" s="19"/>
    </row>
    <row r="26" ht="15.75" customHeight="1">
      <c r="A26" s="19"/>
      <c r="B26" s="19"/>
      <c r="C26" s="19"/>
      <c r="D26" s="19"/>
      <c r="E26" s="23"/>
      <c r="F26" s="24"/>
      <c r="G26" s="24"/>
      <c r="H26" s="19"/>
    </row>
    <row r="27" ht="15.75" customHeight="1">
      <c r="A27" s="19"/>
      <c r="B27" s="19"/>
      <c r="C27" s="19"/>
      <c r="D27" s="19"/>
      <c r="E27" s="23"/>
      <c r="F27" s="24"/>
      <c r="G27" s="24"/>
      <c r="H27" s="19"/>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pageSetUpPr fitToPage="1"/>
  </sheetPr>
  <sheetViews>
    <sheetView showGridLines="0" workbookViewId="0">
      <pane ySplit="3.0" topLeftCell="A4" activePane="bottomLeft" state="frozen"/>
      <selection activeCell="B5" sqref="B5" pane="bottomLeft"/>
    </sheetView>
  </sheetViews>
  <sheetFormatPr customHeight="1" defaultColWidth="12.63" defaultRowHeight="15.0"/>
  <cols>
    <col customWidth="1" min="1" max="1" width="6.13"/>
    <col customWidth="1" min="2" max="2" width="21.75"/>
    <col customWidth="1" min="3" max="3" width="8.5"/>
    <col customWidth="1" min="4" max="4" width="21.0"/>
    <col customWidth="1" min="5" max="11" width="11.75"/>
  </cols>
  <sheetData>
    <row r="1" ht="15.75" customHeight="1">
      <c r="A1" s="25"/>
      <c r="B1" s="25"/>
      <c r="C1" s="25">
        <f>IFERROR(__xludf.DUMMYFUNCTION("COUNTUNIQUE(D4:D123)"),20.0)</f>
        <v>20</v>
      </c>
      <c r="D1" s="26" t="s">
        <v>25</v>
      </c>
      <c r="E1" s="27">
        <f>ENCUESTA_GESTION!H1</f>
        <v>157.75</v>
      </c>
      <c r="F1" s="27">
        <f>ENCUESTA_REU!H1</f>
        <v>34.4</v>
      </c>
      <c r="G1" s="27">
        <f>ENCUESTA_DER!H1</f>
        <v>135.14</v>
      </c>
      <c r="H1" s="27"/>
      <c r="I1" s="28"/>
      <c r="J1" s="29"/>
      <c r="K1" s="30"/>
    </row>
    <row r="2" ht="15.75" customHeight="1">
      <c r="A2" s="25"/>
      <c r="B2" s="25"/>
      <c r="C2" s="25">
        <f>SUM(C4:C123)</f>
        <v>759</v>
      </c>
      <c r="D2" s="26" t="s">
        <v>26</v>
      </c>
      <c r="E2" s="27">
        <f t="shared" ref="E2:H2" si="1">SUM(E4:E123)</f>
        <v>155.75</v>
      </c>
      <c r="F2" s="27">
        <f t="shared" si="1"/>
        <v>32.4</v>
      </c>
      <c r="G2" s="27">
        <f t="shared" si="1"/>
        <v>128.48</v>
      </c>
      <c r="H2" s="27">
        <f t="shared" si="1"/>
        <v>316.63</v>
      </c>
      <c r="I2" s="28"/>
      <c r="J2" s="29"/>
      <c r="K2" s="30"/>
    </row>
    <row r="3" ht="15.75" customHeight="1">
      <c r="A3" s="31" t="str">
        <f>IFERROR(__xludf.DUMMYFUNCTION("QUERY(FUNC!A1:E1000,""SELECT B,C,D,E WHERE B IS NOT NULL AND B MATCHES '.*CAT_A|CAT_B|CAT_C|CAT_D.*' ORDER BY B,D LABEL D 'JORNADA' "",1)"),"CATEG")</f>
        <v>CATEG</v>
      </c>
      <c r="B3" s="32" t="str">
        <f>IFERROR(__xludf.DUMMYFUNCTION("""COMPUTED_VALUE"""),"CARGO")</f>
        <v>CARGO</v>
      </c>
      <c r="C3" s="32" t="str">
        <f>IFERROR(__xludf.DUMMYFUNCTION("""COMPUTED_VALUE"""),"JORNADA")</f>
        <v>JORNADA</v>
      </c>
      <c r="D3" s="32" t="str">
        <f>IFERROR(__xludf.DUMMYFUNCTION("""COMPUTED_VALUE"""),"FUNCIONARIO")</f>
        <v>FUNCIONARIO</v>
      </c>
      <c r="E3" s="33" t="s">
        <v>20</v>
      </c>
      <c r="F3" s="34" t="s">
        <v>21</v>
      </c>
      <c r="G3" s="35" t="s">
        <v>24</v>
      </c>
      <c r="H3" s="36" t="s">
        <v>27</v>
      </c>
      <c r="I3" s="37"/>
      <c r="J3" s="38"/>
      <c r="K3" s="39"/>
    </row>
    <row r="4" ht="15.75" customHeight="1">
      <c r="A4" s="19" t="str">
        <f>IFERROR(__xludf.DUMMYFUNCTION("""COMPUTED_VALUE"""),"CAT_A")</f>
        <v>CAT_A</v>
      </c>
      <c r="B4" s="19" t="str">
        <f>IFERROR(__xludf.DUMMYFUNCTION("""COMPUTED_VALUE"""),"CIRUJANO DENTISTA")</f>
        <v>CIRUJANO DENTISTA</v>
      </c>
      <c r="C4" s="19">
        <f>IFERROR(__xludf.DUMMYFUNCTION("""COMPUTED_VALUE"""),22.0)</f>
        <v>22</v>
      </c>
      <c r="D4" s="19" t="str">
        <f>IFERROR(__xludf.DUMMYFUNCTION("""COMPUTED_VALUE"""),"JAIME REYES TORO")</f>
        <v>JAIME REYES TORO</v>
      </c>
      <c r="E4" s="23">
        <f>IFERROR(__xludf.DUMMYFUNCTION("IFERROR(INDEX(QUERY(ENCUESTA_GESTION!$A$3:$H1000,""SELECT sum(H) WHERE B='""&amp;$D4&amp;""'   "",0),2),"""")"),2.0)</f>
        <v>2</v>
      </c>
      <c r="F4" s="40" t="str">
        <f>IFERROR(__xludf.DUMMYFUNCTION("IFERROR(INDEX(QUERY(ENCUESTA_REU!$A$3:$H1000,""SELECT sum(H) WHERE B='""&amp;$D4&amp;""'   "",0),2),"""")"),"  ")</f>
        <v/>
      </c>
      <c r="G4" s="40">
        <f>IFERROR(__xludf.DUMMYFUNCTION("IFERROR(INDEX(QUERY(ENCUESTA_DER!$A$3:$H1000,""SELECT sum(H) WHERE B='""&amp;$D4&amp;""'   "",0),2),"""")"),2.75)</f>
        <v>2.75</v>
      </c>
      <c r="H4" s="41">
        <f t="shared" ref="H4:H300" si="2">SUM(E4:G4)</f>
        <v>4.75</v>
      </c>
      <c r="I4" s="42"/>
      <c r="J4" s="40"/>
      <c r="K4" s="43"/>
    </row>
    <row r="5" ht="15.75" customHeight="1">
      <c r="A5" s="19" t="str">
        <f>IFERROR(__xludf.DUMMYFUNCTION("""COMPUTED_VALUE"""),"CAT_A")</f>
        <v>CAT_A</v>
      </c>
      <c r="B5" s="19" t="str">
        <f>IFERROR(__xludf.DUMMYFUNCTION("""COMPUTED_VALUE"""),"MEDICO CIRUJANO")</f>
        <v>MEDICO CIRUJANO</v>
      </c>
      <c r="C5" s="19">
        <f>IFERROR(__xludf.DUMMYFUNCTION("""COMPUTED_VALUE"""),44.0)</f>
        <v>44</v>
      </c>
      <c r="D5" s="19" t="str">
        <f>IFERROR(__xludf.DUMMYFUNCTION("""COMPUTED_VALUE"""),"GERARDO VALENCIA BERMUDEZ")</f>
        <v>GERARDO VALENCIA BERMUDEZ</v>
      </c>
      <c r="E5" s="23">
        <f>IFERROR(__xludf.DUMMYFUNCTION("IFERROR(INDEX(QUERY(ENCUESTA_GESTION!$A$3:$H1000,""SELECT sum(H) WHERE B='""&amp;$D5&amp;""'   "",0),2),"""")"),2.15)</f>
        <v>2.15</v>
      </c>
      <c r="F5" s="40">
        <f>IFERROR(__xludf.DUMMYFUNCTION("IFERROR(INDEX(QUERY(ENCUESTA_REU!$A$3:$H1000,""SELECT sum(H) WHERE B='""&amp;$D5&amp;""'   "",0),2),"""")"),2.2)</f>
        <v>2.2</v>
      </c>
      <c r="G5" s="40">
        <f>IFERROR(__xludf.DUMMYFUNCTION("IFERROR(INDEX(QUERY(ENCUESTA_DER!$A$3:$H1000,""SELECT sum(H) WHERE B='""&amp;$D5&amp;""'   "",0),2),"""")"),6.25)</f>
        <v>6.25</v>
      </c>
      <c r="H5" s="41">
        <f t="shared" si="2"/>
        <v>10.6</v>
      </c>
      <c r="I5" s="42"/>
      <c r="J5" s="40"/>
      <c r="K5" s="43"/>
    </row>
    <row r="6" ht="15.75" customHeight="1">
      <c r="A6" s="19" t="str">
        <f>IFERROR(__xludf.DUMMYFUNCTION("""COMPUTED_VALUE"""),"CAT_A")</f>
        <v>CAT_A</v>
      </c>
      <c r="B6" s="19" t="str">
        <f>IFERROR(__xludf.DUMMYFUNCTION("""COMPUTED_VALUE"""),"MEDICO CIRUJANO")</f>
        <v>MEDICO CIRUJANO</v>
      </c>
      <c r="C6" s="19">
        <f>IFERROR(__xludf.DUMMYFUNCTION("""COMPUTED_VALUE"""),44.0)</f>
        <v>44</v>
      </c>
      <c r="D6" s="19" t="str">
        <f>IFERROR(__xludf.DUMMYFUNCTION("""COMPUTED_VALUE"""),"CONSTANZA PALMA MONTERO")</f>
        <v>CONSTANZA PALMA MONTERO</v>
      </c>
      <c r="E6" s="23">
        <f>IFERROR(__xludf.DUMMYFUNCTION("IFERROR(INDEX(QUERY(ENCUESTA_GESTION!$A$3:$H1000,""SELECT sum(H) WHERE B='""&amp;$D6&amp;""'   "",0),2),"""")"),3.9)</f>
        <v>3.9</v>
      </c>
      <c r="F6" s="40">
        <f>IFERROR(__xludf.DUMMYFUNCTION("IFERROR(INDEX(QUERY(ENCUESTA_REU!$A$3:$H1000,""SELECT sum(H) WHERE B='""&amp;$D6&amp;""'   "",0),2),"""")"),2.2)</f>
        <v>2.2</v>
      </c>
      <c r="G6" s="40">
        <f>IFERROR(__xludf.DUMMYFUNCTION("IFERROR(INDEX(QUERY(ENCUESTA_DER!$A$3:$H1000,""SELECT sum(H) WHERE B='""&amp;$D6&amp;""'   "",0),2),"""")"),6.25)</f>
        <v>6.25</v>
      </c>
      <c r="H6" s="41">
        <f t="shared" si="2"/>
        <v>12.35</v>
      </c>
      <c r="I6" s="42"/>
      <c r="J6" s="40"/>
      <c r="K6" s="43"/>
    </row>
    <row r="7" ht="15.75" customHeight="1">
      <c r="A7" s="19" t="str">
        <f>IFERROR(__xludf.DUMMYFUNCTION("""COMPUTED_VALUE"""),"CAT_A")</f>
        <v>CAT_A</v>
      </c>
      <c r="B7" s="19" t="str">
        <f>IFERROR(__xludf.DUMMYFUNCTION("""COMPUTED_VALUE"""),"CIRUJANO DENTISTA")</f>
        <v>CIRUJANO DENTISTA</v>
      </c>
      <c r="C7" s="19">
        <f>IFERROR(__xludf.DUMMYFUNCTION("""COMPUTED_VALUE"""),44.0)</f>
        <v>44</v>
      </c>
      <c r="D7" s="19" t="str">
        <f>IFERROR(__xludf.DUMMYFUNCTION("""COMPUTED_VALUE"""),"EDGAR CARVAJAL TORRES")</f>
        <v>EDGAR CARVAJAL TORRES</v>
      </c>
      <c r="E7" s="23">
        <f>IFERROR(__xludf.DUMMYFUNCTION("IFERROR(INDEX(QUERY(ENCUESTA_GESTION!$A$3:$H1000,""SELECT sum(H) WHERE B='""&amp;$D7&amp;""'   "",0),2),"""")"),0.9)</f>
        <v>0.9</v>
      </c>
      <c r="F7" s="40">
        <f>IFERROR(__xludf.DUMMYFUNCTION("IFERROR(INDEX(QUERY(ENCUESTA_REU!$A$3:$H1000,""SELECT sum(H) WHERE B='""&amp;$D7&amp;""'   "",0),2),"""")"),2.2)</f>
        <v>2.2</v>
      </c>
      <c r="G7" s="40">
        <f>IFERROR(__xludf.DUMMYFUNCTION("IFERROR(INDEX(QUERY(ENCUESTA_DER!$A$3:$H1000,""SELECT sum(H) WHERE B='""&amp;$D7&amp;""'   "",0),2),"""")"),4.66)</f>
        <v>4.66</v>
      </c>
      <c r="H7" s="41">
        <f t="shared" si="2"/>
        <v>7.76</v>
      </c>
      <c r="I7" s="42"/>
      <c r="J7" s="40"/>
      <c r="K7" s="43"/>
    </row>
    <row r="8" ht="15.75" customHeight="1">
      <c r="A8" s="19" t="str">
        <f>IFERROR(__xludf.DUMMYFUNCTION("""COMPUTED_VALUE"""),"CAT_B")</f>
        <v>CAT_B</v>
      </c>
      <c r="B8" s="19" t="str">
        <f>IFERROR(__xludf.DUMMYFUNCTION("""COMPUTED_VALUE"""),"ENFERMERA(O)")</f>
        <v>ENFERMERA(O)</v>
      </c>
      <c r="C8" s="19">
        <f>IFERROR(__xludf.DUMMYFUNCTION("""COMPUTED_VALUE"""),22.0)</f>
        <v>22</v>
      </c>
      <c r="D8" s="19" t="str">
        <f>IFERROR(__xludf.DUMMYFUNCTION("""COMPUTED_VALUE"""),"FANNY QUINTANILLA CORDERO")</f>
        <v>FANNY QUINTANILLA CORDERO</v>
      </c>
      <c r="E8" s="23">
        <f>IFERROR(__xludf.DUMMYFUNCTION("IFERROR(INDEX(QUERY(ENCUESTA_GESTION!$A$3:$H1000,""SELECT sum(H) WHERE B='""&amp;$D8&amp;""'   "",0),2),"""")"),5.15)</f>
        <v>5.15</v>
      </c>
      <c r="F8" s="40" t="str">
        <f>IFERROR(__xludf.DUMMYFUNCTION("IFERROR(INDEX(QUERY(ENCUESTA_REU!$A$3:$H1000,""SELECT sum(H) WHERE B='""&amp;$D8&amp;""'   "",0),2),"""")"),"  ")</f>
        <v/>
      </c>
      <c r="G8" s="40">
        <f>IFERROR(__xludf.DUMMYFUNCTION("IFERROR(INDEX(QUERY(ENCUESTA_DER!$A$3:$H1000,""SELECT sum(H) WHERE B='""&amp;$D8&amp;""'   "",0),2),"""")"),2.5)</f>
        <v>2.5</v>
      </c>
      <c r="H8" s="41">
        <f t="shared" si="2"/>
        <v>7.65</v>
      </c>
      <c r="I8" s="42"/>
      <c r="J8" s="40"/>
      <c r="K8" s="43"/>
    </row>
    <row r="9" ht="15.75" customHeight="1">
      <c r="A9" s="19" t="str">
        <f>IFERROR(__xludf.DUMMYFUNCTION("""COMPUTED_VALUE"""),"CAT_B")</f>
        <v>CAT_B</v>
      </c>
      <c r="B9" s="19" t="str">
        <f>IFERROR(__xludf.DUMMYFUNCTION("""COMPUTED_VALUE"""),"PSICOLOGA/O")</f>
        <v>PSICOLOGA/O</v>
      </c>
      <c r="C9" s="19">
        <f>IFERROR(__xludf.DUMMYFUNCTION("""COMPUTED_VALUE"""),22.0)</f>
        <v>22</v>
      </c>
      <c r="D9" s="19" t="str">
        <f>IFERROR(__xludf.DUMMYFUNCTION("""COMPUTED_VALUE"""),"CLAUDIO PINTO VILLALOBOS")</f>
        <v>CLAUDIO PINTO VILLALOBOS</v>
      </c>
      <c r="E9" s="23">
        <f>IFERROR(__xludf.DUMMYFUNCTION("IFERROR(INDEX(QUERY(ENCUESTA_GESTION!$A$3:$H1000,""SELECT sum(H) WHERE B='""&amp;$D9&amp;""'   "",0),2),"""")"),0.9)</f>
        <v>0.9</v>
      </c>
      <c r="F9" s="40">
        <f>IFERROR(__xludf.DUMMYFUNCTION("IFERROR(INDEX(QUERY(ENCUESTA_REU!$A$3:$H1000,""SELECT sum(H) WHERE B='""&amp;$D9&amp;""'   "",0),2),"""")"),2.2)</f>
        <v>2.2</v>
      </c>
      <c r="G9" s="40">
        <f>IFERROR(__xludf.DUMMYFUNCTION("IFERROR(INDEX(QUERY(ENCUESTA_DER!$A$3:$H1000,""SELECT sum(H) WHERE B='""&amp;$D9&amp;""'   "",0),2),"""")"),3.25)</f>
        <v>3.25</v>
      </c>
      <c r="H9" s="41">
        <f t="shared" si="2"/>
        <v>6.35</v>
      </c>
      <c r="I9" s="42"/>
      <c r="J9" s="40"/>
      <c r="K9" s="43"/>
    </row>
    <row r="10" ht="15.75" customHeight="1">
      <c r="A10" s="19" t="str">
        <f>IFERROR(__xludf.DUMMYFUNCTION("""COMPUTED_VALUE"""),"CAT_B")</f>
        <v>CAT_B</v>
      </c>
      <c r="B10" s="19" t="str">
        <f>IFERROR(__xludf.DUMMYFUNCTION("""COMPUTED_VALUE"""),"PSICOLOGA/O")</f>
        <v>PSICOLOGA/O</v>
      </c>
      <c r="C10" s="19">
        <f>IFERROR(__xludf.DUMMYFUNCTION("""COMPUTED_VALUE"""),22.0)</f>
        <v>22</v>
      </c>
      <c r="D10" s="19" t="str">
        <f>IFERROR(__xludf.DUMMYFUNCTION("""COMPUTED_VALUE"""),"ELIZABETH ZARATE ROJAS")</f>
        <v>ELIZABETH ZARATE ROJAS</v>
      </c>
      <c r="E10" s="23">
        <f>IFERROR(__xludf.DUMMYFUNCTION("IFERROR(INDEX(QUERY(ENCUESTA_GESTION!$A$3:$H1000,""SELECT sum(H) WHERE B='""&amp;$D10&amp;""'   "",0),2),"""")"),0.9)</f>
        <v>0.9</v>
      </c>
      <c r="F10" s="40" t="str">
        <f>IFERROR(__xludf.DUMMYFUNCTION("IFERROR(INDEX(QUERY(ENCUESTA_REU!$A$3:$H1000,""SELECT sum(H) WHERE B='""&amp;$D10&amp;""'   "",0),2),"""")"),"  ")</f>
        <v/>
      </c>
      <c r="G10" s="40">
        <f>IFERROR(__xludf.DUMMYFUNCTION("IFERROR(INDEX(QUERY(ENCUESTA_DER!$A$3:$H1000,""SELECT sum(H) WHERE B='""&amp;$D10&amp;""'   "",0),2),"""")"),2.5)</f>
        <v>2.5</v>
      </c>
      <c r="H10" s="41">
        <f t="shared" si="2"/>
        <v>3.4</v>
      </c>
      <c r="I10" s="42"/>
      <c r="J10" s="40"/>
      <c r="K10" s="43"/>
    </row>
    <row r="11" ht="15.75" customHeight="1">
      <c r="A11" s="19" t="str">
        <f>IFERROR(__xludf.DUMMYFUNCTION("""COMPUTED_VALUE"""),"CAT_B")</f>
        <v>CAT_B</v>
      </c>
      <c r="B11" s="19" t="str">
        <f>IFERROR(__xludf.DUMMYFUNCTION("""COMPUTED_VALUE"""),"GESTOR COMUNITARIO")</f>
        <v>GESTOR COMUNITARIO</v>
      </c>
      <c r="C11" s="19">
        <f>IFERROR(__xludf.DUMMYFUNCTION("""COMPUTED_VALUE"""),33.0)</f>
        <v>33</v>
      </c>
      <c r="D11" s="19" t="str">
        <f>IFERROR(__xludf.DUMMYFUNCTION("""COMPUTED_VALUE"""),"VANESSA ESPINOZA ESPINOZA")</f>
        <v>VANESSA ESPINOZA ESPINOZA</v>
      </c>
      <c r="E11" s="23">
        <f>IFERROR(__xludf.DUMMYFUNCTION("IFERROR(INDEX(QUERY(ENCUESTA_GESTION!$A$3:$H1000,""SELECT sum(H) WHERE B='""&amp;$D11&amp;""'   "",0),2),"""")"),33.9)</f>
        <v>33.9</v>
      </c>
      <c r="F11" s="40">
        <f>IFERROR(__xludf.DUMMYFUNCTION("IFERROR(INDEX(QUERY(ENCUESTA_REU!$A$3:$H1000,""SELECT sum(H) WHERE B='""&amp;$D11&amp;""'   "",0),2),"""")"),2.2)</f>
        <v>2.2</v>
      </c>
      <c r="G11" s="40">
        <f>IFERROR(__xludf.DUMMYFUNCTION("IFERROR(INDEX(QUERY(ENCUESTA_DER!$A$3:$H1000,""SELECT sum(H) WHERE B='""&amp;$D11&amp;""'   "",0),2),"""")"),6.25)</f>
        <v>6.25</v>
      </c>
      <c r="H11" s="41">
        <f t="shared" si="2"/>
        <v>42.35</v>
      </c>
      <c r="I11" s="42"/>
      <c r="J11" s="40"/>
      <c r="K11" s="43"/>
    </row>
    <row r="12" ht="15.75" customHeight="1">
      <c r="A12" s="19" t="str">
        <f>IFERROR(__xludf.DUMMYFUNCTION("""COMPUTED_VALUE"""),"CAT_B")</f>
        <v>CAT_B</v>
      </c>
      <c r="B12" s="19" t="str">
        <f>IFERROR(__xludf.DUMMYFUNCTION("""COMPUTED_VALUE"""),"MATRON/A")</f>
        <v>MATRON/A</v>
      </c>
      <c r="C12" s="19">
        <f>IFERROR(__xludf.DUMMYFUNCTION("""COMPUTED_VALUE"""),44.0)</f>
        <v>44</v>
      </c>
      <c r="D12" s="19" t="str">
        <f>IFERROR(__xludf.DUMMYFUNCTION("""COMPUTED_VALUE"""),"SORAYA CRUCES DIAZ")</f>
        <v>SORAYA CRUCES DIAZ</v>
      </c>
      <c r="E12" s="23">
        <f>IFERROR(__xludf.DUMMYFUNCTION("IFERROR(INDEX(QUERY(ENCUESTA_GESTION!$A$3:$H1000,""SELECT sum(H) WHERE B='""&amp;$D12&amp;""'   "",0),2),"""")"),17.0)</f>
        <v>17</v>
      </c>
      <c r="F12" s="40">
        <f>IFERROR(__xludf.DUMMYFUNCTION("IFERROR(INDEX(QUERY(ENCUESTA_REU!$A$3:$H1000,""SELECT sum(H) WHERE B='""&amp;$D12&amp;""'   "",0),2),"""")"),1.6)</f>
        <v>1.6</v>
      </c>
      <c r="G12" s="40">
        <f>IFERROR(__xludf.DUMMYFUNCTION("IFERROR(INDEX(QUERY(ENCUESTA_DER!$A$3:$H1000,""SELECT sum(H) WHERE B='""&amp;$D12&amp;""'   "",0),2),"""")"),6.66)</f>
        <v>6.66</v>
      </c>
      <c r="H12" s="41">
        <f t="shared" si="2"/>
        <v>25.26</v>
      </c>
      <c r="I12" s="42"/>
      <c r="J12" s="40"/>
      <c r="K12" s="43"/>
    </row>
    <row r="13" ht="15.75" customHeight="1">
      <c r="A13" s="19" t="str">
        <f>IFERROR(__xludf.DUMMYFUNCTION("""COMPUTED_VALUE"""),"CAT_B")</f>
        <v>CAT_B</v>
      </c>
      <c r="B13" s="19" t="str">
        <f>IFERROR(__xludf.DUMMYFUNCTION("""COMPUTED_VALUE"""),"KINESIOLOGA/O")</f>
        <v>KINESIOLOGA/O</v>
      </c>
      <c r="C13" s="19">
        <f>IFERROR(__xludf.DUMMYFUNCTION("""COMPUTED_VALUE"""),44.0)</f>
        <v>44</v>
      </c>
      <c r="D13" s="19" t="str">
        <f>IFERROR(__xludf.DUMMYFUNCTION("""COMPUTED_VALUE"""),"ALEJANDRO REYES MURILLO")</f>
        <v>ALEJANDRO REYES MURILLO</v>
      </c>
      <c r="E13" s="23">
        <f>IFERROR(__xludf.DUMMYFUNCTION("IFERROR(INDEX(QUERY(ENCUESTA_GESTION!$A$3:$H1000,""SELECT sum(H) WHERE B='""&amp;$D13&amp;""'   "",0),2),"""")"),8.0)</f>
        <v>8</v>
      </c>
      <c r="F13" s="40">
        <f>IFERROR(__xludf.DUMMYFUNCTION("IFERROR(INDEX(QUERY(ENCUESTA_REU!$A$3:$H1000,""SELECT sum(H) WHERE B='""&amp;$D13&amp;""'   "",0),2),"""")"),2.2)</f>
        <v>2.2</v>
      </c>
      <c r="G13" s="40">
        <f>IFERROR(__xludf.DUMMYFUNCTION("IFERROR(INDEX(QUERY(ENCUESTA_DER!$A$3:$H1000,""SELECT sum(H) WHERE B='""&amp;$D13&amp;""'   "",0),2),"""")"),6.66)</f>
        <v>6.66</v>
      </c>
      <c r="H13" s="41">
        <f t="shared" si="2"/>
        <v>16.86</v>
      </c>
      <c r="I13" s="42"/>
      <c r="J13" s="40"/>
      <c r="K13" s="43"/>
    </row>
    <row r="14" ht="15.75" customHeight="1">
      <c r="A14" s="19" t="str">
        <f>IFERROR(__xludf.DUMMYFUNCTION("""COMPUTED_VALUE"""),"CAT_B")</f>
        <v>CAT_B</v>
      </c>
      <c r="B14" s="19" t="str">
        <f>IFERROR(__xludf.DUMMYFUNCTION("""COMPUTED_VALUE"""),"TRABAJADOR/A SOCIAL")</f>
        <v>TRABAJADOR/A SOCIAL</v>
      </c>
      <c r="C14" s="19">
        <f>IFERROR(__xludf.DUMMYFUNCTION("""COMPUTED_VALUE"""),44.0)</f>
        <v>44</v>
      </c>
      <c r="D14" s="19" t="str">
        <f>IFERROR(__xludf.DUMMYFUNCTION("""COMPUTED_VALUE"""),"MARCELA JAQUE LIZAMA")</f>
        <v>MARCELA JAQUE LIZAMA</v>
      </c>
      <c r="E14" s="23">
        <f>IFERROR(__xludf.DUMMYFUNCTION("IFERROR(INDEX(QUERY(ENCUESTA_GESTION!$A$3:$H1000,""SELECT sum(H) WHERE B='""&amp;$D14&amp;""'   "",0),2),"""")"),0.9)</f>
        <v>0.9</v>
      </c>
      <c r="F14" s="40" t="str">
        <f>IFERROR(__xludf.DUMMYFUNCTION("IFERROR(INDEX(QUERY(ENCUESTA_REU!$A$3:$H1000,""SELECT sum(H) WHERE B='""&amp;$D14&amp;""'   "",0),2),"""")"),"  ")</f>
        <v/>
      </c>
      <c r="G14" s="40">
        <f>IFERROR(__xludf.DUMMYFUNCTION("IFERROR(INDEX(QUERY(ENCUESTA_DER!$A$3:$H1000,""SELECT sum(H) WHERE B='""&amp;$D14&amp;""'   "",0),2),"""")"),28.25)</f>
        <v>28.25</v>
      </c>
      <c r="H14" s="41">
        <f t="shared" si="2"/>
        <v>29.15</v>
      </c>
      <c r="I14" s="42"/>
      <c r="J14" s="40"/>
      <c r="K14" s="43"/>
    </row>
    <row r="15" ht="15.75" customHeight="1">
      <c r="A15" s="19" t="str">
        <f>IFERROR(__xludf.DUMMYFUNCTION("""COMPUTED_VALUE"""),"CAT_B")</f>
        <v>CAT_B</v>
      </c>
      <c r="B15" s="19" t="str">
        <f>IFERROR(__xludf.DUMMYFUNCTION("""COMPUTED_VALUE"""),"TRABAJADOR/A SOCIAL")</f>
        <v>TRABAJADOR/A SOCIAL</v>
      </c>
      <c r="C15" s="19">
        <f>IFERROR(__xludf.DUMMYFUNCTION("""COMPUTED_VALUE"""),44.0)</f>
        <v>44</v>
      </c>
      <c r="D15" s="19" t="str">
        <f>IFERROR(__xludf.DUMMYFUNCTION("""COMPUTED_VALUE"""),"PAULINA DIAZ MEDINA")</f>
        <v>PAULINA DIAZ MEDINA</v>
      </c>
      <c r="E15" s="23">
        <f>IFERROR(__xludf.DUMMYFUNCTION("IFERROR(INDEX(QUERY(ENCUESTA_GESTION!$A$3:$H1000,""SELECT sum(H) WHERE B='""&amp;$D15&amp;""'   "",0),2),"""")"),22.9)</f>
        <v>22.9</v>
      </c>
      <c r="F15" s="40">
        <f>IFERROR(__xludf.DUMMYFUNCTION("IFERROR(INDEX(QUERY(ENCUESTA_REU!$A$3:$H1000,""SELECT sum(H) WHERE B='""&amp;$D15&amp;""'   "",0),2),"""")"),2.2)</f>
        <v>2.2</v>
      </c>
      <c r="G15" s="40">
        <f>IFERROR(__xludf.DUMMYFUNCTION("IFERROR(INDEX(QUERY(ENCUESTA_DER!$A$3:$H1000,""SELECT sum(H) WHERE B='""&amp;$D15&amp;""'   "",0),2),"""")"),6.25)</f>
        <v>6.25</v>
      </c>
      <c r="H15" s="41">
        <f t="shared" si="2"/>
        <v>31.35</v>
      </c>
      <c r="I15" s="42"/>
      <c r="J15" s="40"/>
      <c r="K15" s="43"/>
    </row>
    <row r="16" ht="15.75" customHeight="1">
      <c r="A16" s="19" t="str">
        <f>IFERROR(__xludf.DUMMYFUNCTION("""COMPUTED_VALUE"""),"CAT_B")</f>
        <v>CAT_B</v>
      </c>
      <c r="B16" s="19" t="str">
        <f>IFERROR(__xludf.DUMMYFUNCTION("""COMPUTED_VALUE"""),"ENFERMERA(O)")</f>
        <v>ENFERMERA(O)</v>
      </c>
      <c r="C16" s="19">
        <f>IFERROR(__xludf.DUMMYFUNCTION("""COMPUTED_VALUE"""),44.0)</f>
        <v>44</v>
      </c>
      <c r="D16" s="19" t="str">
        <f>IFERROR(__xludf.DUMMYFUNCTION("""COMPUTED_VALUE"""),"CAROL AMBO AMPUERO")</f>
        <v>CAROL AMBO AMPUERO</v>
      </c>
      <c r="E16" s="23">
        <f>IFERROR(__xludf.DUMMYFUNCTION("IFERROR(INDEX(QUERY(ENCUESTA_GESTION!$A$3:$H1000,""SELECT sum(H) WHERE B='""&amp;$D16&amp;""'   "",0),2),"""")"),22.25)</f>
        <v>22.25</v>
      </c>
      <c r="F16" s="40">
        <f>IFERROR(__xludf.DUMMYFUNCTION("IFERROR(INDEX(QUERY(ENCUESTA_REU!$A$3:$H1000,""SELECT sum(H) WHERE B='""&amp;$D16&amp;""'   "",0),2),"""")"),2.2)</f>
        <v>2.2</v>
      </c>
      <c r="G16" s="40">
        <f>IFERROR(__xludf.DUMMYFUNCTION("IFERROR(INDEX(QUERY(ENCUESTA_DER!$A$3:$H1000,""SELECT sum(H) WHERE B='""&amp;$D16&amp;""'   "",0),2),"""")"),6.25)</f>
        <v>6.25</v>
      </c>
      <c r="H16" s="41">
        <f t="shared" si="2"/>
        <v>30.7</v>
      </c>
      <c r="I16" s="42"/>
      <c r="J16" s="40"/>
      <c r="K16" s="43"/>
    </row>
    <row r="17" ht="15.75" customHeight="1">
      <c r="A17" s="19" t="str">
        <f>IFERROR(__xludf.DUMMYFUNCTION("""COMPUTED_VALUE"""),"CAT_B")</f>
        <v>CAT_B</v>
      </c>
      <c r="B17" s="19" t="str">
        <f>IFERROR(__xludf.DUMMYFUNCTION("""COMPUTED_VALUE"""),"NUTRICIONISTA")</f>
        <v>NUTRICIONISTA</v>
      </c>
      <c r="C17" s="19">
        <f>IFERROR(__xludf.DUMMYFUNCTION("""COMPUTED_VALUE"""),44.0)</f>
        <v>44</v>
      </c>
      <c r="D17" s="19" t="str">
        <f>IFERROR(__xludf.DUMMYFUNCTION("""COMPUTED_VALUE"""),"PAULA ABARCA MORALES")</f>
        <v>PAULA ABARCA MORALES</v>
      </c>
      <c r="E17" s="23">
        <f>IFERROR(__xludf.DUMMYFUNCTION("IFERROR(INDEX(QUERY(ENCUESTA_GESTION!$A$3:$H1000,""SELECT sum(H) WHERE B='""&amp;$D17&amp;""'   "",0),2),"""")"),24.0)</f>
        <v>24</v>
      </c>
      <c r="F17" s="40">
        <f>IFERROR(__xludf.DUMMYFUNCTION("IFERROR(INDEX(QUERY(ENCUESTA_REU!$A$3:$H1000,""SELECT sum(H) WHERE B='""&amp;$D17&amp;""'   "",0),2),"""")"),2.2)</f>
        <v>2.2</v>
      </c>
      <c r="G17" s="40">
        <f>IFERROR(__xludf.DUMMYFUNCTION("IFERROR(INDEX(QUERY(ENCUESTA_DER!$A$3:$H1000,""SELECT sum(H) WHERE B='""&amp;$D17&amp;""'   "",0),2),"""")"),6.25)</f>
        <v>6.25</v>
      </c>
      <c r="H17" s="41">
        <f t="shared" si="2"/>
        <v>32.45</v>
      </c>
      <c r="I17" s="42"/>
      <c r="J17" s="40"/>
      <c r="K17" s="43"/>
    </row>
    <row r="18" ht="15.75" customHeight="1">
      <c r="A18" s="19" t="str">
        <f>IFERROR(__xludf.DUMMYFUNCTION("""COMPUTED_VALUE"""),"CAT_C")</f>
        <v>CAT_C</v>
      </c>
      <c r="B18" s="19" t="str">
        <f>IFERROR(__xludf.DUMMYFUNCTION("""COMPUTED_VALUE"""),"PODOLOGA")</f>
        <v>PODOLOGA</v>
      </c>
      <c r="C18" s="19">
        <f>IFERROR(__xludf.DUMMYFUNCTION("""COMPUTED_VALUE"""),22.0)</f>
        <v>22</v>
      </c>
      <c r="D18" s="19" t="str">
        <f>IFERROR(__xludf.DUMMYFUNCTION("""COMPUTED_VALUE"""),"KARINA MONTANARES")</f>
        <v>KARINA MONTANARES</v>
      </c>
      <c r="E18" s="23">
        <f>IFERROR(__xludf.DUMMYFUNCTION("IFERROR(INDEX(QUERY(ENCUESTA_GESTION!$A$3:$H1000,""SELECT sum(H) WHERE B='""&amp;$D18&amp;""'   "",0),2),"""")"),0.9)</f>
        <v>0.9</v>
      </c>
      <c r="F18" s="40" t="str">
        <f>IFERROR(__xludf.DUMMYFUNCTION("IFERROR(INDEX(QUERY(ENCUESTA_REU!$A$3:$H1000,""SELECT sum(H) WHERE B='""&amp;$D18&amp;""'   "",0),2),"""")"),"  ")</f>
        <v/>
      </c>
      <c r="G18" s="40">
        <f>IFERROR(__xludf.DUMMYFUNCTION("IFERROR(INDEX(QUERY(ENCUESTA_DER!$A$3:$H1000,""SELECT sum(H) WHERE B='""&amp;$D18&amp;""'   "",0),2),"""")"),2.5)</f>
        <v>2.5</v>
      </c>
      <c r="H18" s="41">
        <f t="shared" si="2"/>
        <v>3.4</v>
      </c>
      <c r="I18" s="42"/>
      <c r="J18" s="40"/>
      <c r="K18" s="43"/>
    </row>
    <row r="19" ht="15.75" customHeight="1">
      <c r="A19" s="19" t="str">
        <f>IFERROR(__xludf.DUMMYFUNCTION("""COMPUTED_VALUE"""),"CAT_C")</f>
        <v>CAT_C</v>
      </c>
      <c r="B19" s="19" t="str">
        <f>IFERROR(__xludf.DUMMYFUNCTION("""COMPUTED_VALUE"""),"TENS")</f>
        <v>TENS</v>
      </c>
      <c r="C19" s="19">
        <f>IFERROR(__xludf.DUMMYFUNCTION("""COMPUTED_VALUE"""),44.0)</f>
        <v>44</v>
      </c>
      <c r="D19" s="19" t="str">
        <f>IFERROR(__xludf.DUMMYFUNCTION("""COMPUTED_VALUE"""),"DANIELA ROJAS GAMBOA")</f>
        <v>DANIELA ROJAS GAMBOA</v>
      </c>
      <c r="E19" s="23">
        <f>IFERROR(__xludf.DUMMYFUNCTION("IFERROR(INDEX(QUERY(ENCUESTA_GESTION!$A$3:$H1000,""SELECT sum(H) WHERE B='""&amp;$D19&amp;""'   "",0),2),"""")"),2.0)</f>
        <v>2</v>
      </c>
      <c r="F19" s="40">
        <f>IFERROR(__xludf.DUMMYFUNCTION("IFERROR(INDEX(QUERY(ENCUESTA_REU!$A$3:$H1000,""SELECT sum(H) WHERE B='""&amp;$D19&amp;""'   "",0),2),"""")"),2.2)</f>
        <v>2.2</v>
      </c>
      <c r="G19" s="40">
        <f>IFERROR(__xludf.DUMMYFUNCTION("IFERROR(INDEX(QUERY(ENCUESTA_DER!$A$3:$H1000,""SELECT sum(H) WHERE B='""&amp;$D19&amp;""'   "",0),2),"""")"),6.25)</f>
        <v>6.25</v>
      </c>
      <c r="H19" s="41">
        <f t="shared" si="2"/>
        <v>10.45</v>
      </c>
      <c r="I19" s="42"/>
      <c r="J19" s="40"/>
      <c r="K19" s="43"/>
    </row>
    <row r="20" ht="15.75" customHeight="1">
      <c r="A20" s="19" t="str">
        <f>IFERROR(__xludf.DUMMYFUNCTION("""COMPUTED_VALUE"""),"CAT_C")</f>
        <v>CAT_C</v>
      </c>
      <c r="B20" s="19" t="str">
        <f>IFERROR(__xludf.DUMMYFUNCTION("""COMPUTED_VALUE"""),"TENS")</f>
        <v>TENS</v>
      </c>
      <c r="C20" s="19">
        <f>IFERROR(__xludf.DUMMYFUNCTION("""COMPUTED_VALUE"""),44.0)</f>
        <v>44</v>
      </c>
      <c r="D20" s="19" t="str">
        <f>IFERROR(__xludf.DUMMYFUNCTION("""COMPUTED_VALUE"""),"LUIS GONZALEZ SEPULVEDA")</f>
        <v>LUIS GONZALEZ SEPULVEDA</v>
      </c>
      <c r="E20" s="23">
        <f>IFERROR(__xludf.DUMMYFUNCTION("IFERROR(INDEX(QUERY(ENCUESTA_GESTION!$A$3:$H1000,""SELECT sum(H) WHERE B='""&amp;$D20&amp;""'   "",0),2),"""")"),2.0)</f>
        <v>2</v>
      </c>
      <c r="F20" s="40">
        <f>IFERROR(__xludf.DUMMYFUNCTION("IFERROR(INDEX(QUERY(ENCUESTA_REU!$A$3:$H1000,""SELECT sum(H) WHERE B='""&amp;$D20&amp;""'   "",0),2),"""")"),2.2)</f>
        <v>2.2</v>
      </c>
      <c r="G20" s="40">
        <f>IFERROR(__xludf.DUMMYFUNCTION("IFERROR(INDEX(QUERY(ENCUESTA_DER!$A$3:$H1000,""SELECT sum(H) WHERE B='""&amp;$D20&amp;""'   "",0),2),"""")"),6.25)</f>
        <v>6.25</v>
      </c>
      <c r="H20" s="41">
        <f t="shared" si="2"/>
        <v>10.45</v>
      </c>
      <c r="I20" s="42"/>
      <c r="J20" s="40"/>
      <c r="K20" s="43"/>
    </row>
    <row r="21" ht="15.75" customHeight="1">
      <c r="A21" s="19" t="str">
        <f>IFERROR(__xludf.DUMMYFUNCTION("""COMPUTED_VALUE"""),"CAT_C")</f>
        <v>CAT_C</v>
      </c>
      <c r="B21" s="19" t="str">
        <f>IFERROR(__xludf.DUMMYFUNCTION("""COMPUTED_VALUE"""),"TONS")</f>
        <v>TONS</v>
      </c>
      <c r="C21" s="19">
        <f>IFERROR(__xludf.DUMMYFUNCTION("""COMPUTED_VALUE"""),44.0)</f>
        <v>44</v>
      </c>
      <c r="D21" s="19" t="str">
        <f>IFERROR(__xludf.DUMMYFUNCTION("""COMPUTED_VALUE"""),"ANGELA ZUÑIGA MUGA")</f>
        <v>ANGELA ZUÑIGA MUGA</v>
      </c>
      <c r="E21" s="23">
        <f>IFERROR(__xludf.DUMMYFUNCTION("IFERROR(INDEX(QUERY(ENCUESTA_GESTION!$A$3:$H1000,""SELECT sum(H) WHERE B='""&amp;$D21&amp;""'   "",0),2),"""")"),2.0)</f>
        <v>2</v>
      </c>
      <c r="F21" s="40">
        <f>IFERROR(__xludf.DUMMYFUNCTION("IFERROR(INDEX(QUERY(ENCUESTA_REU!$A$3:$H1000,""SELECT sum(H) WHERE B='""&amp;$D21&amp;""'   "",0),2),"""")"),2.2)</f>
        <v>2.2</v>
      </c>
      <c r="G21" s="40">
        <f>IFERROR(__xludf.DUMMYFUNCTION("IFERROR(INDEX(QUERY(ENCUESTA_DER!$A$3:$H1000,""SELECT sum(H) WHERE B='""&amp;$D21&amp;""'   "",0),2),"""")"),6.25)</f>
        <v>6.25</v>
      </c>
      <c r="H21" s="41">
        <f t="shared" si="2"/>
        <v>10.45</v>
      </c>
      <c r="I21" s="42"/>
      <c r="J21" s="40"/>
      <c r="K21" s="43"/>
    </row>
    <row r="22" ht="15.75" customHeight="1">
      <c r="A22" s="19" t="str">
        <f>IFERROR(__xludf.DUMMYFUNCTION("""COMPUTED_VALUE"""),"CAT_C")</f>
        <v>CAT_C</v>
      </c>
      <c r="B22" s="19" t="str">
        <f>IFERROR(__xludf.DUMMYFUNCTION("""COMPUTED_VALUE"""),"TENS FARMACIA")</f>
        <v>TENS FARMACIA</v>
      </c>
      <c r="C22" s="19">
        <f>IFERROR(__xludf.DUMMYFUNCTION("""COMPUTED_VALUE"""),44.0)</f>
        <v>44</v>
      </c>
      <c r="D22" s="19" t="str">
        <f>IFERROR(__xludf.DUMMYFUNCTION("""COMPUTED_VALUE"""),"VALERIA NUÑEZ QUINCHEL")</f>
        <v>VALERIA NUÑEZ QUINCHEL</v>
      </c>
      <c r="E22" s="23">
        <f>IFERROR(__xludf.DUMMYFUNCTION("IFERROR(INDEX(QUERY(ENCUESTA_GESTION!$A$3:$H1000,""SELECT sum(H) WHERE B='""&amp;$D22&amp;""'   "",0),2),"""")"),2.0)</f>
        <v>2</v>
      </c>
      <c r="F22" s="40">
        <f>IFERROR(__xludf.DUMMYFUNCTION("IFERROR(INDEX(QUERY(ENCUESTA_REU!$A$3:$H1000,""SELECT sum(H) WHERE B='""&amp;$D22&amp;""'   "",0),2),"""")"),2.2)</f>
        <v>2.2</v>
      </c>
      <c r="G22" s="40">
        <f>IFERROR(__xludf.DUMMYFUNCTION("IFERROR(INDEX(QUERY(ENCUESTA_DER!$A$3:$H1000,""SELECT sum(H) WHERE B='""&amp;$D22&amp;""'   "",0),2),"""")"),6.25)</f>
        <v>6.25</v>
      </c>
      <c r="H22" s="41">
        <f t="shared" si="2"/>
        <v>10.45</v>
      </c>
      <c r="I22" s="42"/>
      <c r="J22" s="40"/>
      <c r="K22" s="43"/>
    </row>
    <row r="23" ht="15.75" customHeight="1">
      <c r="A23" s="19" t="str">
        <f>IFERROR(__xludf.DUMMYFUNCTION("""COMPUTED_VALUE"""),"CAT_C")</f>
        <v>CAT_C</v>
      </c>
      <c r="B23" s="19" t="str">
        <f>IFERROR(__xludf.DUMMYFUNCTION("""COMPUTED_VALUE"""),"TENS")</f>
        <v>TENS</v>
      </c>
      <c r="C23" s="19">
        <f>IFERROR(__xludf.DUMMYFUNCTION("""COMPUTED_VALUE"""),44.0)</f>
        <v>44</v>
      </c>
      <c r="D23" s="19" t="str">
        <f>IFERROR(__xludf.DUMMYFUNCTION("""COMPUTED_VALUE"""),"MYRRHA ANDAUR MARTINEZ")</f>
        <v>MYRRHA ANDAUR MARTINEZ</v>
      </c>
      <c r="E23" s="23">
        <f>IFERROR(__xludf.DUMMYFUNCTION("IFERROR(INDEX(QUERY(ENCUESTA_GESTION!$A$3:$H1000,""SELECT sum(H) WHERE B='""&amp;$D23&amp;""'   "",0),2),"""")"),2.0)</f>
        <v>2</v>
      </c>
      <c r="F23" s="40">
        <f>IFERROR(__xludf.DUMMYFUNCTION("IFERROR(INDEX(QUERY(ENCUESTA_REU!$A$3:$H1000,""SELECT sum(H) WHERE B='""&amp;$D23&amp;""'   "",0),2),"""")"),2.2)</f>
        <v>2.2</v>
      </c>
      <c r="G23" s="40">
        <f>IFERROR(__xludf.DUMMYFUNCTION("IFERROR(INDEX(QUERY(ENCUESTA_DER!$A$3:$H1000,""SELECT sum(H) WHERE B='""&amp;$D23&amp;""'   "",0),2),"""")"),6.25)</f>
        <v>6.25</v>
      </c>
      <c r="H23" s="41">
        <f t="shared" si="2"/>
        <v>10.45</v>
      </c>
      <c r="I23" s="42"/>
      <c r="J23" s="40"/>
      <c r="K23" s="43"/>
    </row>
    <row r="24" ht="15.75" customHeight="1">
      <c r="A24" s="19"/>
      <c r="B24" s="19"/>
      <c r="C24" s="19"/>
      <c r="D24" s="19"/>
      <c r="E24" s="23">
        <f>IFERROR(__xludf.DUMMYFUNCTION("IFERROR(INDEX(QUERY(ENCUESTA_GESTION!$A$3:$H1000,""SELECT sum(H) WHERE B='""&amp;$D24&amp;""'   "",0),2),"""")"),0.0)</f>
        <v>0</v>
      </c>
      <c r="F24" s="40">
        <f>IFERROR(__xludf.DUMMYFUNCTION("IFERROR(INDEX(QUERY(ENCUESTA_REU!$A$3:$H1000,""SELECT sum(H) WHERE B='""&amp;$D24&amp;""'   "",0),2),"""")"),0.0)</f>
        <v>0</v>
      </c>
      <c r="G24" s="40">
        <f>IFERROR(__xludf.DUMMYFUNCTION("IFERROR(INDEX(QUERY(ENCUESTA_DER!$A$3:$H1000,""SELECT sum(H) WHERE B='""&amp;$D24&amp;""'   "",0),2),"""")"),0.0)</f>
        <v>0</v>
      </c>
      <c r="H24" s="41">
        <f t="shared" si="2"/>
        <v>0</v>
      </c>
      <c r="I24" s="42"/>
      <c r="J24" s="40"/>
      <c r="K24" s="43"/>
    </row>
    <row r="25" ht="15.75" customHeight="1">
      <c r="A25" s="19"/>
      <c r="B25" s="19"/>
      <c r="C25" s="19"/>
      <c r="D25" s="19"/>
      <c r="E25" s="23">
        <f>IFERROR(__xludf.DUMMYFUNCTION("IFERROR(INDEX(QUERY(ENCUESTA_GESTION!$A$3:$H1000,""SELECT sum(H) WHERE B='""&amp;$D25&amp;""'   "",0),2),"""")"),0.0)</f>
        <v>0</v>
      </c>
      <c r="F25" s="40">
        <f>IFERROR(__xludf.DUMMYFUNCTION("IFERROR(INDEX(QUERY(ENCUESTA_REU!$A$3:$H1000,""SELECT sum(H) WHERE B='""&amp;$D25&amp;""'   "",0),2),"""")"),0.0)</f>
        <v>0</v>
      </c>
      <c r="G25" s="40">
        <f>IFERROR(__xludf.DUMMYFUNCTION("IFERROR(INDEX(QUERY(ENCUESTA_DER!$A$3:$H1000,""SELECT sum(H) WHERE B='""&amp;$D25&amp;""'   "",0),2),"""")"),0.0)</f>
        <v>0</v>
      </c>
      <c r="H25" s="41">
        <f t="shared" si="2"/>
        <v>0</v>
      </c>
      <c r="I25" s="42"/>
      <c r="J25" s="40"/>
      <c r="K25" s="43"/>
    </row>
    <row r="26" ht="15.75" customHeight="1">
      <c r="A26" s="19"/>
      <c r="B26" s="19"/>
      <c r="C26" s="19"/>
      <c r="D26" s="19"/>
      <c r="E26" s="23">
        <f>IFERROR(__xludf.DUMMYFUNCTION("IFERROR(INDEX(QUERY(ENCUESTA_GESTION!$A$3:$H1000,""SELECT sum(H) WHERE B='""&amp;$D26&amp;""'   "",0),2),"""")"),0.0)</f>
        <v>0</v>
      </c>
      <c r="F26" s="40">
        <f>IFERROR(__xludf.DUMMYFUNCTION("IFERROR(INDEX(QUERY(ENCUESTA_REU!$A$3:$H1000,""SELECT sum(H) WHERE B='""&amp;$D26&amp;""'   "",0),2),"""")"),0.0)</f>
        <v>0</v>
      </c>
      <c r="G26" s="40">
        <f>IFERROR(__xludf.DUMMYFUNCTION("IFERROR(INDEX(QUERY(ENCUESTA_DER!$A$3:$H1000,""SELECT sum(H) WHERE B='""&amp;$D26&amp;""'   "",0),2),"""")"),0.0)</f>
        <v>0</v>
      </c>
      <c r="H26" s="41">
        <f t="shared" si="2"/>
        <v>0</v>
      </c>
      <c r="I26" s="42"/>
      <c r="J26" s="40"/>
      <c r="K26" s="43"/>
    </row>
    <row r="27" ht="15.75" customHeight="1">
      <c r="A27" s="19"/>
      <c r="B27" s="19"/>
      <c r="C27" s="19"/>
      <c r="D27" s="19"/>
      <c r="E27" s="23">
        <f>IFERROR(__xludf.DUMMYFUNCTION("IFERROR(INDEX(QUERY(ENCUESTA_GESTION!$A$3:$H1000,""SELECT sum(H) WHERE B='""&amp;$D27&amp;""'   "",0),2),"""")"),0.0)</f>
        <v>0</v>
      </c>
      <c r="F27" s="40">
        <f>IFERROR(__xludf.DUMMYFUNCTION("IFERROR(INDEX(QUERY(ENCUESTA_REU!$A$3:$H1000,""SELECT sum(H) WHERE B='""&amp;$D27&amp;""'   "",0),2),"""")"),0.0)</f>
        <v>0</v>
      </c>
      <c r="G27" s="40">
        <f>IFERROR(__xludf.DUMMYFUNCTION("IFERROR(INDEX(QUERY(ENCUESTA_DER!$A$3:$H1000,""SELECT sum(H) WHERE B='""&amp;$D27&amp;""'   "",0),2),"""")"),0.0)</f>
        <v>0</v>
      </c>
      <c r="H27" s="41">
        <f t="shared" si="2"/>
        <v>0</v>
      </c>
      <c r="I27" s="42"/>
      <c r="J27" s="40"/>
      <c r="K27" s="43"/>
    </row>
    <row r="28" ht="15.75" customHeight="1">
      <c r="A28" s="19"/>
      <c r="B28" s="19"/>
      <c r="C28" s="19"/>
      <c r="D28" s="19"/>
      <c r="E28" s="23">
        <f>IFERROR(__xludf.DUMMYFUNCTION("IFERROR(INDEX(QUERY(ENCUESTA_GESTION!$A$3:$H1000,""SELECT sum(H) WHERE B='""&amp;$D28&amp;""'   "",0),2),"""")"),0.0)</f>
        <v>0</v>
      </c>
      <c r="F28" s="40">
        <f>IFERROR(__xludf.DUMMYFUNCTION("IFERROR(INDEX(QUERY(ENCUESTA_REU!$A$3:$H1000,""SELECT sum(H) WHERE B='""&amp;$D28&amp;""'   "",0),2),"""")"),0.0)</f>
        <v>0</v>
      </c>
      <c r="G28" s="40">
        <f>IFERROR(__xludf.DUMMYFUNCTION("IFERROR(INDEX(QUERY(ENCUESTA_DER!$A$3:$H1000,""SELECT sum(H) WHERE B='""&amp;$D28&amp;""'   "",0),2),"""")"),0.0)</f>
        <v>0</v>
      </c>
      <c r="H28" s="41">
        <f t="shared" si="2"/>
        <v>0</v>
      </c>
      <c r="I28" s="42"/>
      <c r="J28" s="40"/>
      <c r="K28" s="43"/>
    </row>
    <row r="29" ht="15.75" customHeight="1">
      <c r="A29" s="19"/>
      <c r="B29" s="19"/>
      <c r="C29" s="19"/>
      <c r="D29" s="19"/>
      <c r="E29" s="23">
        <f>IFERROR(__xludf.DUMMYFUNCTION("IFERROR(INDEX(QUERY(ENCUESTA_GESTION!$A$3:$H1000,""SELECT sum(H) WHERE B='""&amp;$D29&amp;""'   "",0),2),"""")"),0.0)</f>
        <v>0</v>
      </c>
      <c r="F29" s="40">
        <f>IFERROR(__xludf.DUMMYFUNCTION("IFERROR(INDEX(QUERY(ENCUESTA_REU!$A$3:$H1000,""SELECT sum(H) WHERE B='""&amp;$D29&amp;""'   "",0),2),"""")"),0.0)</f>
        <v>0</v>
      </c>
      <c r="G29" s="40">
        <f>IFERROR(__xludf.DUMMYFUNCTION("IFERROR(INDEX(QUERY(ENCUESTA_DER!$A$3:$H1000,""SELECT sum(H) WHERE B='""&amp;$D29&amp;""'   "",0),2),"""")"),0.0)</f>
        <v>0</v>
      </c>
      <c r="H29" s="41">
        <f t="shared" si="2"/>
        <v>0</v>
      </c>
      <c r="I29" s="42"/>
      <c r="J29" s="40"/>
      <c r="K29" s="43"/>
    </row>
    <row r="30" ht="15.75" customHeight="1">
      <c r="A30" s="19"/>
      <c r="B30" s="19"/>
      <c r="C30" s="19"/>
      <c r="D30" s="19"/>
      <c r="E30" s="23">
        <f>IFERROR(__xludf.DUMMYFUNCTION("IFERROR(INDEX(QUERY(ENCUESTA_GESTION!$A$3:$H1000,""SELECT sum(H) WHERE B='""&amp;$D30&amp;""'   "",0),2),"""")"),0.0)</f>
        <v>0</v>
      </c>
      <c r="F30" s="40">
        <f>IFERROR(__xludf.DUMMYFUNCTION("IFERROR(INDEX(QUERY(ENCUESTA_REU!$A$3:$H1000,""SELECT sum(H) WHERE B='""&amp;$D30&amp;""'   "",0),2),"""")"),0.0)</f>
        <v>0</v>
      </c>
      <c r="G30" s="40">
        <f>IFERROR(__xludf.DUMMYFUNCTION("IFERROR(INDEX(QUERY(ENCUESTA_DER!$A$3:$H1000,""SELECT sum(H) WHERE B='""&amp;$D30&amp;""'   "",0),2),"""")"),0.0)</f>
        <v>0</v>
      </c>
      <c r="H30" s="41">
        <f t="shared" si="2"/>
        <v>0</v>
      </c>
      <c r="I30" s="42"/>
      <c r="J30" s="40"/>
      <c r="K30" s="43"/>
    </row>
    <row r="31" ht="15.75" customHeight="1">
      <c r="A31" s="19"/>
      <c r="B31" s="19"/>
      <c r="C31" s="19"/>
      <c r="D31" s="19"/>
      <c r="E31" s="23">
        <f>IFERROR(__xludf.DUMMYFUNCTION("IFERROR(INDEX(QUERY(ENCUESTA_GESTION!$A$3:$H1000,""SELECT sum(H) WHERE B='""&amp;$D31&amp;""'   "",0),2),"""")"),0.0)</f>
        <v>0</v>
      </c>
      <c r="F31" s="40">
        <f>IFERROR(__xludf.DUMMYFUNCTION("IFERROR(INDEX(QUERY(ENCUESTA_REU!$A$3:$H1000,""SELECT sum(H) WHERE B='""&amp;$D31&amp;""'   "",0),2),"""")"),0.0)</f>
        <v>0</v>
      </c>
      <c r="G31" s="40">
        <f>IFERROR(__xludf.DUMMYFUNCTION("IFERROR(INDEX(QUERY(ENCUESTA_DER!$A$3:$H1000,""SELECT sum(H) WHERE B='""&amp;$D31&amp;""'   "",0),2),"""")"),0.0)</f>
        <v>0</v>
      </c>
      <c r="H31" s="41">
        <f t="shared" si="2"/>
        <v>0</v>
      </c>
      <c r="I31" s="42"/>
      <c r="J31" s="40"/>
      <c r="K31" s="43"/>
    </row>
    <row r="32" ht="15.75" customHeight="1">
      <c r="A32" s="19"/>
      <c r="B32" s="19"/>
      <c r="C32" s="19"/>
      <c r="D32" s="19"/>
      <c r="E32" s="23">
        <f>IFERROR(__xludf.DUMMYFUNCTION("IFERROR(INDEX(QUERY(ENCUESTA_GESTION!$A$3:$H1000,""SELECT sum(H) WHERE B='""&amp;$D32&amp;""'   "",0),2),"""")"),0.0)</f>
        <v>0</v>
      </c>
      <c r="F32" s="40">
        <f>IFERROR(__xludf.DUMMYFUNCTION("IFERROR(INDEX(QUERY(ENCUESTA_REU!$A$3:$H1000,""SELECT sum(H) WHERE B='""&amp;$D32&amp;""'   "",0),2),"""")"),0.0)</f>
        <v>0</v>
      </c>
      <c r="G32" s="40">
        <f>IFERROR(__xludf.DUMMYFUNCTION("IFERROR(INDEX(QUERY(ENCUESTA_DER!$A$3:$H1000,""SELECT sum(H) WHERE B='""&amp;$D32&amp;""'   "",0),2),"""")"),0.0)</f>
        <v>0</v>
      </c>
      <c r="H32" s="41">
        <f t="shared" si="2"/>
        <v>0</v>
      </c>
      <c r="I32" s="42"/>
      <c r="J32" s="40"/>
      <c r="K32" s="43"/>
    </row>
    <row r="33" ht="15.75" customHeight="1">
      <c r="A33" s="19"/>
      <c r="B33" s="19"/>
      <c r="C33" s="19"/>
      <c r="D33" s="19"/>
      <c r="E33" s="23">
        <f>IFERROR(__xludf.DUMMYFUNCTION("IFERROR(INDEX(QUERY(ENCUESTA_GESTION!$A$3:$H1000,""SELECT sum(H) WHERE B='""&amp;$D33&amp;""'   "",0),2),"""")"),0.0)</f>
        <v>0</v>
      </c>
      <c r="F33" s="40">
        <f>IFERROR(__xludf.DUMMYFUNCTION("IFERROR(INDEX(QUERY(ENCUESTA_REU!$A$3:$H1000,""SELECT sum(H) WHERE B='""&amp;$D33&amp;""'   "",0),2),"""")"),0.0)</f>
        <v>0</v>
      </c>
      <c r="G33" s="40">
        <f>IFERROR(__xludf.DUMMYFUNCTION("IFERROR(INDEX(QUERY(ENCUESTA_DER!$A$3:$H1000,""SELECT sum(H) WHERE B='""&amp;$D33&amp;""'   "",0),2),"""")"),0.0)</f>
        <v>0</v>
      </c>
      <c r="H33" s="41">
        <f t="shared" si="2"/>
        <v>0</v>
      </c>
      <c r="I33" s="42"/>
      <c r="J33" s="40"/>
      <c r="K33" s="43"/>
    </row>
    <row r="34" ht="15.75" customHeight="1">
      <c r="A34" s="19"/>
      <c r="B34" s="19"/>
      <c r="C34" s="19"/>
      <c r="D34" s="19"/>
      <c r="E34" s="23">
        <f>IFERROR(__xludf.DUMMYFUNCTION("IFERROR(INDEX(QUERY(ENCUESTA_GESTION!$A$3:$H1000,""SELECT sum(H) WHERE B='""&amp;$D34&amp;""'   "",0),2),"""")"),0.0)</f>
        <v>0</v>
      </c>
      <c r="F34" s="40">
        <f>IFERROR(__xludf.DUMMYFUNCTION("IFERROR(INDEX(QUERY(ENCUESTA_REU!$A$3:$H1000,""SELECT sum(H) WHERE B='""&amp;$D34&amp;""'   "",0),2),"""")"),0.0)</f>
        <v>0</v>
      </c>
      <c r="G34" s="40">
        <f>IFERROR(__xludf.DUMMYFUNCTION("IFERROR(INDEX(QUERY(ENCUESTA_DER!$A$3:$H1000,""SELECT sum(H) WHERE B='""&amp;$D34&amp;""'   "",0),2),"""")"),0.0)</f>
        <v>0</v>
      </c>
      <c r="H34" s="41">
        <f t="shared" si="2"/>
        <v>0</v>
      </c>
      <c r="I34" s="42"/>
      <c r="J34" s="40"/>
      <c r="K34" s="43"/>
    </row>
    <row r="35" ht="15.75" customHeight="1">
      <c r="A35" s="19"/>
      <c r="B35" s="19"/>
      <c r="C35" s="19"/>
      <c r="D35" s="19"/>
      <c r="E35" s="23">
        <f>IFERROR(__xludf.DUMMYFUNCTION("IFERROR(INDEX(QUERY(ENCUESTA_GESTION!$A$3:$H1000,""SELECT sum(H) WHERE B='""&amp;$D35&amp;""'   "",0),2),"""")"),0.0)</f>
        <v>0</v>
      </c>
      <c r="F35" s="40">
        <f>IFERROR(__xludf.DUMMYFUNCTION("IFERROR(INDEX(QUERY(ENCUESTA_REU!$A$3:$H1000,""SELECT sum(H) WHERE B='""&amp;$D35&amp;""'   "",0),2),"""")"),0.0)</f>
        <v>0</v>
      </c>
      <c r="G35" s="40">
        <f>IFERROR(__xludf.DUMMYFUNCTION("IFERROR(INDEX(QUERY(ENCUESTA_DER!$A$3:$H1000,""SELECT sum(H) WHERE B='""&amp;$D35&amp;""'   "",0),2),"""")"),0.0)</f>
        <v>0</v>
      </c>
      <c r="H35" s="41">
        <f t="shared" si="2"/>
        <v>0</v>
      </c>
      <c r="I35" s="42"/>
      <c r="J35" s="40"/>
      <c r="K35" s="43"/>
    </row>
    <row r="36" ht="15.75" customHeight="1">
      <c r="A36" s="19"/>
      <c r="B36" s="19"/>
      <c r="C36" s="19"/>
      <c r="D36" s="19"/>
      <c r="E36" s="23">
        <f>IFERROR(__xludf.DUMMYFUNCTION("IFERROR(INDEX(QUERY(ENCUESTA_GESTION!$A$3:$H1000,""SELECT sum(H) WHERE B='""&amp;$D36&amp;""'   "",0),2),"""")"),0.0)</f>
        <v>0</v>
      </c>
      <c r="F36" s="40">
        <f>IFERROR(__xludf.DUMMYFUNCTION("IFERROR(INDEX(QUERY(ENCUESTA_REU!$A$3:$H1000,""SELECT sum(H) WHERE B='""&amp;$D36&amp;""'   "",0),2),"""")"),0.0)</f>
        <v>0</v>
      </c>
      <c r="G36" s="40">
        <f>IFERROR(__xludf.DUMMYFUNCTION("IFERROR(INDEX(QUERY(ENCUESTA_DER!$A$3:$H1000,""SELECT sum(H) WHERE B='""&amp;$D36&amp;""'   "",0),2),"""")"),0.0)</f>
        <v>0</v>
      </c>
      <c r="H36" s="41">
        <f t="shared" si="2"/>
        <v>0</v>
      </c>
      <c r="I36" s="42"/>
      <c r="J36" s="40"/>
      <c r="K36" s="43"/>
    </row>
    <row r="37" ht="15.75" customHeight="1">
      <c r="A37" s="19"/>
      <c r="B37" s="19"/>
      <c r="C37" s="19"/>
      <c r="D37" s="19"/>
      <c r="E37" s="23">
        <f>IFERROR(__xludf.DUMMYFUNCTION("IFERROR(INDEX(QUERY(ENCUESTA_GESTION!$A$3:$H1000,""SELECT sum(H) WHERE B='""&amp;$D37&amp;""'   "",0),2),"""")"),0.0)</f>
        <v>0</v>
      </c>
      <c r="F37" s="40">
        <f>IFERROR(__xludf.DUMMYFUNCTION("IFERROR(INDEX(QUERY(ENCUESTA_REU!$A$3:$H1000,""SELECT sum(H) WHERE B='""&amp;$D37&amp;""'   "",0),2),"""")"),0.0)</f>
        <v>0</v>
      </c>
      <c r="G37" s="40">
        <f>IFERROR(__xludf.DUMMYFUNCTION("IFERROR(INDEX(QUERY(ENCUESTA_DER!$A$3:$H1000,""SELECT sum(H) WHERE B='""&amp;$D37&amp;""'   "",0),2),"""")"),0.0)</f>
        <v>0</v>
      </c>
      <c r="H37" s="41">
        <f t="shared" si="2"/>
        <v>0</v>
      </c>
      <c r="I37" s="42"/>
      <c r="J37" s="40"/>
      <c r="K37" s="43"/>
    </row>
    <row r="38" ht="15.75" customHeight="1">
      <c r="A38" s="19"/>
      <c r="B38" s="19"/>
      <c r="C38" s="19"/>
      <c r="D38" s="19"/>
      <c r="E38" s="23">
        <f>IFERROR(__xludf.DUMMYFUNCTION("IFERROR(INDEX(QUERY(ENCUESTA_GESTION!$A$3:$H1000,""SELECT sum(H) WHERE B='""&amp;$D38&amp;""'   "",0),2),"""")"),0.0)</f>
        <v>0</v>
      </c>
      <c r="F38" s="40">
        <f>IFERROR(__xludf.DUMMYFUNCTION("IFERROR(INDEX(QUERY(ENCUESTA_REU!$A$3:$H1000,""SELECT sum(H) WHERE B='""&amp;$D38&amp;""'   "",0),2),"""")"),0.0)</f>
        <v>0</v>
      </c>
      <c r="G38" s="40">
        <f>IFERROR(__xludf.DUMMYFUNCTION("IFERROR(INDEX(QUERY(ENCUESTA_DER!$A$3:$H1000,""SELECT sum(H) WHERE B='""&amp;$D38&amp;""'   "",0),2),"""")"),0.0)</f>
        <v>0</v>
      </c>
      <c r="H38" s="41">
        <f t="shared" si="2"/>
        <v>0</v>
      </c>
      <c r="I38" s="42"/>
      <c r="J38" s="40"/>
      <c r="K38" s="43"/>
    </row>
    <row r="39" ht="15.75" customHeight="1">
      <c r="A39" s="19"/>
      <c r="B39" s="19"/>
      <c r="C39" s="19"/>
      <c r="D39" s="19"/>
      <c r="E39" s="23">
        <f>IFERROR(__xludf.DUMMYFUNCTION("IFERROR(INDEX(QUERY(ENCUESTA_GESTION!$A$3:$H1000,""SELECT sum(H) WHERE B='""&amp;$D39&amp;""'   "",0),2),"""")"),0.0)</f>
        <v>0</v>
      </c>
      <c r="F39" s="40">
        <f>IFERROR(__xludf.DUMMYFUNCTION("IFERROR(INDEX(QUERY(ENCUESTA_REU!$A$3:$H1000,""SELECT sum(H) WHERE B='""&amp;$D39&amp;""'   "",0),2),"""")"),0.0)</f>
        <v>0</v>
      </c>
      <c r="G39" s="40">
        <f>IFERROR(__xludf.DUMMYFUNCTION("IFERROR(INDEX(QUERY(ENCUESTA_DER!$A$3:$H1000,""SELECT sum(H) WHERE B='""&amp;$D39&amp;""'   "",0),2),"""")"),0.0)</f>
        <v>0</v>
      </c>
      <c r="H39" s="41">
        <f t="shared" si="2"/>
        <v>0</v>
      </c>
      <c r="I39" s="42"/>
      <c r="J39" s="40"/>
      <c r="K39" s="43"/>
    </row>
    <row r="40" ht="15.75" customHeight="1">
      <c r="A40" s="19"/>
      <c r="B40" s="19"/>
      <c r="C40" s="19"/>
      <c r="D40" s="19"/>
      <c r="E40" s="23">
        <f>IFERROR(__xludf.DUMMYFUNCTION("IFERROR(INDEX(QUERY(ENCUESTA_GESTION!$A$3:$H1000,""SELECT sum(H) WHERE B='""&amp;$D40&amp;""'   "",0),2),"""")"),0.0)</f>
        <v>0</v>
      </c>
      <c r="F40" s="40">
        <f>IFERROR(__xludf.DUMMYFUNCTION("IFERROR(INDEX(QUERY(ENCUESTA_REU!$A$3:$H1000,""SELECT sum(H) WHERE B='""&amp;$D40&amp;""'   "",0),2),"""")"),0.0)</f>
        <v>0</v>
      </c>
      <c r="G40" s="40">
        <f>IFERROR(__xludf.DUMMYFUNCTION("IFERROR(INDEX(QUERY(ENCUESTA_DER!$A$3:$H1000,""SELECT sum(H) WHERE B='""&amp;$D40&amp;""'   "",0),2),"""")"),0.0)</f>
        <v>0</v>
      </c>
      <c r="H40" s="41">
        <f t="shared" si="2"/>
        <v>0</v>
      </c>
      <c r="I40" s="42"/>
      <c r="J40" s="40"/>
      <c r="K40" s="43"/>
    </row>
    <row r="41" ht="15.75" customHeight="1">
      <c r="A41" s="19"/>
      <c r="B41" s="19"/>
      <c r="C41" s="19"/>
      <c r="D41" s="19"/>
      <c r="E41" s="23">
        <f>IFERROR(__xludf.DUMMYFUNCTION("IFERROR(INDEX(QUERY(ENCUESTA_GESTION!$A$3:$H1000,""SELECT sum(H) WHERE B='""&amp;$D41&amp;""'   "",0),2),"""")"),0.0)</f>
        <v>0</v>
      </c>
      <c r="F41" s="40">
        <f>IFERROR(__xludf.DUMMYFUNCTION("IFERROR(INDEX(QUERY(ENCUESTA_REU!$A$3:$H1000,""SELECT sum(H) WHERE B='""&amp;$D41&amp;""'   "",0),2),"""")"),0.0)</f>
        <v>0</v>
      </c>
      <c r="G41" s="40">
        <f>IFERROR(__xludf.DUMMYFUNCTION("IFERROR(INDEX(QUERY(ENCUESTA_DER!$A$3:$H1000,""SELECT sum(H) WHERE B='""&amp;$D41&amp;""'   "",0),2),"""")"),0.0)</f>
        <v>0</v>
      </c>
      <c r="H41" s="41">
        <f t="shared" si="2"/>
        <v>0</v>
      </c>
      <c r="I41" s="42"/>
      <c r="J41" s="40"/>
      <c r="K41" s="43"/>
    </row>
    <row r="42" ht="15.75" customHeight="1">
      <c r="A42" s="19"/>
      <c r="B42" s="19"/>
      <c r="C42" s="19"/>
      <c r="D42" s="19"/>
      <c r="E42" s="23">
        <f>IFERROR(__xludf.DUMMYFUNCTION("IFERROR(INDEX(QUERY(ENCUESTA_GESTION!$A$3:$H1000,""SELECT sum(H) WHERE B='""&amp;$D42&amp;""'   "",0),2),"""")"),0.0)</f>
        <v>0</v>
      </c>
      <c r="F42" s="40">
        <f>IFERROR(__xludf.DUMMYFUNCTION("IFERROR(INDEX(QUERY(ENCUESTA_REU!$A$3:$H1000,""SELECT sum(H) WHERE B='""&amp;$D42&amp;""'   "",0),2),"""")"),0.0)</f>
        <v>0</v>
      </c>
      <c r="G42" s="40">
        <f>IFERROR(__xludf.DUMMYFUNCTION("IFERROR(INDEX(QUERY(ENCUESTA_DER!$A$3:$H1000,""SELECT sum(H) WHERE B='""&amp;$D42&amp;""'   "",0),2),"""")"),0.0)</f>
        <v>0</v>
      </c>
      <c r="H42" s="41">
        <f t="shared" si="2"/>
        <v>0</v>
      </c>
      <c r="I42" s="42"/>
      <c r="J42" s="40"/>
      <c r="K42" s="43"/>
    </row>
    <row r="43" ht="15.75" customHeight="1">
      <c r="A43" s="19"/>
      <c r="B43" s="19"/>
      <c r="C43" s="19"/>
      <c r="D43" s="19"/>
      <c r="E43" s="23">
        <f>IFERROR(__xludf.DUMMYFUNCTION("IFERROR(INDEX(QUERY(ENCUESTA_GESTION!$A$3:$H1000,""SELECT sum(H) WHERE B='""&amp;$D43&amp;""'   "",0),2),"""")"),0.0)</f>
        <v>0</v>
      </c>
      <c r="F43" s="40">
        <f>IFERROR(__xludf.DUMMYFUNCTION("IFERROR(INDEX(QUERY(ENCUESTA_REU!$A$3:$H1000,""SELECT sum(H) WHERE B='""&amp;$D43&amp;""'   "",0),2),"""")"),0.0)</f>
        <v>0</v>
      </c>
      <c r="G43" s="40">
        <f>IFERROR(__xludf.DUMMYFUNCTION("IFERROR(INDEX(QUERY(ENCUESTA_DER!$A$3:$H1000,""SELECT sum(H) WHERE B='""&amp;$D43&amp;""'   "",0),2),"""")"),0.0)</f>
        <v>0</v>
      </c>
      <c r="H43" s="41">
        <f t="shared" si="2"/>
        <v>0</v>
      </c>
      <c r="I43" s="42"/>
      <c r="J43" s="40"/>
      <c r="K43" s="43"/>
    </row>
    <row r="44" ht="15.75" customHeight="1">
      <c r="A44" s="19"/>
      <c r="B44" s="19"/>
      <c r="C44" s="19"/>
      <c r="D44" s="19"/>
      <c r="E44" s="23">
        <f>IFERROR(__xludf.DUMMYFUNCTION("IFERROR(INDEX(QUERY(ENCUESTA_GESTION!$A$3:$H1000,""SELECT sum(H) WHERE B='""&amp;$D44&amp;""'   "",0),2),"""")"),0.0)</f>
        <v>0</v>
      </c>
      <c r="F44" s="40">
        <f>IFERROR(__xludf.DUMMYFUNCTION("IFERROR(INDEX(QUERY(ENCUESTA_REU!$A$3:$H1000,""SELECT sum(H) WHERE B='""&amp;$D44&amp;""'   "",0),2),"""")"),0.0)</f>
        <v>0</v>
      </c>
      <c r="G44" s="40">
        <f>IFERROR(__xludf.DUMMYFUNCTION("IFERROR(INDEX(QUERY(ENCUESTA_DER!$A$3:$H1000,""SELECT sum(H) WHERE B='""&amp;$D44&amp;""'   "",0),2),"""")"),0.0)</f>
        <v>0</v>
      </c>
      <c r="H44" s="41">
        <f t="shared" si="2"/>
        <v>0</v>
      </c>
      <c r="I44" s="42"/>
      <c r="J44" s="40"/>
      <c r="K44" s="43"/>
    </row>
    <row r="45" ht="15.75" customHeight="1">
      <c r="A45" s="19"/>
      <c r="B45" s="19"/>
      <c r="C45" s="19"/>
      <c r="D45" s="19"/>
      <c r="E45" s="23">
        <f>IFERROR(__xludf.DUMMYFUNCTION("IFERROR(INDEX(QUERY(ENCUESTA_GESTION!$A$3:$H1000,""SELECT sum(H) WHERE B='""&amp;$D45&amp;""'   "",0),2),"""")"),0.0)</f>
        <v>0</v>
      </c>
      <c r="F45" s="40">
        <f>IFERROR(__xludf.DUMMYFUNCTION("IFERROR(INDEX(QUERY(ENCUESTA_REU!$A$3:$H1000,""SELECT sum(H) WHERE B='""&amp;$D45&amp;""'   "",0),2),"""")"),0.0)</f>
        <v>0</v>
      </c>
      <c r="G45" s="40">
        <f>IFERROR(__xludf.DUMMYFUNCTION("IFERROR(INDEX(QUERY(ENCUESTA_DER!$A$3:$H1000,""SELECT sum(H) WHERE B='""&amp;$D45&amp;""'   "",0),2),"""")"),0.0)</f>
        <v>0</v>
      </c>
      <c r="H45" s="41">
        <f t="shared" si="2"/>
        <v>0</v>
      </c>
      <c r="I45" s="42"/>
      <c r="J45" s="40"/>
      <c r="K45" s="43"/>
    </row>
    <row r="46" ht="15.75" customHeight="1">
      <c r="A46" s="19"/>
      <c r="B46" s="19"/>
      <c r="C46" s="19"/>
      <c r="D46" s="19"/>
      <c r="E46" s="23">
        <f>IFERROR(__xludf.DUMMYFUNCTION("IFERROR(INDEX(QUERY(ENCUESTA_GESTION!$A$3:$H1000,""SELECT sum(H) WHERE B='""&amp;$D46&amp;""'   "",0),2),"""")"),0.0)</f>
        <v>0</v>
      </c>
      <c r="F46" s="40">
        <f>IFERROR(__xludf.DUMMYFUNCTION("IFERROR(INDEX(QUERY(ENCUESTA_REU!$A$3:$H1000,""SELECT sum(H) WHERE B='""&amp;$D46&amp;""'   "",0),2),"""")"),0.0)</f>
        <v>0</v>
      </c>
      <c r="G46" s="40">
        <f>IFERROR(__xludf.DUMMYFUNCTION("IFERROR(INDEX(QUERY(ENCUESTA_DER!$A$3:$H1000,""SELECT sum(H) WHERE B='""&amp;$D46&amp;""'   "",0),2),"""")"),0.0)</f>
        <v>0</v>
      </c>
      <c r="H46" s="41">
        <f t="shared" si="2"/>
        <v>0</v>
      </c>
      <c r="I46" s="42"/>
      <c r="J46" s="40"/>
      <c r="K46" s="43"/>
    </row>
    <row r="47" ht="15.75" customHeight="1">
      <c r="A47" s="19"/>
      <c r="B47" s="19"/>
      <c r="C47" s="19"/>
      <c r="D47" s="19"/>
      <c r="E47" s="23">
        <f>IFERROR(__xludf.DUMMYFUNCTION("IFERROR(INDEX(QUERY(ENCUESTA_GESTION!$A$3:$H1000,""SELECT sum(H) WHERE B='""&amp;$D47&amp;""'   "",0),2),"""")"),0.0)</f>
        <v>0</v>
      </c>
      <c r="F47" s="40">
        <f>IFERROR(__xludf.DUMMYFUNCTION("IFERROR(INDEX(QUERY(ENCUESTA_REU!$A$3:$H1000,""SELECT sum(H) WHERE B='""&amp;$D47&amp;""'   "",0),2),"""")"),0.0)</f>
        <v>0</v>
      </c>
      <c r="G47" s="40">
        <f>IFERROR(__xludf.DUMMYFUNCTION("IFERROR(INDEX(QUERY(ENCUESTA_DER!$A$3:$H1000,""SELECT sum(H) WHERE B='""&amp;$D47&amp;""'   "",0),2),"""")"),0.0)</f>
        <v>0</v>
      </c>
      <c r="H47" s="41">
        <f t="shared" si="2"/>
        <v>0</v>
      </c>
      <c r="I47" s="42"/>
      <c r="J47" s="40"/>
      <c r="K47" s="43"/>
    </row>
    <row r="48" ht="15.75" customHeight="1">
      <c r="A48" s="19"/>
      <c r="B48" s="19"/>
      <c r="C48" s="19"/>
      <c r="D48" s="19"/>
      <c r="E48" s="23">
        <f>IFERROR(__xludf.DUMMYFUNCTION("IFERROR(INDEX(QUERY(ENCUESTA_GESTION!$A$3:$H1000,""SELECT sum(H) WHERE B='""&amp;$D48&amp;""'   "",0),2),"""")"),0.0)</f>
        <v>0</v>
      </c>
      <c r="F48" s="40">
        <f>IFERROR(__xludf.DUMMYFUNCTION("IFERROR(INDEX(QUERY(ENCUESTA_REU!$A$3:$H1000,""SELECT sum(H) WHERE B='""&amp;$D48&amp;""'   "",0),2),"""")"),0.0)</f>
        <v>0</v>
      </c>
      <c r="G48" s="40">
        <f>IFERROR(__xludf.DUMMYFUNCTION("IFERROR(INDEX(QUERY(ENCUESTA_DER!$A$3:$H1000,""SELECT sum(H) WHERE B='""&amp;$D48&amp;""'   "",0),2),"""")"),0.0)</f>
        <v>0</v>
      </c>
      <c r="H48" s="41">
        <f t="shared" si="2"/>
        <v>0</v>
      </c>
      <c r="I48" s="42"/>
      <c r="J48" s="40"/>
      <c r="K48" s="43"/>
    </row>
    <row r="49" ht="15.75" customHeight="1">
      <c r="A49" s="19"/>
      <c r="B49" s="19"/>
      <c r="C49" s="19"/>
      <c r="D49" s="19"/>
      <c r="E49" s="23">
        <f>IFERROR(__xludf.DUMMYFUNCTION("IFERROR(INDEX(QUERY(ENCUESTA_GESTION!$A$3:$H1000,""SELECT sum(H) WHERE B='""&amp;$D49&amp;""'   "",0),2),"""")"),0.0)</f>
        <v>0</v>
      </c>
      <c r="F49" s="40">
        <f>IFERROR(__xludf.DUMMYFUNCTION("IFERROR(INDEX(QUERY(ENCUESTA_REU!$A$3:$H1000,""SELECT sum(H) WHERE B='""&amp;$D49&amp;""'   "",0),2),"""")"),0.0)</f>
        <v>0</v>
      </c>
      <c r="G49" s="40">
        <f>IFERROR(__xludf.DUMMYFUNCTION("IFERROR(INDEX(QUERY(ENCUESTA_DER!$A$3:$H1000,""SELECT sum(H) WHERE B='""&amp;$D49&amp;""'   "",0),2),"""")"),0.0)</f>
        <v>0</v>
      </c>
      <c r="H49" s="41">
        <f t="shared" si="2"/>
        <v>0</v>
      </c>
      <c r="I49" s="42"/>
      <c r="J49" s="40"/>
      <c r="K49" s="43"/>
    </row>
    <row r="50" ht="15.75" customHeight="1">
      <c r="A50" s="19"/>
      <c r="B50" s="19"/>
      <c r="C50" s="19"/>
      <c r="D50" s="19"/>
      <c r="E50" s="23">
        <f>IFERROR(__xludf.DUMMYFUNCTION("IFERROR(INDEX(QUERY(ENCUESTA_GESTION!$A$3:$H1000,""SELECT sum(H) WHERE B='""&amp;$D50&amp;""'   "",0),2),"""")"),0.0)</f>
        <v>0</v>
      </c>
      <c r="F50" s="40">
        <f>IFERROR(__xludf.DUMMYFUNCTION("IFERROR(INDEX(QUERY(ENCUESTA_REU!$A$3:$H1000,""SELECT sum(H) WHERE B='""&amp;$D50&amp;""'   "",0),2),"""")"),0.0)</f>
        <v>0</v>
      </c>
      <c r="G50" s="40">
        <f>IFERROR(__xludf.DUMMYFUNCTION("IFERROR(INDEX(QUERY(ENCUESTA_DER!$A$3:$H1000,""SELECT sum(H) WHERE B='""&amp;$D50&amp;""'   "",0),2),"""")"),0.0)</f>
        <v>0</v>
      </c>
      <c r="H50" s="41">
        <f t="shared" si="2"/>
        <v>0</v>
      </c>
      <c r="I50" s="42"/>
      <c r="J50" s="40"/>
      <c r="K50" s="43"/>
    </row>
    <row r="51" ht="15.75" customHeight="1">
      <c r="A51" s="19"/>
      <c r="B51" s="19"/>
      <c r="C51" s="19"/>
      <c r="D51" s="19"/>
      <c r="E51" s="23">
        <f>IFERROR(__xludf.DUMMYFUNCTION("IFERROR(INDEX(QUERY(ENCUESTA_GESTION!$A$3:$H1000,""SELECT sum(H) WHERE B='""&amp;$D51&amp;""'   "",0),2),"""")"),0.0)</f>
        <v>0</v>
      </c>
      <c r="F51" s="40">
        <f>IFERROR(__xludf.DUMMYFUNCTION("IFERROR(INDEX(QUERY(ENCUESTA_REU!$A$3:$H1000,""SELECT sum(H) WHERE B='""&amp;$D51&amp;""'   "",0),2),"""")"),0.0)</f>
        <v>0</v>
      </c>
      <c r="G51" s="40">
        <f>IFERROR(__xludf.DUMMYFUNCTION("IFERROR(INDEX(QUERY(ENCUESTA_DER!$A$3:$H1000,""SELECT sum(H) WHERE B='""&amp;$D51&amp;""'   "",0),2),"""")"),0.0)</f>
        <v>0</v>
      </c>
      <c r="H51" s="41">
        <f t="shared" si="2"/>
        <v>0</v>
      </c>
      <c r="I51" s="42"/>
      <c r="J51" s="40"/>
      <c r="K51" s="43"/>
    </row>
    <row r="52" ht="15.75" customHeight="1">
      <c r="A52" s="19"/>
      <c r="B52" s="19"/>
      <c r="C52" s="19"/>
      <c r="D52" s="19"/>
      <c r="E52" s="23">
        <f>IFERROR(__xludf.DUMMYFUNCTION("IFERROR(INDEX(QUERY(ENCUESTA_GESTION!$A$3:$H1000,""SELECT sum(H) WHERE B='""&amp;$D52&amp;""'   "",0),2),"""")"),0.0)</f>
        <v>0</v>
      </c>
      <c r="F52" s="40">
        <f>IFERROR(__xludf.DUMMYFUNCTION("IFERROR(INDEX(QUERY(ENCUESTA_REU!$A$3:$H1000,""SELECT sum(H) WHERE B='""&amp;$D52&amp;""'   "",0),2),"""")"),0.0)</f>
        <v>0</v>
      </c>
      <c r="G52" s="40">
        <f>IFERROR(__xludf.DUMMYFUNCTION("IFERROR(INDEX(QUERY(ENCUESTA_DER!$A$3:$H1000,""SELECT sum(H) WHERE B='""&amp;$D52&amp;""'   "",0),2),"""")"),0.0)</f>
        <v>0</v>
      </c>
      <c r="H52" s="41">
        <f t="shared" si="2"/>
        <v>0</v>
      </c>
      <c r="I52" s="42"/>
      <c r="J52" s="40"/>
      <c r="K52" s="43"/>
    </row>
    <row r="53" ht="15.75" customHeight="1">
      <c r="A53" s="19"/>
      <c r="B53" s="19"/>
      <c r="C53" s="19"/>
      <c r="D53" s="19"/>
      <c r="E53" s="23">
        <f>IFERROR(__xludf.DUMMYFUNCTION("IFERROR(INDEX(QUERY(ENCUESTA_GESTION!$A$3:$H1000,""SELECT sum(H) WHERE B='""&amp;$D53&amp;""'   "",0),2),"""")"),0.0)</f>
        <v>0</v>
      </c>
      <c r="F53" s="40">
        <f>IFERROR(__xludf.DUMMYFUNCTION("IFERROR(INDEX(QUERY(ENCUESTA_REU!$A$3:$H1000,""SELECT sum(H) WHERE B='""&amp;$D53&amp;""'   "",0),2),"""")"),0.0)</f>
        <v>0</v>
      </c>
      <c r="G53" s="40">
        <f>IFERROR(__xludf.DUMMYFUNCTION("IFERROR(INDEX(QUERY(ENCUESTA_DER!$A$3:$H1000,""SELECT sum(H) WHERE B='""&amp;$D53&amp;""'   "",0),2),"""")"),0.0)</f>
        <v>0</v>
      </c>
      <c r="H53" s="41">
        <f t="shared" si="2"/>
        <v>0</v>
      </c>
      <c r="I53" s="42"/>
      <c r="J53" s="40"/>
      <c r="K53" s="43"/>
    </row>
    <row r="54" ht="15.75" customHeight="1">
      <c r="A54" s="19"/>
      <c r="B54" s="19"/>
      <c r="C54" s="19"/>
      <c r="D54" s="19"/>
      <c r="E54" s="23">
        <f>IFERROR(__xludf.DUMMYFUNCTION("IFERROR(INDEX(QUERY(ENCUESTA_GESTION!$A$3:$H1000,""SELECT sum(H) WHERE B='""&amp;$D54&amp;""'   "",0),2),"""")"),0.0)</f>
        <v>0</v>
      </c>
      <c r="F54" s="40">
        <f>IFERROR(__xludf.DUMMYFUNCTION("IFERROR(INDEX(QUERY(ENCUESTA_REU!$A$3:$H1000,""SELECT sum(H) WHERE B='""&amp;$D54&amp;""'   "",0),2),"""")"),0.0)</f>
        <v>0</v>
      </c>
      <c r="G54" s="40">
        <f>IFERROR(__xludf.DUMMYFUNCTION("IFERROR(INDEX(QUERY(ENCUESTA_DER!$A$3:$H1000,""SELECT sum(H) WHERE B='""&amp;$D54&amp;""'   "",0),2),"""")"),0.0)</f>
        <v>0</v>
      </c>
      <c r="H54" s="41">
        <f t="shared" si="2"/>
        <v>0</v>
      </c>
      <c r="I54" s="42"/>
      <c r="J54" s="40"/>
      <c r="K54" s="43"/>
    </row>
    <row r="55" ht="15.75" customHeight="1">
      <c r="A55" s="19"/>
      <c r="B55" s="19"/>
      <c r="C55" s="19"/>
      <c r="D55" s="19"/>
      <c r="E55" s="23">
        <f>IFERROR(__xludf.DUMMYFUNCTION("IFERROR(INDEX(QUERY(ENCUESTA_GESTION!$A$3:$H1000,""SELECT sum(H) WHERE B='""&amp;$D55&amp;""'   "",0),2),"""")"),0.0)</f>
        <v>0</v>
      </c>
      <c r="F55" s="40">
        <f>IFERROR(__xludf.DUMMYFUNCTION("IFERROR(INDEX(QUERY(ENCUESTA_REU!$A$3:$H1000,""SELECT sum(H) WHERE B='""&amp;$D55&amp;""'   "",0),2),"""")"),0.0)</f>
        <v>0</v>
      </c>
      <c r="G55" s="40">
        <f>IFERROR(__xludf.DUMMYFUNCTION("IFERROR(INDEX(QUERY(ENCUESTA_DER!$A$3:$H1000,""SELECT sum(H) WHERE B='""&amp;$D55&amp;""'   "",0),2),"""")"),0.0)</f>
        <v>0</v>
      </c>
      <c r="H55" s="41">
        <f t="shared" si="2"/>
        <v>0</v>
      </c>
      <c r="I55" s="42"/>
      <c r="J55" s="40"/>
      <c r="K55" s="43"/>
    </row>
    <row r="56" ht="15.75" customHeight="1">
      <c r="A56" s="19"/>
      <c r="B56" s="19"/>
      <c r="C56" s="19"/>
      <c r="D56" s="19"/>
      <c r="E56" s="23">
        <f>IFERROR(__xludf.DUMMYFUNCTION("IFERROR(INDEX(QUERY(ENCUESTA_GESTION!$A$3:$H1000,""SELECT sum(H) WHERE B='""&amp;$D56&amp;""'   "",0),2),"""")"),0.0)</f>
        <v>0</v>
      </c>
      <c r="F56" s="40">
        <f>IFERROR(__xludf.DUMMYFUNCTION("IFERROR(INDEX(QUERY(ENCUESTA_REU!$A$3:$H1000,""SELECT sum(H) WHERE B='""&amp;$D56&amp;""'   "",0),2),"""")"),0.0)</f>
        <v>0</v>
      </c>
      <c r="G56" s="40">
        <f>IFERROR(__xludf.DUMMYFUNCTION("IFERROR(INDEX(QUERY(ENCUESTA_DER!$A$3:$H1000,""SELECT sum(H) WHERE B='""&amp;$D56&amp;""'   "",0),2),"""")"),0.0)</f>
        <v>0</v>
      </c>
      <c r="H56" s="41">
        <f t="shared" si="2"/>
        <v>0</v>
      </c>
      <c r="I56" s="42"/>
      <c r="J56" s="40"/>
      <c r="K56" s="43"/>
    </row>
    <row r="57" ht="15.75" customHeight="1">
      <c r="A57" s="19"/>
      <c r="B57" s="19"/>
      <c r="C57" s="19"/>
      <c r="D57" s="19"/>
      <c r="E57" s="23">
        <f>IFERROR(__xludf.DUMMYFUNCTION("IFERROR(INDEX(QUERY(ENCUESTA_GESTION!$A$3:$H1000,""SELECT sum(H) WHERE B='""&amp;$D57&amp;""'   "",0),2),"""")"),0.0)</f>
        <v>0</v>
      </c>
      <c r="F57" s="40">
        <f>IFERROR(__xludf.DUMMYFUNCTION("IFERROR(INDEX(QUERY(ENCUESTA_REU!$A$3:$H1000,""SELECT sum(H) WHERE B='""&amp;$D57&amp;""'   "",0),2),"""")"),0.0)</f>
        <v>0</v>
      </c>
      <c r="G57" s="40">
        <f>IFERROR(__xludf.DUMMYFUNCTION("IFERROR(INDEX(QUERY(ENCUESTA_DER!$A$3:$H1000,""SELECT sum(H) WHERE B='""&amp;$D57&amp;""'   "",0),2),"""")"),0.0)</f>
        <v>0</v>
      </c>
      <c r="H57" s="41">
        <f t="shared" si="2"/>
        <v>0</v>
      </c>
      <c r="I57" s="42"/>
      <c r="J57" s="40"/>
      <c r="K57" s="43"/>
    </row>
    <row r="58" ht="15.75" customHeight="1">
      <c r="A58" s="19"/>
      <c r="B58" s="19"/>
      <c r="C58" s="19"/>
      <c r="D58" s="19"/>
      <c r="E58" s="23">
        <f>IFERROR(__xludf.DUMMYFUNCTION("IFERROR(INDEX(QUERY(ENCUESTA_GESTION!$A$3:$H1000,""SELECT sum(H) WHERE B='""&amp;$D58&amp;""'   "",0),2),"""")"),0.0)</f>
        <v>0</v>
      </c>
      <c r="F58" s="40">
        <f>IFERROR(__xludf.DUMMYFUNCTION("IFERROR(INDEX(QUERY(ENCUESTA_REU!$A$3:$H1000,""SELECT sum(H) WHERE B='""&amp;$D58&amp;""'   "",0),2),"""")"),0.0)</f>
        <v>0</v>
      </c>
      <c r="G58" s="40">
        <f>IFERROR(__xludf.DUMMYFUNCTION("IFERROR(INDEX(QUERY(ENCUESTA_DER!$A$3:$H1000,""SELECT sum(H) WHERE B='""&amp;$D58&amp;""'   "",0),2),"""")"),0.0)</f>
        <v>0</v>
      </c>
      <c r="H58" s="41">
        <f t="shared" si="2"/>
        <v>0</v>
      </c>
      <c r="I58" s="42"/>
      <c r="J58" s="40"/>
      <c r="K58" s="43"/>
    </row>
    <row r="59" ht="15.75" customHeight="1">
      <c r="A59" s="19"/>
      <c r="B59" s="19"/>
      <c r="C59" s="19"/>
      <c r="D59" s="19"/>
      <c r="E59" s="23">
        <f>IFERROR(__xludf.DUMMYFUNCTION("IFERROR(INDEX(QUERY(ENCUESTA_GESTION!$A$3:$H1000,""SELECT sum(H) WHERE B='""&amp;$D59&amp;""'   "",0),2),"""")"),0.0)</f>
        <v>0</v>
      </c>
      <c r="F59" s="40">
        <f>IFERROR(__xludf.DUMMYFUNCTION("IFERROR(INDEX(QUERY(ENCUESTA_REU!$A$3:$H1000,""SELECT sum(H) WHERE B='""&amp;$D59&amp;""'   "",0),2),"""")"),0.0)</f>
        <v>0</v>
      </c>
      <c r="G59" s="40">
        <f>IFERROR(__xludf.DUMMYFUNCTION("IFERROR(INDEX(QUERY(ENCUESTA_DER!$A$3:$H1000,""SELECT sum(H) WHERE B='""&amp;$D59&amp;""'   "",0),2),"""")"),0.0)</f>
        <v>0</v>
      </c>
      <c r="H59" s="41">
        <f t="shared" si="2"/>
        <v>0</v>
      </c>
      <c r="I59" s="42"/>
      <c r="J59" s="40"/>
      <c r="K59" s="43"/>
    </row>
    <row r="60" ht="15.75" customHeight="1">
      <c r="A60" s="19"/>
      <c r="B60" s="19"/>
      <c r="C60" s="19"/>
      <c r="D60" s="19"/>
      <c r="E60" s="23">
        <f>IFERROR(__xludf.DUMMYFUNCTION("IFERROR(INDEX(QUERY(ENCUESTA_GESTION!$A$3:$H1000,""SELECT sum(H) WHERE B='""&amp;$D60&amp;""'   "",0),2),"""")"),0.0)</f>
        <v>0</v>
      </c>
      <c r="F60" s="40">
        <f>IFERROR(__xludf.DUMMYFUNCTION("IFERROR(INDEX(QUERY(ENCUESTA_REU!$A$3:$H1000,""SELECT sum(H) WHERE B='""&amp;$D60&amp;""'   "",0),2),"""")"),0.0)</f>
        <v>0</v>
      </c>
      <c r="G60" s="40">
        <f>IFERROR(__xludf.DUMMYFUNCTION("IFERROR(INDEX(QUERY(ENCUESTA_DER!$A$3:$H1000,""SELECT sum(H) WHERE B='""&amp;$D60&amp;""'   "",0),2),"""")"),0.0)</f>
        <v>0</v>
      </c>
      <c r="H60" s="41">
        <f t="shared" si="2"/>
        <v>0</v>
      </c>
      <c r="I60" s="42"/>
      <c r="J60" s="40"/>
      <c r="K60" s="43"/>
    </row>
    <row r="61" ht="15.75" customHeight="1">
      <c r="A61" s="19"/>
      <c r="B61" s="19"/>
      <c r="C61" s="19"/>
      <c r="D61" s="19"/>
      <c r="E61" s="23">
        <f>IFERROR(__xludf.DUMMYFUNCTION("IFERROR(INDEX(QUERY(ENCUESTA_GESTION!$A$3:$H1000,""SELECT sum(H) WHERE B='""&amp;$D61&amp;""'   "",0),2),"""")"),0.0)</f>
        <v>0</v>
      </c>
      <c r="F61" s="40">
        <f>IFERROR(__xludf.DUMMYFUNCTION("IFERROR(INDEX(QUERY(ENCUESTA_REU!$A$3:$H1000,""SELECT sum(H) WHERE B='""&amp;$D61&amp;""'   "",0),2),"""")"),0.0)</f>
        <v>0</v>
      </c>
      <c r="G61" s="40">
        <f>IFERROR(__xludf.DUMMYFUNCTION("IFERROR(INDEX(QUERY(ENCUESTA_DER!$A$3:$H1000,""SELECT sum(H) WHERE B='""&amp;$D61&amp;""'   "",0),2),"""")"),0.0)</f>
        <v>0</v>
      </c>
      <c r="H61" s="41">
        <f t="shared" si="2"/>
        <v>0</v>
      </c>
      <c r="I61" s="42"/>
      <c r="J61" s="40"/>
      <c r="K61" s="43"/>
    </row>
    <row r="62" ht="15.75" customHeight="1">
      <c r="A62" s="19"/>
      <c r="B62" s="19"/>
      <c r="C62" s="19"/>
      <c r="D62" s="19"/>
      <c r="E62" s="23">
        <f>IFERROR(__xludf.DUMMYFUNCTION("IFERROR(INDEX(QUERY(ENCUESTA_GESTION!$A$3:$H1000,""SELECT sum(H) WHERE B='""&amp;$D62&amp;""'   "",0),2),"""")"),0.0)</f>
        <v>0</v>
      </c>
      <c r="F62" s="40">
        <f>IFERROR(__xludf.DUMMYFUNCTION("IFERROR(INDEX(QUERY(ENCUESTA_REU!$A$3:$H1000,""SELECT sum(H) WHERE B='""&amp;$D62&amp;""'   "",0),2),"""")"),0.0)</f>
        <v>0</v>
      </c>
      <c r="G62" s="40">
        <f>IFERROR(__xludf.DUMMYFUNCTION("IFERROR(INDEX(QUERY(ENCUESTA_DER!$A$3:$H1000,""SELECT sum(H) WHERE B='""&amp;$D62&amp;""'   "",0),2),"""")"),0.0)</f>
        <v>0</v>
      </c>
      <c r="H62" s="41">
        <f t="shared" si="2"/>
        <v>0</v>
      </c>
      <c r="I62" s="42"/>
      <c r="J62" s="40"/>
      <c r="K62" s="43"/>
    </row>
    <row r="63" ht="15.75" customHeight="1">
      <c r="A63" s="19"/>
      <c r="B63" s="19"/>
      <c r="C63" s="19"/>
      <c r="D63" s="19"/>
      <c r="E63" s="23">
        <f>IFERROR(__xludf.DUMMYFUNCTION("IFERROR(INDEX(QUERY(ENCUESTA_GESTION!$A$3:$H1000,""SELECT sum(H) WHERE B='""&amp;$D63&amp;""'   "",0),2),"""")"),0.0)</f>
        <v>0</v>
      </c>
      <c r="F63" s="40">
        <f>IFERROR(__xludf.DUMMYFUNCTION("IFERROR(INDEX(QUERY(ENCUESTA_REU!$A$3:$H1000,""SELECT sum(H) WHERE B='""&amp;$D63&amp;""'   "",0),2),"""")"),0.0)</f>
        <v>0</v>
      </c>
      <c r="G63" s="40">
        <f>IFERROR(__xludf.DUMMYFUNCTION("IFERROR(INDEX(QUERY(ENCUESTA_DER!$A$3:$H1000,""SELECT sum(H) WHERE B='""&amp;$D63&amp;""'   "",0),2),"""")"),0.0)</f>
        <v>0</v>
      </c>
      <c r="H63" s="41">
        <f t="shared" si="2"/>
        <v>0</v>
      </c>
      <c r="I63" s="42"/>
      <c r="J63" s="40"/>
      <c r="K63" s="43"/>
    </row>
    <row r="64" ht="15.75" customHeight="1">
      <c r="A64" s="19"/>
      <c r="B64" s="19"/>
      <c r="C64" s="19"/>
      <c r="D64" s="19"/>
      <c r="E64" s="23">
        <f>IFERROR(__xludf.DUMMYFUNCTION("IFERROR(INDEX(QUERY(ENCUESTA_GESTION!$A$3:$H1000,""SELECT sum(H) WHERE B='""&amp;$D64&amp;""'   "",0),2),"""")"),0.0)</f>
        <v>0</v>
      </c>
      <c r="F64" s="40">
        <f>IFERROR(__xludf.DUMMYFUNCTION("IFERROR(INDEX(QUERY(ENCUESTA_REU!$A$3:$H1000,""SELECT sum(H) WHERE B='""&amp;$D64&amp;""'   "",0),2),"""")"),0.0)</f>
        <v>0</v>
      </c>
      <c r="G64" s="40">
        <f>IFERROR(__xludf.DUMMYFUNCTION("IFERROR(INDEX(QUERY(ENCUESTA_DER!$A$3:$H1000,""SELECT sum(H) WHERE B='""&amp;$D64&amp;""'   "",0),2),"""")"),0.0)</f>
        <v>0</v>
      </c>
      <c r="H64" s="41">
        <f t="shared" si="2"/>
        <v>0</v>
      </c>
      <c r="I64" s="42"/>
      <c r="J64" s="40"/>
      <c r="K64" s="43"/>
    </row>
    <row r="65" ht="15.75" customHeight="1">
      <c r="A65" s="19"/>
      <c r="B65" s="19"/>
      <c r="C65" s="19"/>
      <c r="D65" s="19"/>
      <c r="E65" s="23">
        <f>IFERROR(__xludf.DUMMYFUNCTION("IFERROR(INDEX(QUERY(ENCUESTA_GESTION!$A$3:$H1000,""SELECT sum(H) WHERE B='""&amp;$D65&amp;""'   "",0),2),"""")"),0.0)</f>
        <v>0</v>
      </c>
      <c r="F65" s="40">
        <f>IFERROR(__xludf.DUMMYFUNCTION("IFERROR(INDEX(QUERY(ENCUESTA_REU!$A$3:$H1000,""SELECT sum(H) WHERE B='""&amp;$D65&amp;""'   "",0),2),"""")"),0.0)</f>
        <v>0</v>
      </c>
      <c r="G65" s="40">
        <f>IFERROR(__xludf.DUMMYFUNCTION("IFERROR(INDEX(QUERY(ENCUESTA_DER!$A$3:$H1000,""SELECT sum(H) WHERE B='""&amp;$D65&amp;""'   "",0),2),"""")"),0.0)</f>
        <v>0</v>
      </c>
      <c r="H65" s="41">
        <f t="shared" si="2"/>
        <v>0</v>
      </c>
      <c r="I65" s="42"/>
      <c r="J65" s="40"/>
      <c r="K65" s="43"/>
    </row>
    <row r="66" ht="15.75" customHeight="1">
      <c r="A66" s="19"/>
      <c r="B66" s="19"/>
      <c r="C66" s="19"/>
      <c r="D66" s="19"/>
      <c r="E66" s="23">
        <f>IFERROR(__xludf.DUMMYFUNCTION("IFERROR(INDEX(QUERY(ENCUESTA_GESTION!$A$3:$H1000,""SELECT sum(H) WHERE B='""&amp;$D66&amp;""'   "",0),2),"""")"),0.0)</f>
        <v>0</v>
      </c>
      <c r="F66" s="40">
        <f>IFERROR(__xludf.DUMMYFUNCTION("IFERROR(INDEX(QUERY(ENCUESTA_REU!$A$3:$H1000,""SELECT sum(H) WHERE B='""&amp;$D66&amp;""'   "",0),2),"""")"),0.0)</f>
        <v>0</v>
      </c>
      <c r="G66" s="40">
        <f>IFERROR(__xludf.DUMMYFUNCTION("IFERROR(INDEX(QUERY(ENCUESTA_DER!$A$3:$H1000,""SELECT sum(H) WHERE B='""&amp;$D66&amp;""'   "",0),2),"""")"),0.0)</f>
        <v>0</v>
      </c>
      <c r="H66" s="41">
        <f t="shared" si="2"/>
        <v>0</v>
      </c>
      <c r="I66" s="42"/>
      <c r="J66" s="40"/>
      <c r="K66" s="43"/>
    </row>
    <row r="67" ht="15.75" customHeight="1">
      <c r="A67" s="19"/>
      <c r="B67" s="19"/>
      <c r="C67" s="19"/>
      <c r="D67" s="19"/>
      <c r="E67" s="23">
        <f>IFERROR(__xludf.DUMMYFUNCTION("IFERROR(INDEX(QUERY(ENCUESTA_GESTION!$A$3:$H1000,""SELECT sum(H) WHERE B='""&amp;$D67&amp;""'   "",0),2),"""")"),0.0)</f>
        <v>0</v>
      </c>
      <c r="F67" s="40">
        <f>IFERROR(__xludf.DUMMYFUNCTION("IFERROR(INDEX(QUERY(ENCUESTA_REU!$A$3:$H1000,""SELECT sum(H) WHERE B='""&amp;$D67&amp;""'   "",0),2),"""")"),0.0)</f>
        <v>0</v>
      </c>
      <c r="G67" s="40">
        <f>IFERROR(__xludf.DUMMYFUNCTION("IFERROR(INDEX(QUERY(ENCUESTA_DER!$A$3:$H1000,""SELECT sum(H) WHERE B='""&amp;$D67&amp;""'   "",0),2),"""")"),0.0)</f>
        <v>0</v>
      </c>
      <c r="H67" s="41">
        <f t="shared" si="2"/>
        <v>0</v>
      </c>
      <c r="I67" s="42"/>
      <c r="J67" s="40"/>
      <c r="K67" s="43"/>
    </row>
    <row r="68" ht="15.75" customHeight="1">
      <c r="A68" s="19"/>
      <c r="B68" s="19"/>
      <c r="C68" s="19"/>
      <c r="D68" s="19"/>
      <c r="E68" s="23">
        <f>IFERROR(__xludf.DUMMYFUNCTION("IFERROR(INDEX(QUERY(ENCUESTA_GESTION!$A$3:$H1000,""SELECT sum(H) WHERE B='""&amp;$D68&amp;""'   "",0),2),"""")"),0.0)</f>
        <v>0</v>
      </c>
      <c r="F68" s="40">
        <f>IFERROR(__xludf.DUMMYFUNCTION("IFERROR(INDEX(QUERY(ENCUESTA_REU!$A$3:$H1000,""SELECT sum(H) WHERE B='""&amp;$D68&amp;""'   "",0),2),"""")"),0.0)</f>
        <v>0</v>
      </c>
      <c r="G68" s="40">
        <f>IFERROR(__xludf.DUMMYFUNCTION("IFERROR(INDEX(QUERY(ENCUESTA_DER!$A$3:$H1000,""SELECT sum(H) WHERE B='""&amp;$D68&amp;""'   "",0),2),"""")"),0.0)</f>
        <v>0</v>
      </c>
      <c r="H68" s="41">
        <f t="shared" si="2"/>
        <v>0</v>
      </c>
      <c r="I68" s="42"/>
      <c r="J68" s="40"/>
      <c r="K68" s="43"/>
    </row>
    <row r="69" ht="15.75" customHeight="1">
      <c r="A69" s="19"/>
      <c r="B69" s="19"/>
      <c r="C69" s="19"/>
      <c r="D69" s="19"/>
      <c r="E69" s="23">
        <f>IFERROR(__xludf.DUMMYFUNCTION("IFERROR(INDEX(QUERY(ENCUESTA_GESTION!$A$3:$H1000,""SELECT sum(H) WHERE B='""&amp;$D69&amp;""'   "",0),2),"""")"),0.0)</f>
        <v>0</v>
      </c>
      <c r="F69" s="40">
        <f>IFERROR(__xludf.DUMMYFUNCTION("IFERROR(INDEX(QUERY(ENCUESTA_REU!$A$3:$H1000,""SELECT sum(H) WHERE B='""&amp;$D69&amp;""'   "",0),2),"""")"),0.0)</f>
        <v>0</v>
      </c>
      <c r="G69" s="40">
        <f>IFERROR(__xludf.DUMMYFUNCTION("IFERROR(INDEX(QUERY(ENCUESTA_DER!$A$3:$H1000,""SELECT sum(H) WHERE B='""&amp;$D69&amp;""'   "",0),2),"""")"),0.0)</f>
        <v>0</v>
      </c>
      <c r="H69" s="41">
        <f t="shared" si="2"/>
        <v>0</v>
      </c>
      <c r="I69" s="42"/>
      <c r="J69" s="40"/>
      <c r="K69" s="43"/>
    </row>
    <row r="70" ht="15.75" customHeight="1">
      <c r="A70" s="19"/>
      <c r="B70" s="19"/>
      <c r="C70" s="19"/>
      <c r="D70" s="19"/>
      <c r="E70" s="23">
        <f>IFERROR(__xludf.DUMMYFUNCTION("IFERROR(INDEX(QUERY(ENCUESTA_GESTION!$A$3:$H1000,""SELECT sum(H) WHERE B='""&amp;$D70&amp;""'   "",0),2),"""")"),0.0)</f>
        <v>0</v>
      </c>
      <c r="F70" s="40">
        <f>IFERROR(__xludf.DUMMYFUNCTION("IFERROR(INDEX(QUERY(ENCUESTA_REU!$A$3:$H1000,""SELECT sum(H) WHERE B='""&amp;$D70&amp;""'   "",0),2),"""")"),0.0)</f>
        <v>0</v>
      </c>
      <c r="G70" s="40">
        <f>IFERROR(__xludf.DUMMYFUNCTION("IFERROR(INDEX(QUERY(ENCUESTA_DER!$A$3:$H1000,""SELECT sum(H) WHERE B='""&amp;$D70&amp;""'   "",0),2),"""")"),0.0)</f>
        <v>0</v>
      </c>
      <c r="H70" s="41">
        <f t="shared" si="2"/>
        <v>0</v>
      </c>
      <c r="I70" s="42"/>
      <c r="J70" s="40"/>
      <c r="K70" s="43"/>
    </row>
    <row r="71" ht="15.75" customHeight="1">
      <c r="A71" s="19"/>
      <c r="B71" s="19"/>
      <c r="C71" s="19"/>
      <c r="D71" s="19"/>
      <c r="E71" s="23">
        <f>IFERROR(__xludf.DUMMYFUNCTION("IFERROR(INDEX(QUERY(ENCUESTA_GESTION!$A$3:$H1000,""SELECT sum(H) WHERE B='""&amp;$D71&amp;""'   "",0),2),"""")"),0.0)</f>
        <v>0</v>
      </c>
      <c r="F71" s="40">
        <f>IFERROR(__xludf.DUMMYFUNCTION("IFERROR(INDEX(QUERY(ENCUESTA_REU!$A$3:$H1000,""SELECT sum(H) WHERE B='""&amp;$D71&amp;""'   "",0),2),"""")"),0.0)</f>
        <v>0</v>
      </c>
      <c r="G71" s="40">
        <f>IFERROR(__xludf.DUMMYFUNCTION("IFERROR(INDEX(QUERY(ENCUESTA_DER!$A$3:$H1000,""SELECT sum(H) WHERE B='""&amp;$D71&amp;""'   "",0),2),"""")"),0.0)</f>
        <v>0</v>
      </c>
      <c r="H71" s="41">
        <f t="shared" si="2"/>
        <v>0</v>
      </c>
      <c r="I71" s="42"/>
      <c r="J71" s="40"/>
      <c r="K71" s="43"/>
    </row>
    <row r="72" ht="15.75" customHeight="1">
      <c r="A72" s="19"/>
      <c r="B72" s="19"/>
      <c r="C72" s="19"/>
      <c r="D72" s="19"/>
      <c r="E72" s="23">
        <f>IFERROR(__xludf.DUMMYFUNCTION("IFERROR(INDEX(QUERY(ENCUESTA_GESTION!$A$3:$H1000,""SELECT sum(H) WHERE B='""&amp;$D72&amp;""'   "",0),2),"""")"),0.0)</f>
        <v>0</v>
      </c>
      <c r="F72" s="40">
        <f>IFERROR(__xludf.DUMMYFUNCTION("IFERROR(INDEX(QUERY(ENCUESTA_REU!$A$3:$H1000,""SELECT sum(H) WHERE B='""&amp;$D72&amp;""'   "",0),2),"""")"),0.0)</f>
        <v>0</v>
      </c>
      <c r="G72" s="40">
        <f>IFERROR(__xludf.DUMMYFUNCTION("IFERROR(INDEX(QUERY(ENCUESTA_DER!$A$3:$H1000,""SELECT sum(H) WHERE B='""&amp;$D72&amp;""'   "",0),2),"""")"),0.0)</f>
        <v>0</v>
      </c>
      <c r="H72" s="41">
        <f t="shared" si="2"/>
        <v>0</v>
      </c>
      <c r="I72" s="42"/>
      <c r="J72" s="40"/>
      <c r="K72" s="43"/>
    </row>
    <row r="73" ht="15.75" customHeight="1">
      <c r="A73" s="19"/>
      <c r="B73" s="19"/>
      <c r="C73" s="19"/>
      <c r="D73" s="19"/>
      <c r="E73" s="23">
        <f>IFERROR(__xludf.DUMMYFUNCTION("IFERROR(INDEX(QUERY(ENCUESTA_GESTION!$A$3:$H1000,""SELECT sum(H) WHERE B='""&amp;$D73&amp;""'   "",0),2),"""")"),0.0)</f>
        <v>0</v>
      </c>
      <c r="F73" s="40">
        <f>IFERROR(__xludf.DUMMYFUNCTION("IFERROR(INDEX(QUERY(ENCUESTA_REU!$A$3:$H1000,""SELECT sum(H) WHERE B='""&amp;$D73&amp;""'   "",0),2),"""")"),0.0)</f>
        <v>0</v>
      </c>
      <c r="G73" s="40">
        <f>IFERROR(__xludf.DUMMYFUNCTION("IFERROR(INDEX(QUERY(ENCUESTA_DER!$A$3:$H1000,""SELECT sum(H) WHERE B='""&amp;$D73&amp;""'   "",0),2),"""")"),0.0)</f>
        <v>0</v>
      </c>
      <c r="H73" s="41">
        <f t="shared" si="2"/>
        <v>0</v>
      </c>
      <c r="I73" s="42"/>
      <c r="J73" s="40"/>
      <c r="K73" s="43"/>
    </row>
    <row r="74" ht="15.75" customHeight="1">
      <c r="A74" s="19"/>
      <c r="B74" s="19"/>
      <c r="C74" s="19"/>
      <c r="D74" s="19"/>
      <c r="E74" s="23">
        <f>IFERROR(__xludf.DUMMYFUNCTION("IFERROR(INDEX(QUERY(ENCUESTA_GESTION!$A$3:$H1000,""SELECT sum(H) WHERE B='""&amp;$D74&amp;""'   "",0),2),"""")"),0.0)</f>
        <v>0</v>
      </c>
      <c r="F74" s="40">
        <f>IFERROR(__xludf.DUMMYFUNCTION("IFERROR(INDEX(QUERY(ENCUESTA_REU!$A$3:$H1000,""SELECT sum(H) WHERE B='""&amp;$D74&amp;""'   "",0),2),"""")"),0.0)</f>
        <v>0</v>
      </c>
      <c r="G74" s="40">
        <f>IFERROR(__xludf.DUMMYFUNCTION("IFERROR(INDEX(QUERY(ENCUESTA_DER!$A$3:$H1000,""SELECT sum(H) WHERE B='""&amp;$D74&amp;""'   "",0),2),"""")"),0.0)</f>
        <v>0</v>
      </c>
      <c r="H74" s="41">
        <f t="shared" si="2"/>
        <v>0</v>
      </c>
      <c r="I74" s="42"/>
      <c r="J74" s="40"/>
      <c r="K74" s="43"/>
    </row>
    <row r="75" ht="15.75" customHeight="1">
      <c r="A75" s="19"/>
      <c r="B75" s="19"/>
      <c r="C75" s="19"/>
      <c r="D75" s="19"/>
      <c r="E75" s="23">
        <f>IFERROR(__xludf.DUMMYFUNCTION("IFERROR(INDEX(QUERY(ENCUESTA_GESTION!$A$3:$H1000,""SELECT sum(H) WHERE B='""&amp;$D75&amp;""'   "",0),2),"""")"),0.0)</f>
        <v>0</v>
      </c>
      <c r="F75" s="40">
        <f>IFERROR(__xludf.DUMMYFUNCTION("IFERROR(INDEX(QUERY(ENCUESTA_REU!$A$3:$H1000,""SELECT sum(H) WHERE B='""&amp;$D75&amp;""'   "",0),2),"""")"),0.0)</f>
        <v>0</v>
      </c>
      <c r="G75" s="40">
        <f>IFERROR(__xludf.DUMMYFUNCTION("IFERROR(INDEX(QUERY(ENCUESTA_DER!$A$3:$H1000,""SELECT sum(H) WHERE B='""&amp;$D75&amp;""'   "",0),2),"""")"),0.0)</f>
        <v>0</v>
      </c>
      <c r="H75" s="41">
        <f t="shared" si="2"/>
        <v>0</v>
      </c>
      <c r="I75" s="42"/>
      <c r="J75" s="40"/>
      <c r="K75" s="43"/>
    </row>
    <row r="76" ht="15.75" customHeight="1">
      <c r="A76" s="19"/>
      <c r="B76" s="19"/>
      <c r="C76" s="19"/>
      <c r="D76" s="19"/>
      <c r="E76" s="23">
        <f>IFERROR(__xludf.DUMMYFUNCTION("IFERROR(INDEX(QUERY(ENCUESTA_GESTION!$A$3:$H1000,""SELECT sum(H) WHERE B='""&amp;$D76&amp;""'   "",0),2),"""")"),0.0)</f>
        <v>0</v>
      </c>
      <c r="F76" s="40">
        <f>IFERROR(__xludf.DUMMYFUNCTION("IFERROR(INDEX(QUERY(ENCUESTA_REU!$A$3:$H1000,""SELECT sum(H) WHERE B='""&amp;$D76&amp;""'   "",0),2),"""")"),0.0)</f>
        <v>0</v>
      </c>
      <c r="G76" s="40">
        <f>IFERROR(__xludf.DUMMYFUNCTION("IFERROR(INDEX(QUERY(ENCUESTA_DER!$A$3:$H1000,""SELECT sum(H) WHERE B='""&amp;$D76&amp;""'   "",0),2),"""")"),0.0)</f>
        <v>0</v>
      </c>
      <c r="H76" s="41">
        <f t="shared" si="2"/>
        <v>0</v>
      </c>
      <c r="I76" s="42"/>
      <c r="J76" s="40"/>
      <c r="K76" s="43"/>
    </row>
    <row r="77" ht="15.75" customHeight="1">
      <c r="A77" s="19"/>
      <c r="B77" s="19"/>
      <c r="C77" s="19"/>
      <c r="D77" s="19"/>
      <c r="E77" s="23">
        <f>IFERROR(__xludf.DUMMYFUNCTION("IFERROR(INDEX(QUERY(ENCUESTA_GESTION!$A$3:$H1000,""SELECT sum(H) WHERE B='""&amp;$D77&amp;""'   "",0),2),"""")"),0.0)</f>
        <v>0</v>
      </c>
      <c r="F77" s="40">
        <f>IFERROR(__xludf.DUMMYFUNCTION("IFERROR(INDEX(QUERY(ENCUESTA_REU!$A$3:$H1000,""SELECT sum(H) WHERE B='""&amp;$D77&amp;""'   "",0),2),"""")"),0.0)</f>
        <v>0</v>
      </c>
      <c r="G77" s="40">
        <f>IFERROR(__xludf.DUMMYFUNCTION("IFERROR(INDEX(QUERY(ENCUESTA_DER!$A$3:$H1000,""SELECT sum(H) WHERE B='""&amp;$D77&amp;""'   "",0),2),"""")"),0.0)</f>
        <v>0</v>
      </c>
      <c r="H77" s="41">
        <f t="shared" si="2"/>
        <v>0</v>
      </c>
      <c r="I77" s="42"/>
      <c r="J77" s="40"/>
      <c r="K77" s="43"/>
    </row>
    <row r="78" ht="15.75" customHeight="1">
      <c r="A78" s="19"/>
      <c r="B78" s="19"/>
      <c r="C78" s="19"/>
      <c r="D78" s="19"/>
      <c r="E78" s="23">
        <f>IFERROR(__xludf.DUMMYFUNCTION("IFERROR(INDEX(QUERY(ENCUESTA_GESTION!$A$3:$H1000,""SELECT sum(H) WHERE B='""&amp;$D78&amp;""'   "",0),2),"""")"),0.0)</f>
        <v>0</v>
      </c>
      <c r="F78" s="40">
        <f>IFERROR(__xludf.DUMMYFUNCTION("IFERROR(INDEX(QUERY(ENCUESTA_REU!$A$3:$H1000,""SELECT sum(H) WHERE B='""&amp;$D78&amp;""'   "",0),2),"""")"),0.0)</f>
        <v>0</v>
      </c>
      <c r="G78" s="40">
        <f>IFERROR(__xludf.DUMMYFUNCTION("IFERROR(INDEX(QUERY(ENCUESTA_DER!$A$3:$H1000,""SELECT sum(H) WHERE B='""&amp;$D78&amp;""'   "",0),2),"""")"),0.0)</f>
        <v>0</v>
      </c>
      <c r="H78" s="41">
        <f t="shared" si="2"/>
        <v>0</v>
      </c>
      <c r="I78" s="42"/>
      <c r="J78" s="40"/>
      <c r="K78" s="43"/>
    </row>
    <row r="79" ht="15.75" customHeight="1">
      <c r="A79" s="19"/>
      <c r="B79" s="19"/>
      <c r="C79" s="19"/>
      <c r="D79" s="19"/>
      <c r="E79" s="23">
        <f>IFERROR(__xludf.DUMMYFUNCTION("IFERROR(INDEX(QUERY(ENCUESTA_GESTION!$A$3:$H1000,""SELECT sum(H) WHERE B='""&amp;$D79&amp;""'   "",0),2),"""")"),0.0)</f>
        <v>0</v>
      </c>
      <c r="F79" s="40">
        <f>IFERROR(__xludf.DUMMYFUNCTION("IFERROR(INDEX(QUERY(ENCUESTA_REU!$A$3:$H1000,""SELECT sum(H) WHERE B='""&amp;$D79&amp;""'   "",0),2),"""")"),0.0)</f>
        <v>0</v>
      </c>
      <c r="G79" s="40">
        <f>IFERROR(__xludf.DUMMYFUNCTION("IFERROR(INDEX(QUERY(ENCUESTA_DER!$A$3:$H1000,""SELECT sum(H) WHERE B='""&amp;$D79&amp;""'   "",0),2),"""")"),0.0)</f>
        <v>0</v>
      </c>
      <c r="H79" s="41">
        <f t="shared" si="2"/>
        <v>0</v>
      </c>
      <c r="I79" s="42"/>
      <c r="J79" s="40"/>
      <c r="K79" s="43"/>
    </row>
    <row r="80" ht="15.75" customHeight="1">
      <c r="A80" s="19"/>
      <c r="B80" s="19"/>
      <c r="C80" s="19"/>
      <c r="D80" s="19"/>
      <c r="E80" s="23">
        <f>IFERROR(__xludf.DUMMYFUNCTION("IFERROR(INDEX(QUERY(ENCUESTA_GESTION!$A$3:$H1000,""SELECT sum(H) WHERE B='""&amp;$D80&amp;""'   "",0),2),"""")"),0.0)</f>
        <v>0</v>
      </c>
      <c r="F80" s="40">
        <f>IFERROR(__xludf.DUMMYFUNCTION("IFERROR(INDEX(QUERY(ENCUESTA_REU!$A$3:$H1000,""SELECT sum(H) WHERE B='""&amp;$D80&amp;""'   "",0),2),"""")"),0.0)</f>
        <v>0</v>
      </c>
      <c r="G80" s="40">
        <f>IFERROR(__xludf.DUMMYFUNCTION("IFERROR(INDEX(QUERY(ENCUESTA_DER!$A$3:$H1000,""SELECT sum(H) WHERE B='""&amp;$D80&amp;""'   "",0),2),"""")"),0.0)</f>
        <v>0</v>
      </c>
      <c r="H80" s="41">
        <f t="shared" si="2"/>
        <v>0</v>
      </c>
      <c r="I80" s="42"/>
      <c r="J80" s="40"/>
      <c r="K80" s="43"/>
    </row>
    <row r="81" ht="15.75" customHeight="1">
      <c r="A81" s="19"/>
      <c r="B81" s="19"/>
      <c r="C81" s="19"/>
      <c r="D81" s="19"/>
      <c r="E81" s="23">
        <f>IFERROR(__xludf.DUMMYFUNCTION("IFERROR(INDEX(QUERY(ENCUESTA_GESTION!$A$3:$H1000,""SELECT sum(H) WHERE B='""&amp;$D81&amp;""'   "",0),2),"""")"),0.0)</f>
        <v>0</v>
      </c>
      <c r="F81" s="40">
        <f>IFERROR(__xludf.DUMMYFUNCTION("IFERROR(INDEX(QUERY(ENCUESTA_REU!$A$3:$H1000,""SELECT sum(H) WHERE B='""&amp;$D81&amp;""'   "",0),2),"""")"),0.0)</f>
        <v>0</v>
      </c>
      <c r="G81" s="40">
        <f>IFERROR(__xludf.DUMMYFUNCTION("IFERROR(INDEX(QUERY(ENCUESTA_DER!$A$3:$H1000,""SELECT sum(H) WHERE B='""&amp;$D81&amp;""'   "",0),2),"""")"),0.0)</f>
        <v>0</v>
      </c>
      <c r="H81" s="41">
        <f t="shared" si="2"/>
        <v>0</v>
      </c>
      <c r="I81" s="42"/>
      <c r="J81" s="40"/>
      <c r="K81" s="43"/>
    </row>
    <row r="82" ht="15.75" customHeight="1">
      <c r="A82" s="19"/>
      <c r="B82" s="19"/>
      <c r="C82" s="19"/>
      <c r="D82" s="19"/>
      <c r="E82" s="23">
        <f>IFERROR(__xludf.DUMMYFUNCTION("IFERROR(INDEX(QUERY(ENCUESTA_GESTION!$A$3:$H1000,""SELECT sum(H) WHERE B='""&amp;$D82&amp;""'   "",0),2),"""")"),0.0)</f>
        <v>0</v>
      </c>
      <c r="F82" s="40">
        <f>IFERROR(__xludf.DUMMYFUNCTION("IFERROR(INDEX(QUERY(ENCUESTA_REU!$A$3:$H1000,""SELECT sum(H) WHERE B='""&amp;$D82&amp;""'   "",0),2),"""")"),0.0)</f>
        <v>0</v>
      </c>
      <c r="G82" s="40">
        <f>IFERROR(__xludf.DUMMYFUNCTION("IFERROR(INDEX(QUERY(ENCUESTA_DER!$A$3:$H1000,""SELECT sum(H) WHERE B='""&amp;$D82&amp;""'   "",0),2),"""")"),0.0)</f>
        <v>0</v>
      </c>
      <c r="H82" s="41">
        <f t="shared" si="2"/>
        <v>0</v>
      </c>
      <c r="I82" s="42"/>
      <c r="J82" s="40"/>
      <c r="K82" s="43"/>
    </row>
    <row r="83" ht="15.75" customHeight="1">
      <c r="A83" s="19"/>
      <c r="B83" s="19"/>
      <c r="C83" s="19"/>
      <c r="D83" s="19"/>
      <c r="E83" s="23">
        <f>IFERROR(__xludf.DUMMYFUNCTION("IFERROR(INDEX(QUERY(ENCUESTA_GESTION!$A$3:$H1000,""SELECT sum(H) WHERE B='""&amp;$D83&amp;""'   "",0),2),"""")"),0.0)</f>
        <v>0</v>
      </c>
      <c r="F83" s="40">
        <f>IFERROR(__xludf.DUMMYFUNCTION("IFERROR(INDEX(QUERY(ENCUESTA_REU!$A$3:$H1000,""SELECT sum(H) WHERE B='""&amp;$D83&amp;""'   "",0),2),"""")"),0.0)</f>
        <v>0</v>
      </c>
      <c r="G83" s="40">
        <f>IFERROR(__xludf.DUMMYFUNCTION("IFERROR(INDEX(QUERY(ENCUESTA_DER!$A$3:$H1000,""SELECT sum(H) WHERE B='""&amp;$D83&amp;""'   "",0),2),"""")"),0.0)</f>
        <v>0</v>
      </c>
      <c r="H83" s="41">
        <f t="shared" si="2"/>
        <v>0</v>
      </c>
      <c r="I83" s="42"/>
      <c r="J83" s="40"/>
      <c r="K83" s="43"/>
    </row>
    <row r="84" ht="15.75" customHeight="1">
      <c r="A84" s="19"/>
      <c r="B84" s="19"/>
      <c r="C84" s="19"/>
      <c r="D84" s="19"/>
      <c r="E84" s="23">
        <f>IFERROR(__xludf.DUMMYFUNCTION("IFERROR(INDEX(QUERY(ENCUESTA_GESTION!$A$3:$H1000,""SELECT sum(H) WHERE B='""&amp;$D84&amp;""'   "",0),2),"""")"),0.0)</f>
        <v>0</v>
      </c>
      <c r="F84" s="40">
        <f>IFERROR(__xludf.DUMMYFUNCTION("IFERROR(INDEX(QUERY(ENCUESTA_REU!$A$3:$H1000,""SELECT sum(H) WHERE B='""&amp;$D84&amp;""'   "",0),2),"""")"),0.0)</f>
        <v>0</v>
      </c>
      <c r="G84" s="40">
        <f>IFERROR(__xludf.DUMMYFUNCTION("IFERROR(INDEX(QUERY(ENCUESTA_DER!$A$3:$H1000,""SELECT sum(H) WHERE B='""&amp;$D84&amp;""'   "",0),2),"""")"),0.0)</f>
        <v>0</v>
      </c>
      <c r="H84" s="41">
        <f t="shared" si="2"/>
        <v>0</v>
      </c>
      <c r="I84" s="42"/>
      <c r="J84" s="40"/>
      <c r="K84" s="43"/>
    </row>
    <row r="85" ht="15.75" customHeight="1">
      <c r="A85" s="19"/>
      <c r="B85" s="19"/>
      <c r="C85" s="19"/>
      <c r="D85" s="19"/>
      <c r="E85" s="23">
        <f>IFERROR(__xludf.DUMMYFUNCTION("IFERROR(INDEX(QUERY(ENCUESTA_GESTION!$A$3:$H1000,""SELECT sum(H) WHERE B='""&amp;$D85&amp;""'   "",0),2),"""")"),0.0)</f>
        <v>0</v>
      </c>
      <c r="F85" s="40">
        <f>IFERROR(__xludf.DUMMYFUNCTION("IFERROR(INDEX(QUERY(ENCUESTA_REU!$A$3:$H1000,""SELECT sum(H) WHERE B='""&amp;$D85&amp;""'   "",0),2),"""")"),0.0)</f>
        <v>0</v>
      </c>
      <c r="G85" s="40">
        <f>IFERROR(__xludf.DUMMYFUNCTION("IFERROR(INDEX(QUERY(ENCUESTA_DER!$A$3:$H1000,""SELECT sum(H) WHERE B='""&amp;$D85&amp;""'   "",0),2),"""")"),0.0)</f>
        <v>0</v>
      </c>
      <c r="H85" s="41">
        <f t="shared" si="2"/>
        <v>0</v>
      </c>
      <c r="I85" s="42"/>
      <c r="J85" s="40"/>
      <c r="K85" s="43"/>
    </row>
    <row r="86" ht="15.75" customHeight="1">
      <c r="A86" s="19"/>
      <c r="B86" s="19"/>
      <c r="C86" s="19"/>
      <c r="D86" s="19"/>
      <c r="E86" s="23">
        <f>IFERROR(__xludf.DUMMYFUNCTION("IFERROR(INDEX(QUERY(ENCUESTA_GESTION!$A$3:$H1000,""SELECT sum(H) WHERE B='""&amp;$D86&amp;""'   "",0),2),"""")"),0.0)</f>
        <v>0</v>
      </c>
      <c r="F86" s="40">
        <f>IFERROR(__xludf.DUMMYFUNCTION("IFERROR(INDEX(QUERY(ENCUESTA_REU!$A$3:$H1000,""SELECT sum(H) WHERE B='""&amp;$D86&amp;""'   "",0),2),"""")"),0.0)</f>
        <v>0</v>
      </c>
      <c r="G86" s="40">
        <f>IFERROR(__xludf.DUMMYFUNCTION("IFERROR(INDEX(QUERY(ENCUESTA_DER!$A$3:$H1000,""SELECT sum(H) WHERE B='""&amp;$D86&amp;""'   "",0),2),"""")"),0.0)</f>
        <v>0</v>
      </c>
      <c r="H86" s="41">
        <f t="shared" si="2"/>
        <v>0</v>
      </c>
      <c r="I86" s="42"/>
      <c r="J86" s="40"/>
      <c r="K86" s="43"/>
    </row>
    <row r="87" ht="15.75" customHeight="1">
      <c r="A87" s="19"/>
      <c r="B87" s="19"/>
      <c r="C87" s="19"/>
      <c r="D87" s="19"/>
      <c r="E87" s="23">
        <f>IFERROR(__xludf.DUMMYFUNCTION("IFERROR(INDEX(QUERY(ENCUESTA_GESTION!$A$3:$H1000,""SELECT sum(H) WHERE B='""&amp;$D87&amp;""'   "",0),2),"""")"),0.0)</f>
        <v>0</v>
      </c>
      <c r="F87" s="40">
        <f>IFERROR(__xludf.DUMMYFUNCTION("IFERROR(INDEX(QUERY(ENCUESTA_REU!$A$3:$H1000,""SELECT sum(H) WHERE B='""&amp;$D87&amp;""'   "",0),2),"""")"),0.0)</f>
        <v>0</v>
      </c>
      <c r="G87" s="40">
        <f>IFERROR(__xludf.DUMMYFUNCTION("IFERROR(INDEX(QUERY(ENCUESTA_DER!$A$3:$H1000,""SELECT sum(H) WHERE B='""&amp;$D87&amp;""'   "",0),2),"""")"),0.0)</f>
        <v>0</v>
      </c>
      <c r="H87" s="41">
        <f t="shared" si="2"/>
        <v>0</v>
      </c>
      <c r="I87" s="42"/>
      <c r="J87" s="40"/>
      <c r="K87" s="43"/>
    </row>
    <row r="88" ht="15.75" customHeight="1">
      <c r="A88" s="19"/>
      <c r="B88" s="19"/>
      <c r="C88" s="19"/>
      <c r="D88" s="19"/>
      <c r="E88" s="23">
        <f>IFERROR(__xludf.DUMMYFUNCTION("IFERROR(INDEX(QUERY(ENCUESTA_GESTION!$A$3:$H1000,""SELECT sum(H) WHERE B='""&amp;$D88&amp;""'   "",0),2),"""")"),0.0)</f>
        <v>0</v>
      </c>
      <c r="F88" s="40">
        <f>IFERROR(__xludf.DUMMYFUNCTION("IFERROR(INDEX(QUERY(ENCUESTA_REU!$A$3:$H1000,""SELECT sum(H) WHERE B='""&amp;$D88&amp;""'   "",0),2),"""")"),0.0)</f>
        <v>0</v>
      </c>
      <c r="G88" s="40">
        <f>IFERROR(__xludf.DUMMYFUNCTION("IFERROR(INDEX(QUERY(ENCUESTA_DER!$A$3:$H1000,""SELECT sum(H) WHERE B='""&amp;$D88&amp;""'   "",0),2),"""")"),0.0)</f>
        <v>0</v>
      </c>
      <c r="H88" s="41">
        <f t="shared" si="2"/>
        <v>0</v>
      </c>
      <c r="I88" s="42"/>
      <c r="J88" s="40"/>
      <c r="K88" s="43"/>
    </row>
    <row r="89" ht="15.75" customHeight="1">
      <c r="A89" s="19"/>
      <c r="B89" s="19"/>
      <c r="C89" s="19"/>
      <c r="D89" s="19"/>
      <c r="E89" s="23">
        <f>IFERROR(__xludf.DUMMYFUNCTION("IFERROR(INDEX(QUERY(ENCUESTA_GESTION!$A$3:$H1000,""SELECT sum(H) WHERE B='""&amp;$D89&amp;""'   "",0),2),"""")"),0.0)</f>
        <v>0</v>
      </c>
      <c r="F89" s="40">
        <f>IFERROR(__xludf.DUMMYFUNCTION("IFERROR(INDEX(QUERY(ENCUESTA_REU!$A$3:$H1000,""SELECT sum(H) WHERE B='""&amp;$D89&amp;""'   "",0),2),"""")"),0.0)</f>
        <v>0</v>
      </c>
      <c r="G89" s="40">
        <f>IFERROR(__xludf.DUMMYFUNCTION("IFERROR(INDEX(QUERY(ENCUESTA_DER!$A$3:$H1000,""SELECT sum(H) WHERE B='""&amp;$D89&amp;""'   "",0),2),"""")"),0.0)</f>
        <v>0</v>
      </c>
      <c r="H89" s="41">
        <f t="shared" si="2"/>
        <v>0</v>
      </c>
      <c r="I89" s="42"/>
      <c r="J89" s="40"/>
      <c r="K89" s="43"/>
    </row>
    <row r="90" ht="15.75" customHeight="1">
      <c r="A90" s="19"/>
      <c r="B90" s="19"/>
      <c r="C90" s="19"/>
      <c r="D90" s="19"/>
      <c r="E90" s="23">
        <f>IFERROR(__xludf.DUMMYFUNCTION("IFERROR(INDEX(QUERY(ENCUESTA_GESTION!$A$3:$H1000,""SELECT sum(H) WHERE B='""&amp;$D90&amp;""'   "",0),2),"""")"),0.0)</f>
        <v>0</v>
      </c>
      <c r="F90" s="40">
        <f>IFERROR(__xludf.DUMMYFUNCTION("IFERROR(INDEX(QUERY(ENCUESTA_REU!$A$3:$H1000,""SELECT sum(H) WHERE B='""&amp;$D90&amp;""'   "",0),2),"""")"),0.0)</f>
        <v>0</v>
      </c>
      <c r="G90" s="40">
        <f>IFERROR(__xludf.DUMMYFUNCTION("IFERROR(INDEX(QUERY(ENCUESTA_DER!$A$3:$H1000,""SELECT sum(H) WHERE B='""&amp;$D90&amp;""'   "",0),2),"""")"),0.0)</f>
        <v>0</v>
      </c>
      <c r="H90" s="41">
        <f t="shared" si="2"/>
        <v>0</v>
      </c>
      <c r="I90" s="42"/>
      <c r="J90" s="40"/>
      <c r="K90" s="43"/>
    </row>
    <row r="91" ht="15.75" customHeight="1">
      <c r="A91" s="19"/>
      <c r="B91" s="19"/>
      <c r="C91" s="19"/>
      <c r="D91" s="19"/>
      <c r="E91" s="23">
        <f>IFERROR(__xludf.DUMMYFUNCTION("IFERROR(INDEX(QUERY(ENCUESTA_GESTION!$A$3:$H1000,""SELECT sum(H) WHERE B='""&amp;$D91&amp;""'   "",0),2),"""")"),0.0)</f>
        <v>0</v>
      </c>
      <c r="F91" s="40">
        <f>IFERROR(__xludf.DUMMYFUNCTION("IFERROR(INDEX(QUERY(ENCUESTA_REU!$A$3:$H1000,""SELECT sum(H) WHERE B='""&amp;$D91&amp;""'   "",0),2),"""")"),0.0)</f>
        <v>0</v>
      </c>
      <c r="G91" s="40">
        <f>IFERROR(__xludf.DUMMYFUNCTION("IFERROR(INDEX(QUERY(ENCUESTA_DER!$A$3:$H1000,""SELECT sum(H) WHERE B='""&amp;$D91&amp;""'   "",0),2),"""")"),0.0)</f>
        <v>0</v>
      </c>
      <c r="H91" s="41">
        <f t="shared" si="2"/>
        <v>0</v>
      </c>
      <c r="I91" s="42"/>
      <c r="J91" s="40"/>
      <c r="K91" s="43"/>
    </row>
    <row r="92" ht="15.75" customHeight="1">
      <c r="A92" s="19"/>
      <c r="B92" s="19"/>
      <c r="C92" s="19"/>
      <c r="D92" s="19"/>
      <c r="E92" s="23">
        <f>IFERROR(__xludf.DUMMYFUNCTION("IFERROR(INDEX(QUERY(ENCUESTA_GESTION!$A$3:$H1000,""SELECT sum(H) WHERE B='""&amp;$D92&amp;""'   "",0),2),"""")"),0.0)</f>
        <v>0</v>
      </c>
      <c r="F92" s="40">
        <f>IFERROR(__xludf.DUMMYFUNCTION("IFERROR(INDEX(QUERY(ENCUESTA_REU!$A$3:$H1000,""SELECT sum(H) WHERE B='""&amp;$D92&amp;""'   "",0),2),"""")"),0.0)</f>
        <v>0</v>
      </c>
      <c r="G92" s="40">
        <f>IFERROR(__xludf.DUMMYFUNCTION("IFERROR(INDEX(QUERY(ENCUESTA_DER!$A$3:$H1000,""SELECT sum(H) WHERE B='""&amp;$D92&amp;""'   "",0),2),"""")"),0.0)</f>
        <v>0</v>
      </c>
      <c r="H92" s="41">
        <f t="shared" si="2"/>
        <v>0</v>
      </c>
      <c r="I92" s="42"/>
      <c r="J92" s="40"/>
      <c r="K92" s="43"/>
    </row>
    <row r="93" ht="15.75" customHeight="1">
      <c r="A93" s="19"/>
      <c r="B93" s="19"/>
      <c r="C93" s="19"/>
      <c r="D93" s="19"/>
      <c r="E93" s="23">
        <f>IFERROR(__xludf.DUMMYFUNCTION("IFERROR(INDEX(QUERY(ENCUESTA_GESTION!$A$3:$H1000,""SELECT sum(H) WHERE B='""&amp;$D93&amp;""'   "",0),2),"""")"),0.0)</f>
        <v>0</v>
      </c>
      <c r="F93" s="40">
        <f>IFERROR(__xludf.DUMMYFUNCTION("IFERROR(INDEX(QUERY(ENCUESTA_REU!$A$3:$H1000,""SELECT sum(H) WHERE B='""&amp;$D93&amp;""'   "",0),2),"""")"),0.0)</f>
        <v>0</v>
      </c>
      <c r="G93" s="40">
        <f>IFERROR(__xludf.DUMMYFUNCTION("IFERROR(INDEX(QUERY(ENCUESTA_DER!$A$3:$H1000,""SELECT sum(H) WHERE B='""&amp;$D93&amp;""'   "",0),2),"""")"),0.0)</f>
        <v>0</v>
      </c>
      <c r="H93" s="41">
        <f t="shared" si="2"/>
        <v>0</v>
      </c>
      <c r="I93" s="42"/>
      <c r="J93" s="40"/>
      <c r="K93" s="43"/>
    </row>
    <row r="94" ht="15.75" customHeight="1">
      <c r="A94" s="19"/>
      <c r="B94" s="19"/>
      <c r="C94" s="19"/>
      <c r="D94" s="19"/>
      <c r="E94" s="23">
        <f>IFERROR(__xludf.DUMMYFUNCTION("IFERROR(INDEX(QUERY(ENCUESTA_GESTION!$A$3:$H1000,""SELECT sum(H) WHERE B='""&amp;$D94&amp;""'   "",0),2),"""")"),0.0)</f>
        <v>0</v>
      </c>
      <c r="F94" s="40">
        <f>IFERROR(__xludf.DUMMYFUNCTION("IFERROR(INDEX(QUERY(ENCUESTA_REU!$A$3:$H1000,""SELECT sum(H) WHERE B='""&amp;$D94&amp;""'   "",0),2),"""")"),0.0)</f>
        <v>0</v>
      </c>
      <c r="G94" s="40">
        <f>IFERROR(__xludf.DUMMYFUNCTION("IFERROR(INDEX(QUERY(ENCUESTA_DER!$A$3:$H1000,""SELECT sum(H) WHERE B='""&amp;$D94&amp;""'   "",0),2),"""")"),0.0)</f>
        <v>0</v>
      </c>
      <c r="H94" s="41">
        <f t="shared" si="2"/>
        <v>0</v>
      </c>
      <c r="I94" s="42"/>
      <c r="J94" s="40"/>
      <c r="K94" s="43"/>
    </row>
    <row r="95" ht="15.75" customHeight="1">
      <c r="A95" s="19"/>
      <c r="B95" s="19"/>
      <c r="C95" s="19"/>
      <c r="D95" s="19"/>
      <c r="E95" s="23">
        <f>IFERROR(__xludf.DUMMYFUNCTION("IFERROR(INDEX(QUERY(ENCUESTA_GESTION!$A$3:$H1000,""SELECT sum(H) WHERE B='""&amp;$D95&amp;""'   "",0),2),"""")"),0.0)</f>
        <v>0</v>
      </c>
      <c r="F95" s="40">
        <f>IFERROR(__xludf.DUMMYFUNCTION("IFERROR(INDEX(QUERY(ENCUESTA_REU!$A$3:$H1000,""SELECT sum(H) WHERE B='""&amp;$D95&amp;""'   "",0),2),"""")"),0.0)</f>
        <v>0</v>
      </c>
      <c r="G95" s="40">
        <f>IFERROR(__xludf.DUMMYFUNCTION("IFERROR(INDEX(QUERY(ENCUESTA_DER!$A$3:$H1000,""SELECT sum(H) WHERE B='""&amp;$D95&amp;""'   "",0),2),"""")"),0.0)</f>
        <v>0</v>
      </c>
      <c r="H95" s="41">
        <f t="shared" si="2"/>
        <v>0</v>
      </c>
      <c r="I95" s="42"/>
      <c r="J95" s="40"/>
      <c r="K95" s="43"/>
    </row>
    <row r="96" ht="15.75" customHeight="1">
      <c r="A96" s="19"/>
      <c r="B96" s="19"/>
      <c r="C96" s="19"/>
      <c r="D96" s="19"/>
      <c r="E96" s="23">
        <f>IFERROR(__xludf.DUMMYFUNCTION("IFERROR(INDEX(QUERY(ENCUESTA_GESTION!$A$3:$H1000,""SELECT sum(H) WHERE B='""&amp;$D96&amp;""'   "",0),2),"""")"),0.0)</f>
        <v>0</v>
      </c>
      <c r="F96" s="40">
        <f>IFERROR(__xludf.DUMMYFUNCTION("IFERROR(INDEX(QUERY(ENCUESTA_REU!$A$3:$H1000,""SELECT sum(H) WHERE B='""&amp;$D96&amp;""'   "",0),2),"""")"),0.0)</f>
        <v>0</v>
      </c>
      <c r="G96" s="40">
        <f>IFERROR(__xludf.DUMMYFUNCTION("IFERROR(INDEX(QUERY(ENCUESTA_DER!$A$3:$H1000,""SELECT sum(H) WHERE B='""&amp;$D96&amp;""'   "",0),2),"""")"),0.0)</f>
        <v>0</v>
      </c>
      <c r="H96" s="41">
        <f t="shared" si="2"/>
        <v>0</v>
      </c>
      <c r="I96" s="42"/>
      <c r="J96" s="40"/>
      <c r="K96" s="43"/>
    </row>
    <row r="97" ht="15.75" customHeight="1">
      <c r="A97" s="19"/>
      <c r="B97" s="19"/>
      <c r="C97" s="19"/>
      <c r="D97" s="19"/>
      <c r="E97" s="23">
        <f>IFERROR(__xludf.DUMMYFUNCTION("IFERROR(INDEX(QUERY(ENCUESTA_GESTION!$A$3:$H1000,""SELECT sum(H) WHERE B='""&amp;$D97&amp;""'   "",0),2),"""")"),0.0)</f>
        <v>0</v>
      </c>
      <c r="F97" s="40">
        <f>IFERROR(__xludf.DUMMYFUNCTION("IFERROR(INDEX(QUERY(ENCUESTA_REU!$A$3:$H1000,""SELECT sum(H) WHERE B='""&amp;$D97&amp;""'   "",0),2),"""")"),0.0)</f>
        <v>0</v>
      </c>
      <c r="G97" s="40">
        <f>IFERROR(__xludf.DUMMYFUNCTION("IFERROR(INDEX(QUERY(ENCUESTA_DER!$A$3:$H1000,""SELECT sum(H) WHERE B='""&amp;$D97&amp;""'   "",0),2),"""")"),0.0)</f>
        <v>0</v>
      </c>
      <c r="H97" s="41">
        <f t="shared" si="2"/>
        <v>0</v>
      </c>
      <c r="I97" s="42"/>
      <c r="J97" s="40"/>
      <c r="K97" s="43"/>
    </row>
    <row r="98" ht="15.75" customHeight="1">
      <c r="A98" s="19"/>
      <c r="B98" s="19"/>
      <c r="C98" s="19"/>
      <c r="D98" s="19"/>
      <c r="E98" s="23">
        <f>IFERROR(__xludf.DUMMYFUNCTION("IFERROR(INDEX(QUERY(ENCUESTA_GESTION!$A$3:$H1000,""SELECT sum(H) WHERE B='""&amp;$D98&amp;""'   "",0),2),"""")"),0.0)</f>
        <v>0</v>
      </c>
      <c r="F98" s="40">
        <f>IFERROR(__xludf.DUMMYFUNCTION("IFERROR(INDEX(QUERY(ENCUESTA_REU!$A$3:$H1000,""SELECT sum(H) WHERE B='""&amp;$D98&amp;""'   "",0),2),"""")"),0.0)</f>
        <v>0</v>
      </c>
      <c r="G98" s="40">
        <f>IFERROR(__xludf.DUMMYFUNCTION("IFERROR(INDEX(QUERY(ENCUESTA_DER!$A$3:$H1000,""SELECT sum(H) WHERE B='""&amp;$D98&amp;""'   "",0),2),"""")"),0.0)</f>
        <v>0</v>
      </c>
      <c r="H98" s="41">
        <f t="shared" si="2"/>
        <v>0</v>
      </c>
      <c r="I98" s="42"/>
      <c r="J98" s="40"/>
      <c r="K98" s="43"/>
    </row>
    <row r="99" ht="15.75" customHeight="1">
      <c r="A99" s="19"/>
      <c r="B99" s="19"/>
      <c r="C99" s="19"/>
      <c r="D99" s="19"/>
      <c r="E99" s="23">
        <f>IFERROR(__xludf.DUMMYFUNCTION("IFERROR(INDEX(QUERY(ENCUESTA_GESTION!$A$3:$H1000,""SELECT sum(H) WHERE B='""&amp;$D99&amp;""'   "",0),2),"""")"),0.0)</f>
        <v>0</v>
      </c>
      <c r="F99" s="40">
        <f>IFERROR(__xludf.DUMMYFUNCTION("IFERROR(INDEX(QUERY(ENCUESTA_REU!$A$3:$H1000,""SELECT sum(H) WHERE B='""&amp;$D99&amp;""'   "",0),2),"""")"),0.0)</f>
        <v>0</v>
      </c>
      <c r="G99" s="40">
        <f>IFERROR(__xludf.DUMMYFUNCTION("IFERROR(INDEX(QUERY(ENCUESTA_DER!$A$3:$H1000,""SELECT sum(H) WHERE B='""&amp;$D99&amp;""'   "",0),2),"""")"),0.0)</f>
        <v>0</v>
      </c>
      <c r="H99" s="41">
        <f t="shared" si="2"/>
        <v>0</v>
      </c>
      <c r="I99" s="42"/>
      <c r="J99" s="40"/>
      <c r="K99" s="43"/>
    </row>
    <row r="100" ht="15.75" customHeight="1">
      <c r="A100" s="19"/>
      <c r="B100" s="19"/>
      <c r="C100" s="19"/>
      <c r="D100" s="19"/>
      <c r="E100" s="23">
        <f>IFERROR(__xludf.DUMMYFUNCTION("IFERROR(INDEX(QUERY(ENCUESTA_GESTION!$A$3:$H1000,""SELECT sum(H) WHERE B='""&amp;$D100&amp;""'   "",0),2),"""")"),0.0)</f>
        <v>0</v>
      </c>
      <c r="F100" s="40">
        <f>IFERROR(__xludf.DUMMYFUNCTION("IFERROR(INDEX(QUERY(ENCUESTA_REU!$A$3:$H1000,""SELECT sum(H) WHERE B='""&amp;$D100&amp;""'   "",0),2),"""")"),0.0)</f>
        <v>0</v>
      </c>
      <c r="G100" s="40">
        <f>IFERROR(__xludf.DUMMYFUNCTION("IFERROR(INDEX(QUERY(ENCUESTA_DER!$A$3:$H1000,""SELECT sum(H) WHERE B='""&amp;$D100&amp;""'   "",0),2),"""")"),0.0)</f>
        <v>0</v>
      </c>
      <c r="H100" s="41">
        <f t="shared" si="2"/>
        <v>0</v>
      </c>
      <c r="I100" s="42"/>
      <c r="J100" s="40"/>
      <c r="K100" s="43"/>
    </row>
    <row r="101" ht="15.75" customHeight="1">
      <c r="A101" s="19"/>
      <c r="B101" s="19"/>
      <c r="C101" s="19"/>
      <c r="D101" s="19"/>
      <c r="E101" s="23">
        <f>IFERROR(__xludf.DUMMYFUNCTION("IFERROR(INDEX(QUERY(ENCUESTA_GESTION!$A$3:$H1000,""SELECT sum(H) WHERE B='""&amp;$D101&amp;""'   "",0),2),"""")"),0.0)</f>
        <v>0</v>
      </c>
      <c r="F101" s="40">
        <f>IFERROR(__xludf.DUMMYFUNCTION("IFERROR(INDEX(QUERY(ENCUESTA_REU!$A$3:$H1000,""SELECT sum(H) WHERE B='""&amp;$D101&amp;""'   "",0),2),"""")"),0.0)</f>
        <v>0</v>
      </c>
      <c r="G101" s="40">
        <f>IFERROR(__xludf.DUMMYFUNCTION("IFERROR(INDEX(QUERY(ENCUESTA_DER!$A$3:$H1000,""SELECT sum(H) WHERE B='""&amp;$D101&amp;""'   "",0),2),"""")"),0.0)</f>
        <v>0</v>
      </c>
      <c r="H101" s="41">
        <f t="shared" si="2"/>
        <v>0</v>
      </c>
      <c r="I101" s="42"/>
      <c r="J101" s="40"/>
      <c r="K101" s="43"/>
    </row>
    <row r="102" ht="15.75" customHeight="1">
      <c r="A102" s="19"/>
      <c r="B102" s="19"/>
      <c r="C102" s="19"/>
      <c r="D102" s="19"/>
      <c r="E102" s="23">
        <f>IFERROR(__xludf.DUMMYFUNCTION("IFERROR(INDEX(QUERY(ENCUESTA_GESTION!$A$3:$H1000,""SELECT sum(H) WHERE B='""&amp;$D102&amp;""'   "",0),2),"""")"),0.0)</f>
        <v>0</v>
      </c>
      <c r="F102" s="40">
        <f>IFERROR(__xludf.DUMMYFUNCTION("IFERROR(INDEX(QUERY(ENCUESTA_REU!$A$3:$H1000,""SELECT sum(H) WHERE B='""&amp;$D102&amp;""'   "",0),2),"""")"),0.0)</f>
        <v>0</v>
      </c>
      <c r="G102" s="40">
        <f>IFERROR(__xludf.DUMMYFUNCTION("IFERROR(INDEX(QUERY(ENCUESTA_DER!$A$3:$H1000,""SELECT sum(H) WHERE B='""&amp;$D102&amp;""'   "",0),2),"""")"),0.0)</f>
        <v>0</v>
      </c>
      <c r="H102" s="41">
        <f t="shared" si="2"/>
        <v>0</v>
      </c>
      <c r="I102" s="42"/>
      <c r="J102" s="40"/>
      <c r="K102" s="43"/>
    </row>
    <row r="103" ht="15.75" customHeight="1">
      <c r="A103" s="19"/>
      <c r="B103" s="19"/>
      <c r="C103" s="19"/>
      <c r="D103" s="19"/>
      <c r="E103" s="23">
        <f>IFERROR(__xludf.DUMMYFUNCTION("IFERROR(INDEX(QUERY(ENCUESTA_GESTION!$A$3:$H1000,""SELECT sum(H) WHERE B='""&amp;$D103&amp;""'   "",0),2),"""")"),0.0)</f>
        <v>0</v>
      </c>
      <c r="F103" s="40">
        <f>IFERROR(__xludf.DUMMYFUNCTION("IFERROR(INDEX(QUERY(ENCUESTA_REU!$A$3:$H1000,""SELECT sum(H) WHERE B='""&amp;$D103&amp;""'   "",0),2),"""")"),0.0)</f>
        <v>0</v>
      </c>
      <c r="G103" s="40">
        <f>IFERROR(__xludf.DUMMYFUNCTION("IFERROR(INDEX(QUERY(ENCUESTA_DER!$A$3:$H1000,""SELECT sum(H) WHERE B='""&amp;$D103&amp;""'   "",0),2),"""")"),0.0)</f>
        <v>0</v>
      </c>
      <c r="H103" s="41">
        <f t="shared" si="2"/>
        <v>0</v>
      </c>
      <c r="I103" s="42"/>
      <c r="J103" s="40"/>
      <c r="K103" s="43"/>
    </row>
    <row r="104" ht="15.75" customHeight="1">
      <c r="A104" s="19"/>
      <c r="B104" s="19"/>
      <c r="C104" s="19"/>
      <c r="D104" s="19"/>
      <c r="E104" s="23">
        <f>IFERROR(__xludf.DUMMYFUNCTION("IFERROR(INDEX(QUERY(ENCUESTA_GESTION!$A$3:$H1000,""SELECT sum(H) WHERE B='""&amp;$D104&amp;""'   "",0),2),"""")"),0.0)</f>
        <v>0</v>
      </c>
      <c r="F104" s="40">
        <f>IFERROR(__xludf.DUMMYFUNCTION("IFERROR(INDEX(QUERY(ENCUESTA_REU!$A$3:$H1000,""SELECT sum(H) WHERE B='""&amp;$D104&amp;""'   "",0),2),"""")"),0.0)</f>
        <v>0</v>
      </c>
      <c r="G104" s="40">
        <f>IFERROR(__xludf.DUMMYFUNCTION("IFERROR(INDEX(QUERY(ENCUESTA_DER!$A$3:$H1000,""SELECT sum(H) WHERE B='""&amp;$D104&amp;""'   "",0),2),"""")"),0.0)</f>
        <v>0</v>
      </c>
      <c r="H104" s="41">
        <f t="shared" si="2"/>
        <v>0</v>
      </c>
      <c r="I104" s="42"/>
      <c r="J104" s="40"/>
      <c r="K104" s="43"/>
    </row>
    <row r="105" ht="15.75" customHeight="1">
      <c r="A105" s="19"/>
      <c r="B105" s="19"/>
      <c r="C105" s="19"/>
      <c r="D105" s="19"/>
      <c r="E105" s="23">
        <f>IFERROR(__xludf.DUMMYFUNCTION("IFERROR(INDEX(QUERY(ENCUESTA_GESTION!$A$3:$H1000,""SELECT sum(H) WHERE B='""&amp;$D105&amp;""'   "",0),2),"""")"),0.0)</f>
        <v>0</v>
      </c>
      <c r="F105" s="40">
        <f>IFERROR(__xludf.DUMMYFUNCTION("IFERROR(INDEX(QUERY(ENCUESTA_REU!$A$3:$H1000,""SELECT sum(H) WHERE B='""&amp;$D105&amp;""'   "",0),2),"""")"),0.0)</f>
        <v>0</v>
      </c>
      <c r="G105" s="40">
        <f>IFERROR(__xludf.DUMMYFUNCTION("IFERROR(INDEX(QUERY(ENCUESTA_DER!$A$3:$H1000,""SELECT sum(H) WHERE B='""&amp;$D105&amp;""'   "",0),2),"""")"),0.0)</f>
        <v>0</v>
      </c>
      <c r="H105" s="41">
        <f t="shared" si="2"/>
        <v>0</v>
      </c>
      <c r="I105" s="42"/>
      <c r="J105" s="40"/>
      <c r="K105" s="43"/>
    </row>
    <row r="106" ht="15.75" customHeight="1">
      <c r="A106" s="19"/>
      <c r="B106" s="19"/>
      <c r="C106" s="19"/>
      <c r="D106" s="19"/>
      <c r="E106" s="23">
        <f>IFERROR(__xludf.DUMMYFUNCTION("IFERROR(INDEX(QUERY(ENCUESTA_GESTION!$A$3:$H1000,""SELECT sum(H) WHERE B='""&amp;$D106&amp;""'   "",0),2),"""")"),0.0)</f>
        <v>0</v>
      </c>
      <c r="F106" s="40">
        <f>IFERROR(__xludf.DUMMYFUNCTION("IFERROR(INDEX(QUERY(ENCUESTA_REU!$A$3:$H1000,""SELECT sum(H) WHERE B='""&amp;$D106&amp;""'   "",0),2),"""")"),0.0)</f>
        <v>0</v>
      </c>
      <c r="G106" s="40">
        <f>IFERROR(__xludf.DUMMYFUNCTION("IFERROR(INDEX(QUERY(ENCUESTA_DER!$A$3:$H1000,""SELECT sum(H) WHERE B='""&amp;$D106&amp;""'   "",0),2),"""")"),0.0)</f>
        <v>0</v>
      </c>
      <c r="H106" s="41">
        <f t="shared" si="2"/>
        <v>0</v>
      </c>
      <c r="I106" s="42"/>
      <c r="J106" s="40"/>
      <c r="K106" s="43"/>
    </row>
    <row r="107" ht="15.75" customHeight="1">
      <c r="A107" s="19"/>
      <c r="B107" s="19"/>
      <c r="C107" s="19"/>
      <c r="D107" s="19"/>
      <c r="E107" s="23">
        <f>IFERROR(__xludf.DUMMYFUNCTION("IFERROR(INDEX(QUERY(ENCUESTA_GESTION!$A$3:$H1000,""SELECT sum(H) WHERE B='""&amp;$D107&amp;""'   "",0),2),"""")"),0.0)</f>
        <v>0</v>
      </c>
      <c r="F107" s="40">
        <f>IFERROR(__xludf.DUMMYFUNCTION("IFERROR(INDEX(QUERY(ENCUESTA_REU!$A$3:$H1000,""SELECT sum(H) WHERE B='""&amp;$D107&amp;""'   "",0),2),"""")"),0.0)</f>
        <v>0</v>
      </c>
      <c r="G107" s="40">
        <f>IFERROR(__xludf.DUMMYFUNCTION("IFERROR(INDEX(QUERY(ENCUESTA_DER!$A$3:$H1000,""SELECT sum(H) WHERE B='""&amp;$D107&amp;""'   "",0),2),"""")"),0.0)</f>
        <v>0</v>
      </c>
      <c r="H107" s="41">
        <f t="shared" si="2"/>
        <v>0</v>
      </c>
      <c r="I107" s="42"/>
      <c r="J107" s="40"/>
      <c r="K107" s="43"/>
    </row>
    <row r="108" ht="15.75" customHeight="1">
      <c r="A108" s="19"/>
      <c r="B108" s="19"/>
      <c r="C108" s="19"/>
      <c r="D108" s="19"/>
      <c r="E108" s="23">
        <f>IFERROR(__xludf.DUMMYFUNCTION("IFERROR(INDEX(QUERY(ENCUESTA_GESTION!$A$3:$H1000,""SELECT sum(H) WHERE B='""&amp;$D108&amp;""'   "",0),2),"""")"),0.0)</f>
        <v>0</v>
      </c>
      <c r="F108" s="40">
        <f>IFERROR(__xludf.DUMMYFUNCTION("IFERROR(INDEX(QUERY(ENCUESTA_REU!$A$3:$H1000,""SELECT sum(H) WHERE B='""&amp;$D108&amp;""'   "",0),2),"""")"),0.0)</f>
        <v>0</v>
      </c>
      <c r="G108" s="40">
        <f>IFERROR(__xludf.DUMMYFUNCTION("IFERROR(INDEX(QUERY(ENCUESTA_DER!$A$3:$H1000,""SELECT sum(H) WHERE B='""&amp;$D108&amp;""'   "",0),2),"""")"),0.0)</f>
        <v>0</v>
      </c>
      <c r="H108" s="41">
        <f t="shared" si="2"/>
        <v>0</v>
      </c>
      <c r="I108" s="42"/>
      <c r="J108" s="40"/>
      <c r="K108" s="43"/>
    </row>
    <row r="109" ht="15.75" customHeight="1">
      <c r="A109" s="19"/>
      <c r="B109" s="19"/>
      <c r="C109" s="19"/>
      <c r="D109" s="19"/>
      <c r="E109" s="23">
        <f>IFERROR(__xludf.DUMMYFUNCTION("IFERROR(INDEX(QUERY(ENCUESTA_GESTION!$A$3:$H1000,""SELECT sum(H) WHERE B='""&amp;$D109&amp;""'   "",0),2),"""")"),0.0)</f>
        <v>0</v>
      </c>
      <c r="F109" s="40">
        <f>IFERROR(__xludf.DUMMYFUNCTION("IFERROR(INDEX(QUERY(ENCUESTA_REU!$A$3:$H1000,""SELECT sum(H) WHERE B='""&amp;$D109&amp;""'   "",0),2),"""")"),0.0)</f>
        <v>0</v>
      </c>
      <c r="G109" s="40">
        <f>IFERROR(__xludf.DUMMYFUNCTION("IFERROR(INDEX(QUERY(ENCUESTA_DER!$A$3:$H1000,""SELECT sum(H) WHERE B='""&amp;$D109&amp;""'   "",0),2),"""")"),0.0)</f>
        <v>0</v>
      </c>
      <c r="H109" s="41">
        <f t="shared" si="2"/>
        <v>0</v>
      </c>
      <c r="I109" s="42"/>
      <c r="J109" s="40"/>
      <c r="K109" s="43"/>
    </row>
    <row r="110" ht="15.75" customHeight="1">
      <c r="A110" s="19"/>
      <c r="B110" s="19"/>
      <c r="C110" s="19"/>
      <c r="D110" s="19"/>
      <c r="E110" s="23">
        <f>IFERROR(__xludf.DUMMYFUNCTION("IFERROR(INDEX(QUERY(ENCUESTA_GESTION!$A$3:$H1000,""SELECT sum(H) WHERE B='""&amp;$D110&amp;""'   "",0),2),"""")"),0.0)</f>
        <v>0</v>
      </c>
      <c r="F110" s="40">
        <f>IFERROR(__xludf.DUMMYFUNCTION("IFERROR(INDEX(QUERY(ENCUESTA_REU!$A$3:$H1000,""SELECT sum(H) WHERE B='""&amp;$D110&amp;""'   "",0),2),"""")"),0.0)</f>
        <v>0</v>
      </c>
      <c r="G110" s="40">
        <f>IFERROR(__xludf.DUMMYFUNCTION("IFERROR(INDEX(QUERY(ENCUESTA_DER!$A$3:$H1000,""SELECT sum(H) WHERE B='""&amp;$D110&amp;""'   "",0),2),"""")"),0.0)</f>
        <v>0</v>
      </c>
      <c r="H110" s="41">
        <f t="shared" si="2"/>
        <v>0</v>
      </c>
      <c r="I110" s="42"/>
      <c r="J110" s="40"/>
      <c r="K110" s="43"/>
    </row>
    <row r="111" ht="15.75" customHeight="1">
      <c r="A111" s="19"/>
      <c r="B111" s="19"/>
      <c r="C111" s="19"/>
      <c r="D111" s="19"/>
      <c r="E111" s="23">
        <f>IFERROR(__xludf.DUMMYFUNCTION("IFERROR(INDEX(QUERY(ENCUESTA_GESTION!$A$3:$H1000,""SELECT sum(H) WHERE B='""&amp;$D111&amp;""'   "",0),2),"""")"),0.0)</f>
        <v>0</v>
      </c>
      <c r="F111" s="40">
        <f>IFERROR(__xludf.DUMMYFUNCTION("IFERROR(INDEX(QUERY(ENCUESTA_REU!$A$3:$H1000,""SELECT sum(H) WHERE B='""&amp;$D111&amp;""'   "",0),2),"""")"),0.0)</f>
        <v>0</v>
      </c>
      <c r="G111" s="40">
        <f>IFERROR(__xludf.DUMMYFUNCTION("IFERROR(INDEX(QUERY(ENCUESTA_DER!$A$3:$H1000,""SELECT sum(H) WHERE B='""&amp;$D111&amp;""'   "",0),2),"""")"),0.0)</f>
        <v>0</v>
      </c>
      <c r="H111" s="41">
        <f t="shared" si="2"/>
        <v>0</v>
      </c>
      <c r="I111" s="42"/>
      <c r="J111" s="40"/>
      <c r="K111" s="43"/>
    </row>
    <row r="112" ht="15.75" customHeight="1">
      <c r="A112" s="19"/>
      <c r="B112" s="19"/>
      <c r="C112" s="19"/>
      <c r="D112" s="19"/>
      <c r="E112" s="23">
        <f>IFERROR(__xludf.DUMMYFUNCTION("IFERROR(INDEX(QUERY(ENCUESTA_GESTION!$A$3:$H1000,""SELECT sum(H) WHERE B='""&amp;$D112&amp;""'   "",0),2),"""")"),0.0)</f>
        <v>0</v>
      </c>
      <c r="F112" s="40">
        <f>IFERROR(__xludf.DUMMYFUNCTION("IFERROR(INDEX(QUERY(ENCUESTA_REU!$A$3:$H1000,""SELECT sum(H) WHERE B='""&amp;$D112&amp;""'   "",0),2),"""")"),0.0)</f>
        <v>0</v>
      </c>
      <c r="G112" s="40">
        <f>IFERROR(__xludf.DUMMYFUNCTION("IFERROR(INDEX(QUERY(ENCUESTA_DER!$A$3:$H1000,""SELECT sum(H) WHERE B='""&amp;$D112&amp;""'   "",0),2),"""")"),0.0)</f>
        <v>0</v>
      </c>
      <c r="H112" s="41">
        <f t="shared" si="2"/>
        <v>0</v>
      </c>
      <c r="I112" s="42"/>
      <c r="J112" s="40"/>
      <c r="K112" s="43"/>
    </row>
    <row r="113" ht="15.75" customHeight="1">
      <c r="A113" s="19"/>
      <c r="B113" s="19"/>
      <c r="C113" s="19"/>
      <c r="D113" s="19"/>
      <c r="E113" s="23">
        <f>IFERROR(__xludf.DUMMYFUNCTION("IFERROR(INDEX(QUERY(ENCUESTA_GESTION!$A$3:$H1000,""SELECT sum(H) WHERE B='""&amp;$D113&amp;""'   "",0),2),"""")"),0.0)</f>
        <v>0</v>
      </c>
      <c r="F113" s="40">
        <f>IFERROR(__xludf.DUMMYFUNCTION("IFERROR(INDEX(QUERY(ENCUESTA_REU!$A$3:$H1000,""SELECT sum(H) WHERE B='""&amp;$D113&amp;""'   "",0),2),"""")"),0.0)</f>
        <v>0</v>
      </c>
      <c r="G113" s="40">
        <f>IFERROR(__xludf.DUMMYFUNCTION("IFERROR(INDEX(QUERY(ENCUESTA_DER!$A$3:$H1000,""SELECT sum(H) WHERE B='""&amp;$D113&amp;""'   "",0),2),"""")"),0.0)</f>
        <v>0</v>
      </c>
      <c r="H113" s="41">
        <f t="shared" si="2"/>
        <v>0</v>
      </c>
      <c r="I113" s="42"/>
      <c r="J113" s="40"/>
      <c r="K113" s="43"/>
    </row>
    <row r="114" ht="15.75" customHeight="1">
      <c r="A114" s="19"/>
      <c r="B114" s="19"/>
      <c r="C114" s="19"/>
      <c r="D114" s="19"/>
      <c r="E114" s="23">
        <f>IFERROR(__xludf.DUMMYFUNCTION("IFERROR(INDEX(QUERY(ENCUESTA_GESTION!$A$3:$H1000,""SELECT sum(H) WHERE B='""&amp;$D114&amp;""'   "",0),2),"""")"),0.0)</f>
        <v>0</v>
      </c>
      <c r="F114" s="40">
        <f>IFERROR(__xludf.DUMMYFUNCTION("IFERROR(INDEX(QUERY(ENCUESTA_REU!$A$3:$H1000,""SELECT sum(H) WHERE B='""&amp;$D114&amp;""'   "",0),2),"""")"),0.0)</f>
        <v>0</v>
      </c>
      <c r="G114" s="40">
        <f>IFERROR(__xludf.DUMMYFUNCTION("IFERROR(INDEX(QUERY(ENCUESTA_DER!$A$3:$H1000,""SELECT sum(H) WHERE B='""&amp;$D114&amp;""'   "",0),2),"""")"),0.0)</f>
        <v>0</v>
      </c>
      <c r="H114" s="41">
        <f t="shared" si="2"/>
        <v>0</v>
      </c>
      <c r="I114" s="42"/>
      <c r="J114" s="40"/>
      <c r="K114" s="43"/>
    </row>
    <row r="115" ht="15.75" customHeight="1">
      <c r="A115" s="19"/>
      <c r="B115" s="19"/>
      <c r="C115" s="19"/>
      <c r="D115" s="19"/>
      <c r="E115" s="23">
        <f>IFERROR(__xludf.DUMMYFUNCTION("IFERROR(INDEX(QUERY(ENCUESTA_GESTION!$A$3:$H1000,""SELECT sum(H) WHERE B='""&amp;$D115&amp;""'   "",0),2),"""")"),0.0)</f>
        <v>0</v>
      </c>
      <c r="F115" s="40">
        <f>IFERROR(__xludf.DUMMYFUNCTION("IFERROR(INDEX(QUERY(ENCUESTA_REU!$A$3:$H1000,""SELECT sum(H) WHERE B='""&amp;$D115&amp;""'   "",0),2),"""")"),0.0)</f>
        <v>0</v>
      </c>
      <c r="G115" s="40">
        <f>IFERROR(__xludf.DUMMYFUNCTION("IFERROR(INDEX(QUERY(ENCUESTA_DER!$A$3:$H1000,""SELECT sum(H) WHERE B='""&amp;$D115&amp;""'   "",0),2),"""")"),0.0)</f>
        <v>0</v>
      </c>
      <c r="H115" s="41">
        <f t="shared" si="2"/>
        <v>0</v>
      </c>
      <c r="I115" s="42"/>
      <c r="J115" s="40"/>
      <c r="K115" s="43"/>
    </row>
    <row r="116" ht="15.75" customHeight="1">
      <c r="A116" s="19"/>
      <c r="B116" s="19"/>
      <c r="C116" s="19"/>
      <c r="D116" s="19"/>
      <c r="E116" s="23">
        <f>IFERROR(__xludf.DUMMYFUNCTION("IFERROR(INDEX(QUERY(ENCUESTA_GESTION!$A$3:$H1000,""SELECT sum(H) WHERE B='""&amp;$D116&amp;""'   "",0),2),"""")"),0.0)</f>
        <v>0</v>
      </c>
      <c r="F116" s="40">
        <f>IFERROR(__xludf.DUMMYFUNCTION("IFERROR(INDEX(QUERY(ENCUESTA_REU!$A$3:$H1000,""SELECT sum(H) WHERE B='""&amp;$D116&amp;""'   "",0),2),"""")"),0.0)</f>
        <v>0</v>
      </c>
      <c r="G116" s="40">
        <f>IFERROR(__xludf.DUMMYFUNCTION("IFERROR(INDEX(QUERY(ENCUESTA_DER!$A$3:$H1000,""SELECT sum(H) WHERE B='""&amp;$D116&amp;""'   "",0),2),"""")"),0.0)</f>
        <v>0</v>
      </c>
      <c r="H116" s="41">
        <f t="shared" si="2"/>
        <v>0</v>
      </c>
      <c r="I116" s="42"/>
      <c r="J116" s="40"/>
      <c r="K116" s="43"/>
    </row>
    <row r="117" ht="15.75" customHeight="1">
      <c r="A117" s="19"/>
      <c r="B117" s="19"/>
      <c r="C117" s="19"/>
      <c r="D117" s="19"/>
      <c r="E117" s="23">
        <f>IFERROR(__xludf.DUMMYFUNCTION("IFERROR(INDEX(QUERY(ENCUESTA_GESTION!$A$3:$H1000,""SELECT sum(H) WHERE B='""&amp;$D117&amp;""'   "",0),2),"""")"),0.0)</f>
        <v>0</v>
      </c>
      <c r="F117" s="40">
        <f>IFERROR(__xludf.DUMMYFUNCTION("IFERROR(INDEX(QUERY(ENCUESTA_REU!$A$3:$H1000,""SELECT sum(H) WHERE B='""&amp;$D117&amp;""'   "",0),2),"""")"),0.0)</f>
        <v>0</v>
      </c>
      <c r="G117" s="40">
        <f>IFERROR(__xludf.DUMMYFUNCTION("IFERROR(INDEX(QUERY(ENCUESTA_DER!$A$3:$H1000,""SELECT sum(H) WHERE B='""&amp;$D117&amp;""'   "",0),2),"""")"),0.0)</f>
        <v>0</v>
      </c>
      <c r="H117" s="41">
        <f t="shared" si="2"/>
        <v>0</v>
      </c>
      <c r="I117" s="42"/>
      <c r="J117" s="40"/>
      <c r="K117" s="43"/>
    </row>
    <row r="118" ht="15.75" customHeight="1">
      <c r="A118" s="19"/>
      <c r="B118" s="19"/>
      <c r="C118" s="19"/>
      <c r="D118" s="19"/>
      <c r="E118" s="23">
        <f>IFERROR(__xludf.DUMMYFUNCTION("IFERROR(INDEX(QUERY(ENCUESTA_GESTION!$A$3:$H1000,""SELECT sum(H) WHERE B='""&amp;$D118&amp;""'   "",0),2),"""")"),0.0)</f>
        <v>0</v>
      </c>
      <c r="F118" s="40">
        <f>IFERROR(__xludf.DUMMYFUNCTION("IFERROR(INDEX(QUERY(ENCUESTA_REU!$A$3:$H1000,""SELECT sum(H) WHERE B='""&amp;$D118&amp;""'   "",0),2),"""")"),0.0)</f>
        <v>0</v>
      </c>
      <c r="G118" s="40">
        <f>IFERROR(__xludf.DUMMYFUNCTION("IFERROR(INDEX(QUERY(ENCUESTA_DER!$A$3:$H1000,""SELECT sum(H) WHERE B='""&amp;$D118&amp;""'   "",0),2),"""")"),0.0)</f>
        <v>0</v>
      </c>
      <c r="H118" s="41">
        <f t="shared" si="2"/>
        <v>0</v>
      </c>
      <c r="I118" s="42"/>
      <c r="J118" s="40"/>
      <c r="K118" s="43"/>
    </row>
    <row r="119" ht="15.75" customHeight="1">
      <c r="A119" s="19"/>
      <c r="B119" s="19"/>
      <c r="C119" s="19"/>
      <c r="D119" s="19"/>
      <c r="E119" s="23">
        <f>IFERROR(__xludf.DUMMYFUNCTION("IFERROR(INDEX(QUERY(ENCUESTA_GESTION!$A$3:$H1000,""SELECT sum(H) WHERE B='""&amp;$D119&amp;""'   "",0),2),"""")"),0.0)</f>
        <v>0</v>
      </c>
      <c r="F119" s="40">
        <f>IFERROR(__xludf.DUMMYFUNCTION("IFERROR(INDEX(QUERY(ENCUESTA_REU!$A$3:$H1000,""SELECT sum(H) WHERE B='""&amp;$D119&amp;""'   "",0),2),"""")"),0.0)</f>
        <v>0</v>
      </c>
      <c r="G119" s="40">
        <f>IFERROR(__xludf.DUMMYFUNCTION("IFERROR(INDEX(QUERY(ENCUESTA_DER!$A$3:$H1000,""SELECT sum(H) WHERE B='""&amp;$D119&amp;""'   "",0),2),"""")"),0.0)</f>
        <v>0</v>
      </c>
      <c r="H119" s="41">
        <f t="shared" si="2"/>
        <v>0</v>
      </c>
      <c r="I119" s="42"/>
      <c r="J119" s="40"/>
      <c r="K119" s="43"/>
    </row>
    <row r="120" ht="15.75" customHeight="1">
      <c r="A120" s="19"/>
      <c r="B120" s="19"/>
      <c r="C120" s="19"/>
      <c r="D120" s="19"/>
      <c r="E120" s="23">
        <f>IFERROR(__xludf.DUMMYFUNCTION("IFERROR(INDEX(QUERY(ENCUESTA_GESTION!$A$3:$H1000,""SELECT sum(H) WHERE B='""&amp;$D120&amp;""'   "",0),2),"""")"),0.0)</f>
        <v>0</v>
      </c>
      <c r="F120" s="40">
        <f>IFERROR(__xludf.DUMMYFUNCTION("IFERROR(INDEX(QUERY(ENCUESTA_REU!$A$3:$H1000,""SELECT sum(H) WHERE B='""&amp;$D120&amp;""'   "",0),2),"""")"),0.0)</f>
        <v>0</v>
      </c>
      <c r="G120" s="40">
        <f>IFERROR(__xludf.DUMMYFUNCTION("IFERROR(INDEX(QUERY(ENCUESTA_DER!$A$3:$H1000,""SELECT sum(H) WHERE B='""&amp;$D120&amp;""'   "",0),2),"""")"),0.0)</f>
        <v>0</v>
      </c>
      <c r="H120" s="41">
        <f t="shared" si="2"/>
        <v>0</v>
      </c>
      <c r="I120" s="42"/>
      <c r="J120" s="40"/>
      <c r="K120" s="43"/>
    </row>
    <row r="121" ht="15.75" customHeight="1">
      <c r="A121" s="19"/>
      <c r="B121" s="19"/>
      <c r="C121" s="19"/>
      <c r="D121" s="19"/>
      <c r="E121" s="23">
        <f>IFERROR(__xludf.DUMMYFUNCTION("IFERROR(INDEX(QUERY(ENCUESTA_GESTION!$A$3:$H1000,""SELECT sum(H) WHERE B='""&amp;$D121&amp;""'   "",0),2),"""")"),0.0)</f>
        <v>0</v>
      </c>
      <c r="F121" s="40">
        <f>IFERROR(__xludf.DUMMYFUNCTION("IFERROR(INDEX(QUERY(ENCUESTA_REU!$A$3:$H1000,""SELECT sum(H) WHERE B='""&amp;$D121&amp;""'   "",0),2),"""")"),0.0)</f>
        <v>0</v>
      </c>
      <c r="G121" s="40">
        <f>IFERROR(__xludf.DUMMYFUNCTION("IFERROR(INDEX(QUERY(ENCUESTA_DER!$A$3:$H1000,""SELECT sum(H) WHERE B='""&amp;$D121&amp;""'   "",0),2),"""")"),0.0)</f>
        <v>0</v>
      </c>
      <c r="H121" s="41">
        <f t="shared" si="2"/>
        <v>0</v>
      </c>
      <c r="I121" s="42"/>
      <c r="J121" s="40"/>
      <c r="K121" s="43"/>
    </row>
    <row r="122" ht="15.75" customHeight="1">
      <c r="A122" s="19"/>
      <c r="B122" s="19"/>
      <c r="C122" s="19"/>
      <c r="D122" s="19"/>
      <c r="E122" s="23">
        <f>IFERROR(__xludf.DUMMYFUNCTION("IFERROR(INDEX(QUERY(ENCUESTA_GESTION!$A$3:$H1000,""SELECT sum(H) WHERE B='""&amp;$D122&amp;""'   "",0),2),"""")"),0.0)</f>
        <v>0</v>
      </c>
      <c r="F122" s="40">
        <f>IFERROR(__xludf.DUMMYFUNCTION("IFERROR(INDEX(QUERY(ENCUESTA_REU!$A$3:$H1000,""SELECT sum(H) WHERE B='""&amp;$D122&amp;""'   "",0),2),"""")"),0.0)</f>
        <v>0</v>
      </c>
      <c r="G122" s="40">
        <f>IFERROR(__xludf.DUMMYFUNCTION("IFERROR(INDEX(QUERY(ENCUESTA_DER!$A$3:$H1000,""SELECT sum(H) WHERE B='""&amp;$D122&amp;""'   "",0),2),"""")"),0.0)</f>
        <v>0</v>
      </c>
      <c r="H122" s="41">
        <f t="shared" si="2"/>
        <v>0</v>
      </c>
      <c r="I122" s="42"/>
      <c r="J122" s="40"/>
      <c r="K122" s="43"/>
    </row>
    <row r="123" ht="15.75" customHeight="1">
      <c r="A123" s="19"/>
      <c r="B123" s="19"/>
      <c r="C123" s="19"/>
      <c r="D123" s="19"/>
      <c r="E123" s="23">
        <f>IFERROR(__xludf.DUMMYFUNCTION("IFERROR(INDEX(QUERY(ENCUESTA_GESTION!$A$3:$H1000,""SELECT sum(H) WHERE B='""&amp;$D123&amp;""'   "",0),2),"""")"),0.0)</f>
        <v>0</v>
      </c>
      <c r="F123" s="40">
        <f>IFERROR(__xludf.DUMMYFUNCTION("IFERROR(INDEX(QUERY(ENCUESTA_REU!$A$3:$H1000,""SELECT sum(H) WHERE B='""&amp;$D123&amp;""'   "",0),2),"""")"),0.0)</f>
        <v>0</v>
      </c>
      <c r="G123" s="40">
        <f>IFERROR(__xludf.DUMMYFUNCTION("IFERROR(INDEX(QUERY(ENCUESTA_DER!$A$3:$H1000,""SELECT sum(H) WHERE B='""&amp;$D123&amp;""'   "",0),2),"""")"),0.0)</f>
        <v>0</v>
      </c>
      <c r="H123" s="41">
        <f t="shared" si="2"/>
        <v>0</v>
      </c>
      <c r="I123" s="42"/>
      <c r="J123" s="40"/>
      <c r="K123" s="43"/>
    </row>
    <row r="124" ht="15.75" customHeight="1">
      <c r="A124" s="44"/>
      <c r="B124" s="44"/>
      <c r="C124" s="44"/>
      <c r="D124" s="44"/>
      <c r="E124" s="44">
        <f>IFERROR(__xludf.DUMMYFUNCTION("IFERROR(INDEX(QUERY(ENCUESTA_GESTION!$A$3:$H1000,""SELECT sum(H) WHERE B='""&amp;$D124&amp;""'   "",0),2),"""")"),0.0)</f>
        <v>0</v>
      </c>
      <c r="F124" s="44">
        <f>IFERROR(__xludf.DUMMYFUNCTION("IFERROR(INDEX(QUERY(ENCUESTA_REU!$A$3:$H1000,""SELECT sum(H) WHERE B='""&amp;$D124&amp;""'   "",0),2),"""")"),0.0)</f>
        <v>0</v>
      </c>
      <c r="G124" s="44">
        <f>IFERROR(__xludf.DUMMYFUNCTION("IFERROR(INDEX(QUERY(ENCUESTA_DER!$A$3:$H1000,""SELECT sum(H) WHERE B='""&amp;$D124&amp;""'   "",0),2),"""")"),0.0)</f>
        <v>0</v>
      </c>
      <c r="H124" s="45">
        <f t="shared" si="2"/>
        <v>0</v>
      </c>
      <c r="I124" s="45"/>
      <c r="J124" s="44"/>
      <c r="K124" s="44"/>
    </row>
    <row r="125" ht="15.75" customHeight="1">
      <c r="A125" s="44"/>
      <c r="B125" s="44"/>
      <c r="C125" s="44"/>
      <c r="D125" s="44"/>
      <c r="E125" s="44">
        <f>IFERROR(__xludf.DUMMYFUNCTION("IFERROR(INDEX(QUERY(ENCUESTA_GESTION!$A$3:$H1000,""SELECT sum(H) WHERE B='""&amp;$D125&amp;""'   "",0),2),"""")"),0.0)</f>
        <v>0</v>
      </c>
      <c r="F125" s="44">
        <f>IFERROR(__xludf.DUMMYFUNCTION("IFERROR(INDEX(QUERY(ENCUESTA_REU!$A$3:$H1000,""SELECT sum(H) WHERE B='""&amp;$D125&amp;""'   "",0),2),"""")"),0.0)</f>
        <v>0</v>
      </c>
      <c r="G125" s="44">
        <f>IFERROR(__xludf.DUMMYFUNCTION("IFERROR(INDEX(QUERY(ENCUESTA_DER!$A$3:$H1000,""SELECT sum(H) WHERE B='""&amp;$D125&amp;""'   "",0),2),"""")"),0.0)</f>
        <v>0</v>
      </c>
      <c r="H125" s="45">
        <f t="shared" si="2"/>
        <v>0</v>
      </c>
      <c r="I125" s="45"/>
      <c r="J125" s="44"/>
      <c r="K125" s="44"/>
    </row>
    <row r="126" ht="15.75" customHeight="1">
      <c r="A126" s="44"/>
      <c r="B126" s="44"/>
      <c r="C126" s="44"/>
      <c r="D126" s="44"/>
      <c r="E126" s="44">
        <f>IFERROR(__xludf.DUMMYFUNCTION("IFERROR(INDEX(QUERY(ENCUESTA_GESTION!$A$3:$H1000,""SELECT sum(H) WHERE B='""&amp;$D126&amp;""'   "",0),2),"""")"),0.0)</f>
        <v>0</v>
      </c>
      <c r="F126" s="44">
        <f>IFERROR(__xludf.DUMMYFUNCTION("IFERROR(INDEX(QUERY(ENCUESTA_REU!$A$3:$H1000,""SELECT sum(H) WHERE B='""&amp;$D126&amp;""'   "",0),2),"""")"),0.0)</f>
        <v>0</v>
      </c>
      <c r="G126" s="44">
        <f>IFERROR(__xludf.DUMMYFUNCTION("IFERROR(INDEX(QUERY(ENCUESTA_DER!$A$3:$H1000,""SELECT sum(H) WHERE B='""&amp;$D126&amp;""'   "",0),2),"""")"),0.0)</f>
        <v>0</v>
      </c>
      <c r="H126" s="45">
        <f t="shared" si="2"/>
        <v>0</v>
      </c>
      <c r="I126" s="45"/>
      <c r="J126" s="44"/>
      <c r="K126" s="44"/>
    </row>
    <row r="127" ht="15.75" customHeight="1">
      <c r="A127" s="44"/>
      <c r="B127" s="44"/>
      <c r="C127" s="44"/>
      <c r="D127" s="44"/>
      <c r="E127" s="44">
        <f>IFERROR(__xludf.DUMMYFUNCTION("IFERROR(INDEX(QUERY(ENCUESTA_GESTION!$A$3:$H1000,""SELECT sum(H) WHERE B='""&amp;$D127&amp;""'   "",0),2),"""")"),0.0)</f>
        <v>0</v>
      </c>
      <c r="F127" s="44">
        <f>IFERROR(__xludf.DUMMYFUNCTION("IFERROR(INDEX(QUERY(ENCUESTA_REU!$A$3:$H1000,""SELECT sum(H) WHERE B='""&amp;$D127&amp;""'   "",0),2),"""")"),0.0)</f>
        <v>0</v>
      </c>
      <c r="G127" s="44">
        <f>IFERROR(__xludf.DUMMYFUNCTION("IFERROR(INDEX(QUERY(ENCUESTA_DER!$A$3:$H1000,""SELECT sum(H) WHERE B='""&amp;$D127&amp;""'   "",0),2),"""")"),0.0)</f>
        <v>0</v>
      </c>
      <c r="H127" s="45">
        <f t="shared" si="2"/>
        <v>0</v>
      </c>
      <c r="I127" s="45"/>
      <c r="J127" s="44"/>
      <c r="K127" s="44"/>
    </row>
    <row r="128" ht="15.75" customHeight="1">
      <c r="A128" s="44"/>
      <c r="B128" s="44"/>
      <c r="C128" s="44"/>
      <c r="D128" s="44"/>
      <c r="E128" s="44">
        <f>IFERROR(__xludf.DUMMYFUNCTION("IFERROR(INDEX(QUERY(ENCUESTA_GESTION!$A$3:$H1000,""SELECT sum(H) WHERE B='""&amp;$D128&amp;""'   "",0),2),"""")"),0.0)</f>
        <v>0</v>
      </c>
      <c r="F128" s="44">
        <f>IFERROR(__xludf.DUMMYFUNCTION("IFERROR(INDEX(QUERY(ENCUESTA_REU!$A$3:$H1000,""SELECT sum(H) WHERE B='""&amp;$D128&amp;""'   "",0),2),"""")"),0.0)</f>
        <v>0</v>
      </c>
      <c r="G128" s="44">
        <f>IFERROR(__xludf.DUMMYFUNCTION("IFERROR(INDEX(QUERY(ENCUESTA_DER!$A$3:$H1000,""SELECT sum(H) WHERE B='""&amp;$D128&amp;""'   "",0),2),"""")"),0.0)</f>
        <v>0</v>
      </c>
      <c r="H128" s="45">
        <f t="shared" si="2"/>
        <v>0</v>
      </c>
      <c r="I128" s="45"/>
      <c r="J128" s="44"/>
      <c r="K128" s="44"/>
    </row>
    <row r="129" ht="15.75" customHeight="1">
      <c r="A129" s="44"/>
      <c r="B129" s="44"/>
      <c r="C129" s="44"/>
      <c r="D129" s="44"/>
      <c r="E129" s="44">
        <f>IFERROR(__xludf.DUMMYFUNCTION("IFERROR(INDEX(QUERY(ENCUESTA_GESTION!$A$3:$H1000,""SELECT sum(H) WHERE B='""&amp;$D129&amp;""'   "",0),2),"""")"),0.0)</f>
        <v>0</v>
      </c>
      <c r="F129" s="44">
        <f>IFERROR(__xludf.DUMMYFUNCTION("IFERROR(INDEX(QUERY(ENCUESTA_REU!$A$3:$H1000,""SELECT sum(H) WHERE B='""&amp;$D129&amp;""'   "",0),2),"""")"),0.0)</f>
        <v>0</v>
      </c>
      <c r="G129" s="44">
        <f>IFERROR(__xludf.DUMMYFUNCTION("IFERROR(INDEX(QUERY(ENCUESTA_DER!$A$3:$H1000,""SELECT sum(H) WHERE B='""&amp;$D129&amp;""'   "",0),2),"""")"),0.0)</f>
        <v>0</v>
      </c>
      <c r="H129" s="45">
        <f t="shared" si="2"/>
        <v>0</v>
      </c>
      <c r="I129" s="45"/>
      <c r="J129" s="44"/>
      <c r="K129" s="44"/>
    </row>
    <row r="130" ht="15.75" customHeight="1">
      <c r="A130" s="44"/>
      <c r="B130" s="44"/>
      <c r="C130" s="44"/>
      <c r="D130" s="44"/>
      <c r="E130" s="44">
        <f>IFERROR(__xludf.DUMMYFUNCTION("IFERROR(INDEX(QUERY(ENCUESTA_GESTION!$A$3:$H1000,""SELECT sum(H) WHERE B='""&amp;$D130&amp;""'   "",0),2),"""")"),0.0)</f>
        <v>0</v>
      </c>
      <c r="F130" s="44">
        <f>IFERROR(__xludf.DUMMYFUNCTION("IFERROR(INDEX(QUERY(ENCUESTA_REU!$A$3:$H1000,""SELECT sum(H) WHERE B='""&amp;$D130&amp;""'   "",0),2),"""")"),0.0)</f>
        <v>0</v>
      </c>
      <c r="G130" s="44">
        <f>IFERROR(__xludf.DUMMYFUNCTION("IFERROR(INDEX(QUERY(ENCUESTA_DER!$A$3:$H1000,""SELECT sum(H) WHERE B='""&amp;$D130&amp;""'   "",0),2),"""")"),0.0)</f>
        <v>0</v>
      </c>
      <c r="H130" s="45">
        <f t="shared" si="2"/>
        <v>0</v>
      </c>
      <c r="I130" s="45"/>
      <c r="J130" s="44"/>
      <c r="K130" s="44"/>
    </row>
    <row r="131" ht="15.75" customHeight="1">
      <c r="A131" s="44"/>
      <c r="B131" s="44"/>
      <c r="C131" s="44"/>
      <c r="D131" s="44"/>
      <c r="E131" s="44">
        <f>IFERROR(__xludf.DUMMYFUNCTION("IFERROR(INDEX(QUERY(ENCUESTA_GESTION!$A$3:$H1000,""SELECT sum(H) WHERE B='""&amp;$D131&amp;""'   "",0),2),"""")"),0.0)</f>
        <v>0</v>
      </c>
      <c r="F131" s="44">
        <f>IFERROR(__xludf.DUMMYFUNCTION("IFERROR(INDEX(QUERY(ENCUESTA_REU!$A$3:$H1000,""SELECT sum(H) WHERE B='""&amp;$D131&amp;""'   "",0),2),"""")"),0.0)</f>
        <v>0</v>
      </c>
      <c r="G131" s="44">
        <f>IFERROR(__xludf.DUMMYFUNCTION("IFERROR(INDEX(QUERY(ENCUESTA_DER!$A$3:$H1000,""SELECT sum(H) WHERE B='""&amp;$D131&amp;""'   "",0),2),"""")"),0.0)</f>
        <v>0</v>
      </c>
      <c r="H131" s="45">
        <f t="shared" si="2"/>
        <v>0</v>
      </c>
      <c r="I131" s="45"/>
      <c r="J131" s="44"/>
      <c r="K131" s="44"/>
    </row>
    <row r="132" ht="15.75" customHeight="1">
      <c r="A132" s="44"/>
      <c r="B132" s="44"/>
      <c r="C132" s="44"/>
      <c r="D132" s="44"/>
      <c r="E132" s="44">
        <f>IFERROR(__xludf.DUMMYFUNCTION("IFERROR(INDEX(QUERY(ENCUESTA_GESTION!$A$3:$H1000,""SELECT sum(H) WHERE B='""&amp;$D132&amp;""'   "",0),2),"""")"),0.0)</f>
        <v>0</v>
      </c>
      <c r="F132" s="44">
        <f>IFERROR(__xludf.DUMMYFUNCTION("IFERROR(INDEX(QUERY(ENCUESTA_REU!$A$3:$H1000,""SELECT sum(H) WHERE B='""&amp;$D132&amp;""'   "",0),2),"""")"),0.0)</f>
        <v>0</v>
      </c>
      <c r="G132" s="44">
        <f>IFERROR(__xludf.DUMMYFUNCTION("IFERROR(INDEX(QUERY(ENCUESTA_DER!$A$3:$H1000,""SELECT sum(H) WHERE B='""&amp;$D132&amp;""'   "",0),2),"""")"),0.0)</f>
        <v>0</v>
      </c>
      <c r="H132" s="45">
        <f t="shared" si="2"/>
        <v>0</v>
      </c>
      <c r="I132" s="45"/>
      <c r="J132" s="44"/>
      <c r="K132" s="44"/>
    </row>
    <row r="133" ht="15.75" customHeight="1">
      <c r="A133" s="44"/>
      <c r="B133" s="44"/>
      <c r="C133" s="44"/>
      <c r="D133" s="44"/>
      <c r="E133" s="44">
        <f>IFERROR(__xludf.DUMMYFUNCTION("IFERROR(INDEX(QUERY(ENCUESTA_GESTION!$A$3:$H1000,""SELECT sum(H) WHERE B='""&amp;$D133&amp;""'   "",0),2),"""")"),0.0)</f>
        <v>0</v>
      </c>
      <c r="F133" s="44">
        <f>IFERROR(__xludf.DUMMYFUNCTION("IFERROR(INDEX(QUERY(ENCUESTA_REU!$A$3:$H1000,""SELECT sum(H) WHERE B='""&amp;$D133&amp;""'   "",0),2),"""")"),0.0)</f>
        <v>0</v>
      </c>
      <c r="G133" s="44">
        <f>IFERROR(__xludf.DUMMYFUNCTION("IFERROR(INDEX(QUERY(ENCUESTA_DER!$A$3:$H1000,""SELECT sum(H) WHERE B='""&amp;$D133&amp;""'   "",0),2),"""")"),0.0)</f>
        <v>0</v>
      </c>
      <c r="H133" s="45">
        <f t="shared" si="2"/>
        <v>0</v>
      </c>
      <c r="I133" s="45"/>
      <c r="J133" s="44"/>
      <c r="K133" s="44"/>
    </row>
    <row r="134" ht="15.75" customHeight="1">
      <c r="A134" s="44"/>
      <c r="B134" s="44"/>
      <c r="C134" s="44"/>
      <c r="D134" s="44"/>
      <c r="E134" s="44">
        <f>IFERROR(__xludf.DUMMYFUNCTION("IFERROR(INDEX(QUERY(ENCUESTA_GESTION!$A$3:$H1000,""SELECT sum(H) WHERE B='""&amp;$D134&amp;""'   "",0),2),"""")"),0.0)</f>
        <v>0</v>
      </c>
      <c r="F134" s="44">
        <f>IFERROR(__xludf.DUMMYFUNCTION("IFERROR(INDEX(QUERY(ENCUESTA_REU!$A$3:$H1000,""SELECT sum(H) WHERE B='""&amp;$D134&amp;""'   "",0),2),"""")"),0.0)</f>
        <v>0</v>
      </c>
      <c r="G134" s="44">
        <f>IFERROR(__xludf.DUMMYFUNCTION("IFERROR(INDEX(QUERY(ENCUESTA_DER!$A$3:$H1000,""SELECT sum(H) WHERE B='""&amp;$D134&amp;""'   "",0),2),"""")"),0.0)</f>
        <v>0</v>
      </c>
      <c r="H134" s="45">
        <f t="shared" si="2"/>
        <v>0</v>
      </c>
      <c r="I134" s="45"/>
      <c r="J134" s="44"/>
      <c r="K134" s="44"/>
    </row>
    <row r="135" ht="15.75" customHeight="1">
      <c r="A135" s="44"/>
      <c r="B135" s="44"/>
      <c r="C135" s="44"/>
      <c r="D135" s="44"/>
      <c r="E135" s="44">
        <f>IFERROR(__xludf.DUMMYFUNCTION("IFERROR(INDEX(QUERY(ENCUESTA_GESTION!$A$3:$H1000,""SELECT sum(H) WHERE B='""&amp;$D135&amp;""'   "",0),2),"""")"),0.0)</f>
        <v>0</v>
      </c>
      <c r="F135" s="44">
        <f>IFERROR(__xludf.DUMMYFUNCTION("IFERROR(INDEX(QUERY(ENCUESTA_REU!$A$3:$H1000,""SELECT sum(H) WHERE B='""&amp;$D135&amp;""'   "",0),2),"""")"),0.0)</f>
        <v>0</v>
      </c>
      <c r="G135" s="44">
        <f>IFERROR(__xludf.DUMMYFUNCTION("IFERROR(INDEX(QUERY(ENCUESTA_DER!$A$3:$H1000,""SELECT sum(H) WHERE B='""&amp;$D135&amp;""'   "",0),2),"""")"),0.0)</f>
        <v>0</v>
      </c>
      <c r="H135" s="45">
        <f t="shared" si="2"/>
        <v>0</v>
      </c>
      <c r="I135" s="45"/>
      <c r="J135" s="44"/>
      <c r="K135" s="44"/>
    </row>
    <row r="136" ht="15.75" customHeight="1">
      <c r="A136" s="44"/>
      <c r="B136" s="44"/>
      <c r="C136" s="44"/>
      <c r="D136" s="44"/>
      <c r="E136" s="44">
        <f>IFERROR(__xludf.DUMMYFUNCTION("IFERROR(INDEX(QUERY(ENCUESTA_GESTION!$A$3:$H1000,""SELECT sum(H) WHERE B='""&amp;$D136&amp;""'   "",0),2),"""")"),0.0)</f>
        <v>0</v>
      </c>
      <c r="F136" s="44">
        <f>IFERROR(__xludf.DUMMYFUNCTION("IFERROR(INDEX(QUERY(ENCUESTA_REU!$A$3:$H1000,""SELECT sum(H) WHERE B='""&amp;$D136&amp;""'   "",0),2),"""")"),0.0)</f>
        <v>0</v>
      </c>
      <c r="G136" s="44">
        <f>IFERROR(__xludf.DUMMYFUNCTION("IFERROR(INDEX(QUERY(ENCUESTA_DER!$A$3:$H1000,""SELECT sum(H) WHERE B='""&amp;$D136&amp;""'   "",0),2),"""")"),0.0)</f>
        <v>0</v>
      </c>
      <c r="H136" s="45">
        <f t="shared" si="2"/>
        <v>0</v>
      </c>
      <c r="I136" s="45"/>
      <c r="J136" s="44"/>
      <c r="K136" s="44"/>
    </row>
    <row r="137" ht="15.75" customHeight="1">
      <c r="A137" s="44"/>
      <c r="B137" s="44"/>
      <c r="C137" s="44"/>
      <c r="D137" s="44"/>
      <c r="E137" s="44">
        <f>IFERROR(__xludf.DUMMYFUNCTION("IFERROR(INDEX(QUERY(ENCUESTA_GESTION!$A$3:$H1000,""SELECT sum(H) WHERE B='""&amp;$D137&amp;""'   "",0),2),"""")"),0.0)</f>
        <v>0</v>
      </c>
      <c r="F137" s="44">
        <f>IFERROR(__xludf.DUMMYFUNCTION("IFERROR(INDEX(QUERY(ENCUESTA_REU!$A$3:$H1000,""SELECT sum(H) WHERE B='""&amp;$D137&amp;""'   "",0),2),"""")"),0.0)</f>
        <v>0</v>
      </c>
      <c r="G137" s="44">
        <f>IFERROR(__xludf.DUMMYFUNCTION("IFERROR(INDEX(QUERY(ENCUESTA_DER!$A$3:$H1000,""SELECT sum(H) WHERE B='""&amp;$D137&amp;""'   "",0),2),"""")"),0.0)</f>
        <v>0</v>
      </c>
      <c r="H137" s="45">
        <f t="shared" si="2"/>
        <v>0</v>
      </c>
      <c r="I137" s="45"/>
      <c r="J137" s="44"/>
      <c r="K137" s="44"/>
    </row>
    <row r="138" ht="15.75" customHeight="1">
      <c r="A138" s="44"/>
      <c r="B138" s="44"/>
      <c r="C138" s="44"/>
      <c r="D138" s="44"/>
      <c r="E138" s="44">
        <f>IFERROR(__xludf.DUMMYFUNCTION("IFERROR(INDEX(QUERY(ENCUESTA_GESTION!$A$3:$H1000,""SELECT sum(H) WHERE B='""&amp;$D138&amp;""'   "",0),2),"""")"),0.0)</f>
        <v>0</v>
      </c>
      <c r="F138" s="44">
        <f>IFERROR(__xludf.DUMMYFUNCTION("IFERROR(INDEX(QUERY(ENCUESTA_REU!$A$3:$H1000,""SELECT sum(H) WHERE B='""&amp;$D138&amp;""'   "",0),2),"""")"),0.0)</f>
        <v>0</v>
      </c>
      <c r="G138" s="44">
        <f>IFERROR(__xludf.DUMMYFUNCTION("IFERROR(INDEX(QUERY(ENCUESTA_DER!$A$3:$H1000,""SELECT sum(H) WHERE B='""&amp;$D138&amp;""'   "",0),2),"""")"),0.0)</f>
        <v>0</v>
      </c>
      <c r="H138" s="45">
        <f t="shared" si="2"/>
        <v>0</v>
      </c>
      <c r="I138" s="45"/>
      <c r="J138" s="44"/>
      <c r="K138" s="44"/>
    </row>
    <row r="139" ht="15.75" customHeight="1">
      <c r="A139" s="44"/>
      <c r="B139" s="44"/>
      <c r="C139" s="44"/>
      <c r="D139" s="44"/>
      <c r="E139" s="44">
        <f>IFERROR(__xludf.DUMMYFUNCTION("IFERROR(INDEX(QUERY(ENCUESTA_GESTION!$A$3:$H1000,""SELECT sum(H) WHERE B='""&amp;$D139&amp;""'   "",0),2),"""")"),0.0)</f>
        <v>0</v>
      </c>
      <c r="F139" s="44">
        <f>IFERROR(__xludf.DUMMYFUNCTION("IFERROR(INDEX(QUERY(ENCUESTA_REU!$A$3:$H1000,""SELECT sum(H) WHERE B='""&amp;$D139&amp;""'   "",0),2),"""")"),0.0)</f>
        <v>0</v>
      </c>
      <c r="G139" s="44">
        <f>IFERROR(__xludf.DUMMYFUNCTION("IFERROR(INDEX(QUERY(ENCUESTA_DER!$A$3:$H1000,""SELECT sum(H) WHERE B='""&amp;$D139&amp;""'   "",0),2),"""")"),0.0)</f>
        <v>0</v>
      </c>
      <c r="H139" s="45">
        <f t="shared" si="2"/>
        <v>0</v>
      </c>
      <c r="I139" s="45"/>
      <c r="J139" s="44"/>
      <c r="K139" s="44"/>
    </row>
    <row r="140" ht="15.75" customHeight="1">
      <c r="A140" s="44"/>
      <c r="B140" s="44"/>
      <c r="C140" s="44"/>
      <c r="D140" s="44"/>
      <c r="E140" s="44">
        <f>IFERROR(__xludf.DUMMYFUNCTION("IFERROR(INDEX(QUERY(ENCUESTA_GESTION!$A$3:$H1000,""SELECT sum(H) WHERE B='""&amp;$D140&amp;""'   "",0),2),"""")"),0.0)</f>
        <v>0</v>
      </c>
      <c r="F140" s="44">
        <f>IFERROR(__xludf.DUMMYFUNCTION("IFERROR(INDEX(QUERY(ENCUESTA_REU!$A$3:$H1000,""SELECT sum(H) WHERE B='""&amp;$D140&amp;""'   "",0),2),"""")"),0.0)</f>
        <v>0</v>
      </c>
      <c r="G140" s="44">
        <f>IFERROR(__xludf.DUMMYFUNCTION("IFERROR(INDEX(QUERY(ENCUESTA_DER!$A$3:$H1000,""SELECT sum(H) WHERE B='""&amp;$D140&amp;""'   "",0),2),"""")"),0.0)</f>
        <v>0</v>
      </c>
      <c r="H140" s="45">
        <f t="shared" si="2"/>
        <v>0</v>
      </c>
      <c r="I140" s="45"/>
      <c r="J140" s="44"/>
      <c r="K140" s="44"/>
    </row>
    <row r="141" ht="15.75" customHeight="1">
      <c r="A141" s="44"/>
      <c r="B141" s="44"/>
      <c r="C141" s="44"/>
      <c r="D141" s="44"/>
      <c r="E141" s="44">
        <f>IFERROR(__xludf.DUMMYFUNCTION("IFERROR(INDEX(QUERY(ENCUESTA_GESTION!$A$3:$H1000,""SELECT sum(H) WHERE B='""&amp;$D141&amp;""'   "",0),2),"""")"),0.0)</f>
        <v>0</v>
      </c>
      <c r="F141" s="44">
        <f>IFERROR(__xludf.DUMMYFUNCTION("IFERROR(INDEX(QUERY(ENCUESTA_REU!$A$3:$H1000,""SELECT sum(H) WHERE B='""&amp;$D141&amp;""'   "",0),2),"""")"),0.0)</f>
        <v>0</v>
      </c>
      <c r="G141" s="44">
        <f>IFERROR(__xludf.DUMMYFUNCTION("IFERROR(INDEX(QUERY(ENCUESTA_DER!$A$3:$H1000,""SELECT sum(H) WHERE B='""&amp;$D141&amp;""'   "",0),2),"""")"),0.0)</f>
        <v>0</v>
      </c>
      <c r="H141" s="45">
        <f t="shared" si="2"/>
        <v>0</v>
      </c>
      <c r="I141" s="45"/>
      <c r="J141" s="44"/>
      <c r="K141" s="44"/>
    </row>
    <row r="142" ht="15.75" customHeight="1">
      <c r="A142" s="44"/>
      <c r="B142" s="44"/>
      <c r="C142" s="44"/>
      <c r="D142" s="44"/>
      <c r="E142" s="44">
        <f>IFERROR(__xludf.DUMMYFUNCTION("IFERROR(INDEX(QUERY(ENCUESTA_GESTION!$A$3:$H1000,""SELECT sum(H) WHERE B='""&amp;$D142&amp;""'   "",0),2),"""")"),0.0)</f>
        <v>0</v>
      </c>
      <c r="F142" s="44">
        <f>IFERROR(__xludf.DUMMYFUNCTION("IFERROR(INDEX(QUERY(ENCUESTA_REU!$A$3:$H1000,""SELECT sum(H) WHERE B='""&amp;$D142&amp;""'   "",0),2),"""")"),0.0)</f>
        <v>0</v>
      </c>
      <c r="G142" s="44">
        <f>IFERROR(__xludf.DUMMYFUNCTION("IFERROR(INDEX(QUERY(ENCUESTA_DER!$A$3:$H1000,""SELECT sum(H) WHERE B='""&amp;$D142&amp;""'   "",0),2),"""")"),0.0)</f>
        <v>0</v>
      </c>
      <c r="H142" s="45">
        <f t="shared" si="2"/>
        <v>0</v>
      </c>
      <c r="I142" s="45"/>
      <c r="J142" s="44"/>
      <c r="K142" s="44"/>
    </row>
    <row r="143" ht="15.75" customHeight="1">
      <c r="A143" s="44"/>
      <c r="B143" s="44"/>
      <c r="C143" s="44"/>
      <c r="D143" s="44"/>
      <c r="E143" s="44">
        <f>IFERROR(__xludf.DUMMYFUNCTION("IFERROR(INDEX(QUERY(ENCUESTA_GESTION!$A$3:$H1000,""SELECT sum(H) WHERE B='""&amp;$D143&amp;""'   "",0),2),"""")"),0.0)</f>
        <v>0</v>
      </c>
      <c r="F143" s="44">
        <f>IFERROR(__xludf.DUMMYFUNCTION("IFERROR(INDEX(QUERY(ENCUESTA_REU!$A$3:$H1000,""SELECT sum(H) WHERE B='""&amp;$D143&amp;""'   "",0),2),"""")"),0.0)</f>
        <v>0</v>
      </c>
      <c r="G143" s="44">
        <f>IFERROR(__xludf.DUMMYFUNCTION("IFERROR(INDEX(QUERY(ENCUESTA_DER!$A$3:$H1000,""SELECT sum(H) WHERE B='""&amp;$D143&amp;""'   "",0),2),"""")"),0.0)</f>
        <v>0</v>
      </c>
      <c r="H143" s="45">
        <f t="shared" si="2"/>
        <v>0</v>
      </c>
      <c r="I143" s="45"/>
      <c r="J143" s="44"/>
      <c r="K143" s="44"/>
    </row>
    <row r="144" ht="15.75" customHeight="1">
      <c r="A144" s="44"/>
      <c r="B144" s="44"/>
      <c r="C144" s="44"/>
      <c r="D144" s="44"/>
      <c r="E144" s="44">
        <f>IFERROR(__xludf.DUMMYFUNCTION("IFERROR(INDEX(QUERY(ENCUESTA_GESTION!$A$3:$H1000,""SELECT sum(H) WHERE B='""&amp;$D144&amp;""'   "",0),2),"""")"),0.0)</f>
        <v>0</v>
      </c>
      <c r="F144" s="44">
        <f>IFERROR(__xludf.DUMMYFUNCTION("IFERROR(INDEX(QUERY(ENCUESTA_REU!$A$3:$H1000,""SELECT sum(H) WHERE B='""&amp;$D144&amp;""'   "",0),2),"""")"),0.0)</f>
        <v>0</v>
      </c>
      <c r="G144" s="44">
        <f>IFERROR(__xludf.DUMMYFUNCTION("IFERROR(INDEX(QUERY(ENCUESTA_DER!$A$3:$H1000,""SELECT sum(H) WHERE B='""&amp;$D144&amp;""'   "",0),2),"""")"),0.0)</f>
        <v>0</v>
      </c>
      <c r="H144" s="45">
        <f t="shared" si="2"/>
        <v>0</v>
      </c>
      <c r="I144" s="45"/>
      <c r="J144" s="44"/>
      <c r="K144" s="44"/>
    </row>
    <row r="145" ht="15.75" customHeight="1">
      <c r="A145" s="44"/>
      <c r="B145" s="44"/>
      <c r="C145" s="44"/>
      <c r="D145" s="44"/>
      <c r="E145" s="44">
        <f>IFERROR(__xludf.DUMMYFUNCTION("IFERROR(INDEX(QUERY(ENCUESTA_GESTION!$A$3:$H1000,""SELECT sum(H) WHERE B='""&amp;$D145&amp;""'   "",0),2),"""")"),0.0)</f>
        <v>0</v>
      </c>
      <c r="F145" s="44">
        <f>IFERROR(__xludf.DUMMYFUNCTION("IFERROR(INDEX(QUERY(ENCUESTA_REU!$A$3:$H1000,""SELECT sum(H) WHERE B='""&amp;$D145&amp;""'   "",0),2),"""")"),0.0)</f>
        <v>0</v>
      </c>
      <c r="G145" s="44">
        <f>IFERROR(__xludf.DUMMYFUNCTION("IFERROR(INDEX(QUERY(ENCUESTA_DER!$A$3:$H1000,""SELECT sum(H) WHERE B='""&amp;$D145&amp;""'   "",0),2),"""")"),0.0)</f>
        <v>0</v>
      </c>
      <c r="H145" s="45">
        <f t="shared" si="2"/>
        <v>0</v>
      </c>
      <c r="I145" s="45"/>
      <c r="J145" s="44"/>
      <c r="K145" s="44"/>
    </row>
    <row r="146" ht="15.75" customHeight="1">
      <c r="A146" s="44"/>
      <c r="B146" s="44"/>
      <c r="C146" s="44"/>
      <c r="D146" s="44"/>
      <c r="E146" s="44">
        <f>IFERROR(__xludf.DUMMYFUNCTION("IFERROR(INDEX(QUERY(ENCUESTA_GESTION!$A$3:$H1000,""SELECT sum(H) WHERE B='""&amp;$D146&amp;""'   "",0),2),"""")"),0.0)</f>
        <v>0</v>
      </c>
      <c r="F146" s="44">
        <f>IFERROR(__xludf.DUMMYFUNCTION("IFERROR(INDEX(QUERY(ENCUESTA_REU!$A$3:$H1000,""SELECT sum(H) WHERE B='""&amp;$D146&amp;""'   "",0),2),"""")"),0.0)</f>
        <v>0</v>
      </c>
      <c r="G146" s="44">
        <f>IFERROR(__xludf.DUMMYFUNCTION("IFERROR(INDEX(QUERY(ENCUESTA_DER!$A$3:$H1000,""SELECT sum(H) WHERE B='""&amp;$D146&amp;""'   "",0),2),"""")"),0.0)</f>
        <v>0</v>
      </c>
      <c r="H146" s="45">
        <f t="shared" si="2"/>
        <v>0</v>
      </c>
      <c r="I146" s="45"/>
      <c r="J146" s="44"/>
      <c r="K146" s="44"/>
    </row>
    <row r="147" ht="15.75" customHeight="1">
      <c r="A147" s="44"/>
      <c r="B147" s="44"/>
      <c r="C147" s="44"/>
      <c r="D147" s="44"/>
      <c r="E147" s="44">
        <f>IFERROR(__xludf.DUMMYFUNCTION("IFERROR(INDEX(QUERY(ENCUESTA_GESTION!$A$3:$H1000,""SELECT sum(H) WHERE B='""&amp;$D147&amp;""'   "",0),2),"""")"),0.0)</f>
        <v>0</v>
      </c>
      <c r="F147" s="44">
        <f>IFERROR(__xludf.DUMMYFUNCTION("IFERROR(INDEX(QUERY(ENCUESTA_REU!$A$3:$H1000,""SELECT sum(H) WHERE B='""&amp;$D147&amp;""'   "",0),2),"""")"),0.0)</f>
        <v>0</v>
      </c>
      <c r="G147" s="44">
        <f>IFERROR(__xludf.DUMMYFUNCTION("IFERROR(INDEX(QUERY(ENCUESTA_DER!$A$3:$H1000,""SELECT sum(H) WHERE B='""&amp;$D147&amp;""'   "",0),2),"""")"),0.0)</f>
        <v>0</v>
      </c>
      <c r="H147" s="45">
        <f t="shared" si="2"/>
        <v>0</v>
      </c>
      <c r="I147" s="45"/>
      <c r="J147" s="44"/>
      <c r="K147" s="44"/>
    </row>
    <row r="148" ht="15.75" customHeight="1">
      <c r="A148" s="44"/>
      <c r="B148" s="44"/>
      <c r="C148" s="44"/>
      <c r="D148" s="44"/>
      <c r="E148" s="44">
        <f>IFERROR(__xludf.DUMMYFUNCTION("IFERROR(INDEX(QUERY(ENCUESTA_GESTION!$A$3:$H1000,""SELECT sum(H) WHERE B='""&amp;$D148&amp;""'   "",0),2),"""")"),0.0)</f>
        <v>0</v>
      </c>
      <c r="F148" s="44">
        <f>IFERROR(__xludf.DUMMYFUNCTION("IFERROR(INDEX(QUERY(ENCUESTA_REU!$A$3:$H1000,""SELECT sum(H) WHERE B='""&amp;$D148&amp;""'   "",0),2),"""")"),0.0)</f>
        <v>0</v>
      </c>
      <c r="G148" s="44">
        <f>IFERROR(__xludf.DUMMYFUNCTION("IFERROR(INDEX(QUERY(ENCUESTA_DER!$A$3:$H1000,""SELECT sum(H) WHERE B='""&amp;$D148&amp;""'   "",0),2),"""")"),0.0)</f>
        <v>0</v>
      </c>
      <c r="H148" s="45">
        <f t="shared" si="2"/>
        <v>0</v>
      </c>
      <c r="I148" s="45"/>
      <c r="J148" s="44"/>
      <c r="K148" s="44"/>
    </row>
    <row r="149" ht="15.75" customHeight="1">
      <c r="A149" s="44"/>
      <c r="B149" s="44"/>
      <c r="C149" s="44"/>
      <c r="D149" s="44"/>
      <c r="E149" s="44">
        <f>IFERROR(__xludf.DUMMYFUNCTION("IFERROR(INDEX(QUERY(ENCUESTA_GESTION!$A$3:$H1000,""SELECT sum(H) WHERE B='""&amp;$D149&amp;""'   "",0),2),"""")"),0.0)</f>
        <v>0</v>
      </c>
      <c r="F149" s="44">
        <f>IFERROR(__xludf.DUMMYFUNCTION("IFERROR(INDEX(QUERY(ENCUESTA_REU!$A$3:$H1000,""SELECT sum(H) WHERE B='""&amp;$D149&amp;""'   "",0),2),"""")"),0.0)</f>
        <v>0</v>
      </c>
      <c r="G149" s="44">
        <f>IFERROR(__xludf.DUMMYFUNCTION("IFERROR(INDEX(QUERY(ENCUESTA_DER!$A$3:$H1000,""SELECT sum(H) WHERE B='""&amp;$D149&amp;""'   "",0),2),"""")"),0.0)</f>
        <v>0</v>
      </c>
      <c r="H149" s="45">
        <f t="shared" si="2"/>
        <v>0</v>
      </c>
      <c r="I149" s="45"/>
      <c r="J149" s="44"/>
      <c r="K149" s="44"/>
    </row>
    <row r="150" ht="15.75" customHeight="1">
      <c r="A150" s="44"/>
      <c r="B150" s="44"/>
      <c r="C150" s="44"/>
      <c r="D150" s="44"/>
      <c r="E150" s="44">
        <f>IFERROR(__xludf.DUMMYFUNCTION("IFERROR(INDEX(QUERY(ENCUESTA_GESTION!$A$3:$H1000,""SELECT sum(H) WHERE B='""&amp;$D150&amp;""'   "",0),2),"""")"),0.0)</f>
        <v>0</v>
      </c>
      <c r="F150" s="44">
        <f>IFERROR(__xludf.DUMMYFUNCTION("IFERROR(INDEX(QUERY(ENCUESTA_REU!$A$3:$H1000,""SELECT sum(H) WHERE B='""&amp;$D150&amp;""'   "",0),2),"""")"),0.0)</f>
        <v>0</v>
      </c>
      <c r="G150" s="44">
        <f>IFERROR(__xludf.DUMMYFUNCTION("IFERROR(INDEX(QUERY(ENCUESTA_DER!$A$3:$H1000,""SELECT sum(H) WHERE B='""&amp;$D150&amp;""'   "",0),2),"""")"),0.0)</f>
        <v>0</v>
      </c>
      <c r="H150" s="45">
        <f t="shared" si="2"/>
        <v>0</v>
      </c>
      <c r="I150" s="45"/>
      <c r="J150" s="44"/>
      <c r="K150" s="44"/>
    </row>
    <row r="151" ht="15.75" customHeight="1">
      <c r="A151" s="44"/>
      <c r="B151" s="44"/>
      <c r="C151" s="44"/>
      <c r="D151" s="44"/>
      <c r="E151" s="44">
        <f>IFERROR(__xludf.DUMMYFUNCTION("IFERROR(INDEX(QUERY(ENCUESTA_GESTION!$A$3:$H1000,""SELECT sum(H) WHERE B='""&amp;$D151&amp;""'   "",0),2),"""")"),0.0)</f>
        <v>0</v>
      </c>
      <c r="F151" s="44">
        <f>IFERROR(__xludf.DUMMYFUNCTION("IFERROR(INDEX(QUERY(ENCUESTA_REU!$A$3:$H1000,""SELECT sum(H) WHERE B='""&amp;$D151&amp;""'   "",0),2),"""")"),0.0)</f>
        <v>0</v>
      </c>
      <c r="G151" s="44">
        <f>IFERROR(__xludf.DUMMYFUNCTION("IFERROR(INDEX(QUERY(ENCUESTA_DER!$A$3:$H1000,""SELECT sum(H) WHERE B='""&amp;$D151&amp;""'   "",0),2),"""")"),0.0)</f>
        <v>0</v>
      </c>
      <c r="H151" s="45">
        <f t="shared" si="2"/>
        <v>0</v>
      </c>
      <c r="I151" s="45"/>
      <c r="J151" s="44"/>
      <c r="K151" s="44"/>
    </row>
    <row r="152" ht="15.75" customHeight="1">
      <c r="A152" s="44"/>
      <c r="B152" s="44"/>
      <c r="C152" s="44"/>
      <c r="D152" s="44"/>
      <c r="E152" s="44">
        <f>IFERROR(__xludf.DUMMYFUNCTION("IFERROR(INDEX(QUERY(ENCUESTA_GESTION!$A$3:$H1000,""SELECT sum(H) WHERE B='""&amp;$D152&amp;""'   "",0),2),"""")"),0.0)</f>
        <v>0</v>
      </c>
      <c r="F152" s="44">
        <f>IFERROR(__xludf.DUMMYFUNCTION("IFERROR(INDEX(QUERY(ENCUESTA_REU!$A$3:$H1000,""SELECT sum(H) WHERE B='""&amp;$D152&amp;""'   "",0),2),"""")"),0.0)</f>
        <v>0</v>
      </c>
      <c r="G152" s="44">
        <f>IFERROR(__xludf.DUMMYFUNCTION("IFERROR(INDEX(QUERY(ENCUESTA_DER!$A$3:$H1000,""SELECT sum(H) WHERE B='""&amp;$D152&amp;""'   "",0),2),"""")"),0.0)</f>
        <v>0</v>
      </c>
      <c r="H152" s="45">
        <f t="shared" si="2"/>
        <v>0</v>
      </c>
      <c r="I152" s="45"/>
      <c r="J152" s="44"/>
      <c r="K152" s="44"/>
    </row>
    <row r="153" ht="15.75" customHeight="1">
      <c r="A153" s="44"/>
      <c r="B153" s="44"/>
      <c r="C153" s="44"/>
      <c r="D153" s="44"/>
      <c r="E153" s="44">
        <f>IFERROR(__xludf.DUMMYFUNCTION("IFERROR(INDEX(QUERY(ENCUESTA_GESTION!$A$3:$H1000,""SELECT sum(H) WHERE B='""&amp;$D153&amp;""'   "",0),2),"""")"),0.0)</f>
        <v>0</v>
      </c>
      <c r="F153" s="44">
        <f>IFERROR(__xludf.DUMMYFUNCTION("IFERROR(INDEX(QUERY(ENCUESTA_REU!$A$3:$H1000,""SELECT sum(H) WHERE B='""&amp;$D153&amp;""'   "",0),2),"""")"),0.0)</f>
        <v>0</v>
      </c>
      <c r="G153" s="44">
        <f>IFERROR(__xludf.DUMMYFUNCTION("IFERROR(INDEX(QUERY(ENCUESTA_DER!$A$3:$H1000,""SELECT sum(H) WHERE B='""&amp;$D153&amp;""'   "",0),2),"""")"),0.0)</f>
        <v>0</v>
      </c>
      <c r="H153" s="45">
        <f t="shared" si="2"/>
        <v>0</v>
      </c>
      <c r="I153" s="45"/>
      <c r="J153" s="44"/>
      <c r="K153" s="44"/>
    </row>
    <row r="154" ht="15.75" customHeight="1">
      <c r="A154" s="44"/>
      <c r="B154" s="44"/>
      <c r="C154" s="44"/>
      <c r="D154" s="44"/>
      <c r="E154" s="44">
        <f>IFERROR(__xludf.DUMMYFUNCTION("IFERROR(INDEX(QUERY(ENCUESTA_GESTION!$A$3:$H1000,""SELECT sum(H) WHERE B='""&amp;$D154&amp;""'   "",0),2),"""")"),0.0)</f>
        <v>0</v>
      </c>
      <c r="F154" s="44">
        <f>IFERROR(__xludf.DUMMYFUNCTION("IFERROR(INDEX(QUERY(ENCUESTA_REU!$A$3:$H1000,""SELECT sum(H) WHERE B='""&amp;$D154&amp;""'   "",0),2),"""")"),0.0)</f>
        <v>0</v>
      </c>
      <c r="G154" s="44">
        <f>IFERROR(__xludf.DUMMYFUNCTION("IFERROR(INDEX(QUERY(ENCUESTA_DER!$A$3:$H1000,""SELECT sum(H) WHERE B='""&amp;$D154&amp;""'   "",0),2),"""")"),0.0)</f>
        <v>0</v>
      </c>
      <c r="H154" s="45">
        <f t="shared" si="2"/>
        <v>0</v>
      </c>
      <c r="I154" s="45"/>
      <c r="J154" s="44"/>
      <c r="K154" s="44"/>
    </row>
    <row r="155" ht="15.75" customHeight="1">
      <c r="A155" s="44"/>
      <c r="B155" s="44"/>
      <c r="C155" s="44"/>
      <c r="D155" s="44"/>
      <c r="E155" s="44">
        <f>IFERROR(__xludf.DUMMYFUNCTION("IFERROR(INDEX(QUERY(ENCUESTA_GESTION!$A$3:$H1000,""SELECT sum(H) WHERE B='""&amp;$D155&amp;""'   "",0),2),"""")"),0.0)</f>
        <v>0</v>
      </c>
      <c r="F155" s="44">
        <f>IFERROR(__xludf.DUMMYFUNCTION("IFERROR(INDEX(QUERY(ENCUESTA_REU!$A$3:$H1000,""SELECT sum(H) WHERE B='""&amp;$D155&amp;""'   "",0),2),"""")"),0.0)</f>
        <v>0</v>
      </c>
      <c r="G155" s="44">
        <f>IFERROR(__xludf.DUMMYFUNCTION("IFERROR(INDEX(QUERY(ENCUESTA_DER!$A$3:$H1000,""SELECT sum(H) WHERE B='""&amp;$D155&amp;""'   "",0),2),"""")"),0.0)</f>
        <v>0</v>
      </c>
      <c r="H155" s="45">
        <f t="shared" si="2"/>
        <v>0</v>
      </c>
      <c r="I155" s="45"/>
      <c r="J155" s="44"/>
      <c r="K155" s="44"/>
    </row>
    <row r="156" ht="15.75" customHeight="1">
      <c r="A156" s="44"/>
      <c r="B156" s="44"/>
      <c r="C156" s="44"/>
      <c r="D156" s="44"/>
      <c r="E156" s="44">
        <f>IFERROR(__xludf.DUMMYFUNCTION("IFERROR(INDEX(QUERY(ENCUESTA_GESTION!$A$3:$H1000,""SELECT sum(H) WHERE B='""&amp;$D156&amp;""'   "",0),2),"""")"),0.0)</f>
        <v>0</v>
      </c>
      <c r="F156" s="44">
        <f>IFERROR(__xludf.DUMMYFUNCTION("IFERROR(INDEX(QUERY(ENCUESTA_REU!$A$3:$H1000,""SELECT sum(H) WHERE B='""&amp;$D156&amp;""'   "",0),2),"""")"),0.0)</f>
        <v>0</v>
      </c>
      <c r="G156" s="44">
        <f>IFERROR(__xludf.DUMMYFUNCTION("IFERROR(INDEX(QUERY(ENCUESTA_DER!$A$3:$H1000,""SELECT sum(H) WHERE B='""&amp;$D156&amp;""'   "",0),2),"""")"),0.0)</f>
        <v>0</v>
      </c>
      <c r="H156" s="45">
        <f t="shared" si="2"/>
        <v>0</v>
      </c>
      <c r="I156" s="45"/>
      <c r="J156" s="44"/>
      <c r="K156" s="44"/>
    </row>
    <row r="157" ht="15.75" customHeight="1">
      <c r="A157" s="44"/>
      <c r="B157" s="44"/>
      <c r="C157" s="44"/>
      <c r="D157" s="44"/>
      <c r="E157" s="44">
        <f>IFERROR(__xludf.DUMMYFUNCTION("IFERROR(INDEX(QUERY(ENCUESTA_GESTION!$A$3:$H1000,""SELECT sum(H) WHERE B='""&amp;$D157&amp;""'   "",0),2),"""")"),0.0)</f>
        <v>0</v>
      </c>
      <c r="F157" s="44">
        <f>IFERROR(__xludf.DUMMYFUNCTION("IFERROR(INDEX(QUERY(ENCUESTA_REU!$A$3:$H1000,""SELECT sum(H) WHERE B='""&amp;$D157&amp;""'   "",0),2),"""")"),0.0)</f>
        <v>0</v>
      </c>
      <c r="G157" s="44">
        <f>IFERROR(__xludf.DUMMYFUNCTION("IFERROR(INDEX(QUERY(ENCUESTA_DER!$A$3:$H1000,""SELECT sum(H) WHERE B='""&amp;$D157&amp;""'   "",0),2),"""")"),0.0)</f>
        <v>0</v>
      </c>
      <c r="H157" s="45">
        <f t="shared" si="2"/>
        <v>0</v>
      </c>
      <c r="I157" s="45"/>
      <c r="J157" s="44"/>
      <c r="K157" s="44"/>
    </row>
    <row r="158" ht="15.75" customHeight="1">
      <c r="A158" s="44"/>
      <c r="B158" s="44"/>
      <c r="C158" s="44"/>
      <c r="D158" s="44"/>
      <c r="E158" s="44">
        <f>IFERROR(__xludf.DUMMYFUNCTION("IFERROR(INDEX(QUERY(ENCUESTA_GESTION!$A$3:$H1000,""SELECT sum(H) WHERE B='""&amp;$D158&amp;""'   "",0),2),"""")"),0.0)</f>
        <v>0</v>
      </c>
      <c r="F158" s="44">
        <f>IFERROR(__xludf.DUMMYFUNCTION("IFERROR(INDEX(QUERY(ENCUESTA_REU!$A$3:$H1000,""SELECT sum(H) WHERE B='""&amp;$D158&amp;""'   "",0),2),"""")"),0.0)</f>
        <v>0</v>
      </c>
      <c r="G158" s="44">
        <f>IFERROR(__xludf.DUMMYFUNCTION("IFERROR(INDEX(QUERY(ENCUESTA_DER!$A$3:$H1000,""SELECT sum(H) WHERE B='""&amp;$D158&amp;""'   "",0),2),"""")"),0.0)</f>
        <v>0</v>
      </c>
      <c r="H158" s="45">
        <f t="shared" si="2"/>
        <v>0</v>
      </c>
      <c r="I158" s="45"/>
      <c r="J158" s="44"/>
      <c r="K158" s="44"/>
    </row>
    <row r="159" ht="15.75" customHeight="1">
      <c r="A159" s="44"/>
      <c r="B159" s="44"/>
      <c r="C159" s="44"/>
      <c r="D159" s="44"/>
      <c r="E159" s="44">
        <f>IFERROR(__xludf.DUMMYFUNCTION("IFERROR(INDEX(QUERY(ENCUESTA_GESTION!$A$3:$H1000,""SELECT sum(H) WHERE B='""&amp;$D159&amp;""'   "",0),2),"""")"),0.0)</f>
        <v>0</v>
      </c>
      <c r="F159" s="44">
        <f>IFERROR(__xludf.DUMMYFUNCTION("IFERROR(INDEX(QUERY(ENCUESTA_REU!$A$3:$H1000,""SELECT sum(H) WHERE B='""&amp;$D159&amp;""'   "",0),2),"""")"),0.0)</f>
        <v>0</v>
      </c>
      <c r="G159" s="44">
        <f>IFERROR(__xludf.DUMMYFUNCTION("IFERROR(INDEX(QUERY(ENCUESTA_DER!$A$3:$H1000,""SELECT sum(H) WHERE B='""&amp;$D159&amp;""'   "",0),2),"""")"),0.0)</f>
        <v>0</v>
      </c>
      <c r="H159" s="45">
        <f t="shared" si="2"/>
        <v>0</v>
      </c>
      <c r="I159" s="45"/>
      <c r="J159" s="44"/>
      <c r="K159" s="44"/>
    </row>
    <row r="160" ht="15.75" customHeight="1">
      <c r="A160" s="44"/>
      <c r="B160" s="44"/>
      <c r="C160" s="44"/>
      <c r="D160" s="44"/>
      <c r="E160" s="44">
        <f>IFERROR(__xludf.DUMMYFUNCTION("IFERROR(INDEX(QUERY(ENCUESTA_GESTION!$A$3:$H1000,""SELECT sum(H) WHERE B='""&amp;$D160&amp;""'   "",0),2),"""")"),0.0)</f>
        <v>0</v>
      </c>
      <c r="F160" s="44">
        <f>IFERROR(__xludf.DUMMYFUNCTION("IFERROR(INDEX(QUERY(ENCUESTA_REU!$A$3:$H1000,""SELECT sum(H) WHERE B='""&amp;$D160&amp;""'   "",0),2),"""")"),0.0)</f>
        <v>0</v>
      </c>
      <c r="G160" s="44">
        <f>IFERROR(__xludf.DUMMYFUNCTION("IFERROR(INDEX(QUERY(ENCUESTA_DER!$A$3:$H1000,""SELECT sum(H) WHERE B='""&amp;$D160&amp;""'   "",0),2),"""")"),0.0)</f>
        <v>0</v>
      </c>
      <c r="H160" s="45">
        <f t="shared" si="2"/>
        <v>0</v>
      </c>
      <c r="I160" s="45"/>
      <c r="J160" s="44"/>
      <c r="K160" s="44"/>
    </row>
    <row r="161" ht="15.75" customHeight="1">
      <c r="A161" s="44"/>
      <c r="B161" s="44"/>
      <c r="C161" s="44"/>
      <c r="D161" s="44"/>
      <c r="E161" s="44">
        <f>IFERROR(__xludf.DUMMYFUNCTION("IFERROR(INDEX(QUERY(ENCUESTA_GESTION!$A$3:$H1000,""SELECT sum(H) WHERE B='""&amp;$D161&amp;""'   "",0),2),"""")"),0.0)</f>
        <v>0</v>
      </c>
      <c r="F161" s="44">
        <f>IFERROR(__xludf.DUMMYFUNCTION("IFERROR(INDEX(QUERY(ENCUESTA_REU!$A$3:$H1000,""SELECT sum(H) WHERE B='""&amp;$D161&amp;""'   "",0),2),"""")"),0.0)</f>
        <v>0</v>
      </c>
      <c r="G161" s="44">
        <f>IFERROR(__xludf.DUMMYFUNCTION("IFERROR(INDEX(QUERY(ENCUESTA_DER!$A$3:$H1000,""SELECT sum(H) WHERE B='""&amp;$D161&amp;""'   "",0),2),"""")"),0.0)</f>
        <v>0</v>
      </c>
      <c r="H161" s="45">
        <f t="shared" si="2"/>
        <v>0</v>
      </c>
      <c r="I161" s="45"/>
      <c r="J161" s="44"/>
      <c r="K161" s="44"/>
    </row>
    <row r="162" ht="15.75" customHeight="1">
      <c r="A162" s="44"/>
      <c r="B162" s="44"/>
      <c r="C162" s="44"/>
      <c r="D162" s="44"/>
      <c r="E162" s="44">
        <f>IFERROR(__xludf.DUMMYFUNCTION("IFERROR(INDEX(QUERY(ENCUESTA_GESTION!$A$3:$H1000,""SELECT sum(H) WHERE B='""&amp;$D162&amp;""'   "",0),2),"""")"),0.0)</f>
        <v>0</v>
      </c>
      <c r="F162" s="44">
        <f>IFERROR(__xludf.DUMMYFUNCTION("IFERROR(INDEX(QUERY(ENCUESTA_REU!$A$3:$H1000,""SELECT sum(H) WHERE B='""&amp;$D162&amp;""'   "",0),2),"""")"),0.0)</f>
        <v>0</v>
      </c>
      <c r="G162" s="44">
        <f>IFERROR(__xludf.DUMMYFUNCTION("IFERROR(INDEX(QUERY(ENCUESTA_DER!$A$3:$H1000,""SELECT sum(H) WHERE B='""&amp;$D162&amp;""'   "",0),2),"""")"),0.0)</f>
        <v>0</v>
      </c>
      <c r="H162" s="45">
        <f t="shared" si="2"/>
        <v>0</v>
      </c>
      <c r="I162" s="45"/>
      <c r="J162" s="44"/>
      <c r="K162" s="44"/>
    </row>
    <row r="163" ht="15.75" customHeight="1">
      <c r="A163" s="44"/>
      <c r="B163" s="44"/>
      <c r="C163" s="44"/>
      <c r="D163" s="44"/>
      <c r="E163" s="44">
        <f>IFERROR(__xludf.DUMMYFUNCTION("IFERROR(INDEX(QUERY(ENCUESTA_GESTION!$A$3:$H1000,""SELECT sum(H) WHERE B='""&amp;$D163&amp;""'   "",0),2),"""")"),0.0)</f>
        <v>0</v>
      </c>
      <c r="F163" s="44">
        <f>IFERROR(__xludf.DUMMYFUNCTION("IFERROR(INDEX(QUERY(ENCUESTA_REU!$A$3:$H1000,""SELECT sum(H) WHERE B='""&amp;$D163&amp;""'   "",0),2),"""")"),0.0)</f>
        <v>0</v>
      </c>
      <c r="G163" s="44">
        <f>IFERROR(__xludf.DUMMYFUNCTION("IFERROR(INDEX(QUERY(ENCUESTA_DER!$A$3:$H1000,""SELECT sum(H) WHERE B='""&amp;$D163&amp;""'   "",0),2),"""")"),0.0)</f>
        <v>0</v>
      </c>
      <c r="H163" s="45">
        <f t="shared" si="2"/>
        <v>0</v>
      </c>
      <c r="I163" s="45"/>
      <c r="J163" s="44"/>
      <c r="K163" s="44"/>
    </row>
    <row r="164" ht="15.75" customHeight="1">
      <c r="A164" s="44"/>
      <c r="B164" s="44"/>
      <c r="C164" s="44"/>
      <c r="D164" s="44"/>
      <c r="E164" s="44">
        <f>IFERROR(__xludf.DUMMYFUNCTION("IFERROR(INDEX(QUERY(ENCUESTA_GESTION!$A$3:$H1000,""SELECT sum(H) WHERE B='""&amp;$D164&amp;""'   "",0),2),"""")"),0.0)</f>
        <v>0</v>
      </c>
      <c r="F164" s="44">
        <f>IFERROR(__xludf.DUMMYFUNCTION("IFERROR(INDEX(QUERY(ENCUESTA_REU!$A$3:$H1000,""SELECT sum(H) WHERE B='""&amp;$D164&amp;""'   "",0),2),"""")"),0.0)</f>
        <v>0</v>
      </c>
      <c r="G164" s="44">
        <f>IFERROR(__xludf.DUMMYFUNCTION("IFERROR(INDEX(QUERY(ENCUESTA_DER!$A$3:$H1000,""SELECT sum(H) WHERE B='""&amp;$D164&amp;""'   "",0),2),"""")"),0.0)</f>
        <v>0</v>
      </c>
      <c r="H164" s="45">
        <f t="shared" si="2"/>
        <v>0</v>
      </c>
      <c r="I164" s="45"/>
      <c r="J164" s="44"/>
      <c r="K164" s="44"/>
    </row>
    <row r="165" ht="15.75" customHeight="1">
      <c r="A165" s="44"/>
      <c r="B165" s="44"/>
      <c r="C165" s="44"/>
      <c r="D165" s="44"/>
      <c r="E165" s="44">
        <f>IFERROR(__xludf.DUMMYFUNCTION("IFERROR(INDEX(QUERY(ENCUESTA_GESTION!$A$3:$H1000,""SELECT sum(H) WHERE B='""&amp;$D165&amp;""'   "",0),2),"""")"),0.0)</f>
        <v>0</v>
      </c>
      <c r="F165" s="44">
        <f>IFERROR(__xludf.DUMMYFUNCTION("IFERROR(INDEX(QUERY(ENCUESTA_REU!$A$3:$H1000,""SELECT sum(H) WHERE B='""&amp;$D165&amp;""'   "",0),2),"""")"),0.0)</f>
        <v>0</v>
      </c>
      <c r="G165" s="44">
        <f>IFERROR(__xludf.DUMMYFUNCTION("IFERROR(INDEX(QUERY(ENCUESTA_DER!$A$3:$H1000,""SELECT sum(H) WHERE B='""&amp;$D165&amp;""'   "",0),2),"""")"),0.0)</f>
        <v>0</v>
      </c>
      <c r="H165" s="45">
        <f t="shared" si="2"/>
        <v>0</v>
      </c>
      <c r="I165" s="45"/>
      <c r="J165" s="44"/>
      <c r="K165" s="44"/>
    </row>
    <row r="166" ht="15.75" customHeight="1">
      <c r="A166" s="44"/>
      <c r="B166" s="44"/>
      <c r="C166" s="44"/>
      <c r="D166" s="44"/>
      <c r="E166" s="44">
        <f>IFERROR(__xludf.DUMMYFUNCTION("IFERROR(INDEX(QUERY(ENCUESTA_GESTION!$A$3:$H1000,""SELECT sum(H) WHERE B='""&amp;$D166&amp;""'   "",0),2),"""")"),0.0)</f>
        <v>0</v>
      </c>
      <c r="F166" s="44">
        <f>IFERROR(__xludf.DUMMYFUNCTION("IFERROR(INDEX(QUERY(ENCUESTA_REU!$A$3:$H1000,""SELECT sum(H) WHERE B='""&amp;$D166&amp;""'   "",0),2),"""")"),0.0)</f>
        <v>0</v>
      </c>
      <c r="G166" s="44">
        <f>IFERROR(__xludf.DUMMYFUNCTION("IFERROR(INDEX(QUERY(ENCUESTA_DER!$A$3:$H1000,""SELECT sum(H) WHERE B='""&amp;$D166&amp;""'   "",0),2),"""")"),0.0)</f>
        <v>0</v>
      </c>
      <c r="H166" s="45">
        <f t="shared" si="2"/>
        <v>0</v>
      </c>
      <c r="I166" s="45"/>
      <c r="J166" s="44"/>
      <c r="K166" s="44"/>
    </row>
    <row r="167" ht="15.75" customHeight="1">
      <c r="A167" s="44"/>
      <c r="B167" s="44"/>
      <c r="C167" s="44"/>
      <c r="D167" s="44"/>
      <c r="E167" s="44">
        <f>IFERROR(__xludf.DUMMYFUNCTION("IFERROR(INDEX(QUERY(ENCUESTA_GESTION!$A$3:$H1000,""SELECT sum(H) WHERE B='""&amp;$D167&amp;""'   "",0),2),"""")"),0.0)</f>
        <v>0</v>
      </c>
      <c r="F167" s="44">
        <f>IFERROR(__xludf.DUMMYFUNCTION("IFERROR(INDEX(QUERY(ENCUESTA_REU!$A$3:$H1000,""SELECT sum(H) WHERE B='""&amp;$D167&amp;""'   "",0),2),"""")"),0.0)</f>
        <v>0</v>
      </c>
      <c r="G167" s="44">
        <f>IFERROR(__xludf.DUMMYFUNCTION("IFERROR(INDEX(QUERY(ENCUESTA_DER!$A$3:$H1000,""SELECT sum(H) WHERE B='""&amp;$D167&amp;""'   "",0),2),"""")"),0.0)</f>
        <v>0</v>
      </c>
      <c r="H167" s="45">
        <f t="shared" si="2"/>
        <v>0</v>
      </c>
      <c r="I167" s="45"/>
      <c r="J167" s="44"/>
      <c r="K167" s="44"/>
    </row>
    <row r="168" ht="15.75" customHeight="1">
      <c r="A168" s="44"/>
      <c r="B168" s="44"/>
      <c r="C168" s="44"/>
      <c r="D168" s="44"/>
      <c r="E168" s="44">
        <f>IFERROR(__xludf.DUMMYFUNCTION("IFERROR(INDEX(QUERY(ENCUESTA_GESTION!$A$3:$H1000,""SELECT sum(H) WHERE B='""&amp;$D168&amp;""'   "",0),2),"""")"),0.0)</f>
        <v>0</v>
      </c>
      <c r="F168" s="44">
        <f>IFERROR(__xludf.DUMMYFUNCTION("IFERROR(INDEX(QUERY(ENCUESTA_REU!$A$3:$H1000,""SELECT sum(H) WHERE B='""&amp;$D168&amp;""'   "",0),2),"""")"),0.0)</f>
        <v>0</v>
      </c>
      <c r="G168" s="44">
        <f>IFERROR(__xludf.DUMMYFUNCTION("IFERROR(INDEX(QUERY(ENCUESTA_DER!$A$3:$H1000,""SELECT sum(H) WHERE B='""&amp;$D168&amp;""'   "",0),2),"""")"),0.0)</f>
        <v>0</v>
      </c>
      <c r="H168" s="45">
        <f t="shared" si="2"/>
        <v>0</v>
      </c>
      <c r="I168" s="45"/>
      <c r="J168" s="44"/>
      <c r="K168" s="44"/>
    </row>
    <row r="169" ht="15.75" customHeight="1">
      <c r="A169" s="44"/>
      <c r="B169" s="44"/>
      <c r="C169" s="44"/>
      <c r="D169" s="44"/>
      <c r="E169" s="44">
        <f>IFERROR(__xludf.DUMMYFUNCTION("IFERROR(INDEX(QUERY(ENCUESTA_GESTION!$A$3:$H1000,""SELECT sum(H) WHERE B='""&amp;$D169&amp;""'   "",0),2),"""")"),0.0)</f>
        <v>0</v>
      </c>
      <c r="F169" s="44">
        <f>IFERROR(__xludf.DUMMYFUNCTION("IFERROR(INDEX(QUERY(ENCUESTA_REU!$A$3:$H1000,""SELECT sum(H) WHERE B='""&amp;$D169&amp;""'   "",0),2),"""")"),0.0)</f>
        <v>0</v>
      </c>
      <c r="G169" s="44">
        <f>IFERROR(__xludf.DUMMYFUNCTION("IFERROR(INDEX(QUERY(ENCUESTA_DER!$A$3:$H1000,""SELECT sum(H) WHERE B='""&amp;$D169&amp;""'   "",0),2),"""")"),0.0)</f>
        <v>0</v>
      </c>
      <c r="H169" s="45">
        <f t="shared" si="2"/>
        <v>0</v>
      </c>
      <c r="I169" s="45"/>
      <c r="J169" s="44"/>
      <c r="K169" s="44"/>
    </row>
    <row r="170" ht="15.75" customHeight="1">
      <c r="A170" s="44"/>
      <c r="B170" s="44"/>
      <c r="C170" s="44"/>
      <c r="D170" s="44"/>
      <c r="E170" s="44">
        <f>IFERROR(__xludf.DUMMYFUNCTION("IFERROR(INDEX(QUERY(ENCUESTA_GESTION!$A$3:$H1000,""SELECT sum(H) WHERE B='""&amp;$D170&amp;""'   "",0),2),"""")"),0.0)</f>
        <v>0</v>
      </c>
      <c r="F170" s="44">
        <f>IFERROR(__xludf.DUMMYFUNCTION("IFERROR(INDEX(QUERY(ENCUESTA_REU!$A$3:$H1000,""SELECT sum(H) WHERE B='""&amp;$D170&amp;""'   "",0),2),"""")"),0.0)</f>
        <v>0</v>
      </c>
      <c r="G170" s="44">
        <f>IFERROR(__xludf.DUMMYFUNCTION("IFERROR(INDEX(QUERY(ENCUESTA_DER!$A$3:$H1000,""SELECT sum(H) WHERE B='""&amp;$D170&amp;""'   "",0),2),"""")"),0.0)</f>
        <v>0</v>
      </c>
      <c r="H170" s="45">
        <f t="shared" si="2"/>
        <v>0</v>
      </c>
      <c r="I170" s="45"/>
      <c r="J170" s="44"/>
      <c r="K170" s="44"/>
    </row>
    <row r="171" ht="15.75" customHeight="1">
      <c r="A171" s="44"/>
      <c r="B171" s="44"/>
      <c r="C171" s="44"/>
      <c r="D171" s="44"/>
      <c r="E171" s="44">
        <f>IFERROR(__xludf.DUMMYFUNCTION("IFERROR(INDEX(QUERY(ENCUESTA_GESTION!$A$3:$H1000,""SELECT sum(H) WHERE B='""&amp;$D171&amp;""'   "",0),2),"""")"),0.0)</f>
        <v>0</v>
      </c>
      <c r="F171" s="44">
        <f>IFERROR(__xludf.DUMMYFUNCTION("IFERROR(INDEX(QUERY(ENCUESTA_REU!$A$3:$H1000,""SELECT sum(H) WHERE B='""&amp;$D171&amp;""'   "",0),2),"""")"),0.0)</f>
        <v>0</v>
      </c>
      <c r="G171" s="44">
        <f>IFERROR(__xludf.DUMMYFUNCTION("IFERROR(INDEX(QUERY(ENCUESTA_DER!$A$3:$H1000,""SELECT sum(H) WHERE B='""&amp;$D171&amp;""'   "",0),2),"""")"),0.0)</f>
        <v>0</v>
      </c>
      <c r="H171" s="45">
        <f t="shared" si="2"/>
        <v>0</v>
      </c>
      <c r="I171" s="45"/>
      <c r="J171" s="44"/>
      <c r="K171" s="44"/>
    </row>
    <row r="172" ht="15.75" customHeight="1">
      <c r="A172" s="44"/>
      <c r="B172" s="44"/>
      <c r="C172" s="44"/>
      <c r="D172" s="44"/>
      <c r="E172" s="44">
        <f>IFERROR(__xludf.DUMMYFUNCTION("IFERROR(INDEX(QUERY(ENCUESTA_GESTION!$A$3:$H1000,""SELECT sum(H) WHERE B='""&amp;$D172&amp;""'   "",0),2),"""")"),0.0)</f>
        <v>0</v>
      </c>
      <c r="F172" s="44">
        <f>IFERROR(__xludf.DUMMYFUNCTION("IFERROR(INDEX(QUERY(ENCUESTA_REU!$A$3:$H1000,""SELECT sum(H) WHERE B='""&amp;$D172&amp;""'   "",0),2),"""")"),0.0)</f>
        <v>0</v>
      </c>
      <c r="G172" s="44">
        <f>IFERROR(__xludf.DUMMYFUNCTION("IFERROR(INDEX(QUERY(ENCUESTA_DER!$A$3:$H1000,""SELECT sum(H) WHERE B='""&amp;$D172&amp;""'   "",0),2),"""")"),0.0)</f>
        <v>0</v>
      </c>
      <c r="H172" s="45">
        <f t="shared" si="2"/>
        <v>0</v>
      </c>
      <c r="I172" s="45"/>
      <c r="J172" s="44"/>
      <c r="K172" s="44"/>
    </row>
    <row r="173" ht="15.75" customHeight="1">
      <c r="A173" s="44"/>
      <c r="B173" s="44"/>
      <c r="C173" s="44"/>
      <c r="D173" s="44"/>
      <c r="E173" s="44">
        <f>IFERROR(__xludf.DUMMYFUNCTION("IFERROR(INDEX(QUERY(ENCUESTA_GESTION!$A$3:$H1000,""SELECT sum(H) WHERE B='""&amp;$D173&amp;""'   "",0),2),"""")"),0.0)</f>
        <v>0</v>
      </c>
      <c r="F173" s="44">
        <f>IFERROR(__xludf.DUMMYFUNCTION("IFERROR(INDEX(QUERY(ENCUESTA_REU!$A$3:$H1000,""SELECT sum(H) WHERE B='""&amp;$D173&amp;""'   "",0),2),"""")"),0.0)</f>
        <v>0</v>
      </c>
      <c r="G173" s="44">
        <f>IFERROR(__xludf.DUMMYFUNCTION("IFERROR(INDEX(QUERY(ENCUESTA_DER!$A$3:$H1000,""SELECT sum(H) WHERE B='""&amp;$D173&amp;""'   "",0),2),"""")"),0.0)</f>
        <v>0</v>
      </c>
      <c r="H173" s="45">
        <f t="shared" si="2"/>
        <v>0</v>
      </c>
      <c r="I173" s="45"/>
      <c r="J173" s="44"/>
      <c r="K173" s="44"/>
    </row>
    <row r="174" ht="15.75" customHeight="1">
      <c r="A174" s="44"/>
      <c r="B174" s="44"/>
      <c r="C174" s="44"/>
      <c r="D174" s="44"/>
      <c r="E174" s="44">
        <f>IFERROR(__xludf.DUMMYFUNCTION("IFERROR(INDEX(QUERY(ENCUESTA_GESTION!$A$3:$H1000,""SELECT sum(H) WHERE B='""&amp;$D174&amp;""'   "",0),2),"""")"),0.0)</f>
        <v>0</v>
      </c>
      <c r="F174" s="44">
        <f>IFERROR(__xludf.DUMMYFUNCTION("IFERROR(INDEX(QUERY(ENCUESTA_REU!$A$3:$H1000,""SELECT sum(H) WHERE B='""&amp;$D174&amp;""'   "",0),2),"""")"),0.0)</f>
        <v>0</v>
      </c>
      <c r="G174" s="44">
        <f>IFERROR(__xludf.DUMMYFUNCTION("IFERROR(INDEX(QUERY(ENCUESTA_DER!$A$3:$H1000,""SELECT sum(H) WHERE B='""&amp;$D174&amp;""'   "",0),2),"""")"),0.0)</f>
        <v>0</v>
      </c>
      <c r="H174" s="45">
        <f t="shared" si="2"/>
        <v>0</v>
      </c>
      <c r="I174" s="45"/>
      <c r="J174" s="44"/>
      <c r="K174" s="44"/>
    </row>
    <row r="175" ht="15.75" customHeight="1">
      <c r="A175" s="44"/>
      <c r="B175" s="44"/>
      <c r="C175" s="44"/>
      <c r="D175" s="44"/>
      <c r="E175" s="44">
        <f>IFERROR(__xludf.DUMMYFUNCTION("IFERROR(INDEX(QUERY(ENCUESTA_GESTION!$A$3:$H1000,""SELECT sum(H) WHERE B='""&amp;$D175&amp;""'   "",0),2),"""")"),0.0)</f>
        <v>0</v>
      </c>
      <c r="F175" s="44">
        <f>IFERROR(__xludf.DUMMYFUNCTION("IFERROR(INDEX(QUERY(ENCUESTA_REU!$A$3:$H1000,""SELECT sum(H) WHERE B='""&amp;$D175&amp;""'   "",0),2),"""")"),0.0)</f>
        <v>0</v>
      </c>
      <c r="G175" s="44">
        <f>IFERROR(__xludf.DUMMYFUNCTION("IFERROR(INDEX(QUERY(ENCUESTA_DER!$A$3:$H1000,""SELECT sum(H) WHERE B='""&amp;$D175&amp;""'   "",0),2),"""")"),0.0)</f>
        <v>0</v>
      </c>
      <c r="H175" s="45">
        <f t="shared" si="2"/>
        <v>0</v>
      </c>
      <c r="I175" s="45"/>
      <c r="J175" s="44"/>
      <c r="K175" s="44"/>
    </row>
    <row r="176" ht="15.75" customHeight="1">
      <c r="A176" s="44"/>
      <c r="B176" s="44"/>
      <c r="C176" s="44"/>
      <c r="D176" s="44"/>
      <c r="E176" s="44">
        <f>IFERROR(__xludf.DUMMYFUNCTION("IFERROR(INDEX(QUERY(ENCUESTA_GESTION!$A$3:$H1000,""SELECT sum(H) WHERE B='""&amp;$D176&amp;""'   "",0),2),"""")"),0.0)</f>
        <v>0</v>
      </c>
      <c r="F176" s="44">
        <f>IFERROR(__xludf.DUMMYFUNCTION("IFERROR(INDEX(QUERY(ENCUESTA_REU!$A$3:$H1000,""SELECT sum(H) WHERE B='""&amp;$D176&amp;""'   "",0),2),"""")"),0.0)</f>
        <v>0</v>
      </c>
      <c r="G176" s="44">
        <f>IFERROR(__xludf.DUMMYFUNCTION("IFERROR(INDEX(QUERY(ENCUESTA_DER!$A$3:$H1000,""SELECT sum(H) WHERE B='""&amp;$D176&amp;""'   "",0),2),"""")"),0.0)</f>
        <v>0</v>
      </c>
      <c r="H176" s="45">
        <f t="shared" si="2"/>
        <v>0</v>
      </c>
      <c r="I176" s="45"/>
      <c r="J176" s="44"/>
      <c r="K176" s="44"/>
    </row>
    <row r="177" ht="15.75" customHeight="1">
      <c r="A177" s="44"/>
      <c r="B177" s="44"/>
      <c r="C177" s="44"/>
      <c r="D177" s="44"/>
      <c r="E177" s="44">
        <f>IFERROR(__xludf.DUMMYFUNCTION("IFERROR(INDEX(QUERY(ENCUESTA_GESTION!$A$3:$H1000,""SELECT sum(H) WHERE B='""&amp;$D177&amp;""'   "",0),2),"""")"),0.0)</f>
        <v>0</v>
      </c>
      <c r="F177" s="44">
        <f>IFERROR(__xludf.DUMMYFUNCTION("IFERROR(INDEX(QUERY(ENCUESTA_REU!$A$3:$H1000,""SELECT sum(H) WHERE B='""&amp;$D177&amp;""'   "",0),2),"""")"),0.0)</f>
        <v>0</v>
      </c>
      <c r="G177" s="44">
        <f>IFERROR(__xludf.DUMMYFUNCTION("IFERROR(INDEX(QUERY(ENCUESTA_DER!$A$3:$H1000,""SELECT sum(H) WHERE B='""&amp;$D177&amp;""'   "",0),2),"""")"),0.0)</f>
        <v>0</v>
      </c>
      <c r="H177" s="45">
        <f t="shared" si="2"/>
        <v>0</v>
      </c>
      <c r="I177" s="45"/>
      <c r="J177" s="44"/>
      <c r="K177" s="44"/>
    </row>
    <row r="178" ht="15.75" customHeight="1">
      <c r="A178" s="44"/>
      <c r="B178" s="44"/>
      <c r="C178" s="44"/>
      <c r="D178" s="44"/>
      <c r="E178" s="44">
        <f>IFERROR(__xludf.DUMMYFUNCTION("IFERROR(INDEX(QUERY(ENCUESTA_GESTION!$A$3:$H1000,""SELECT sum(H) WHERE B='""&amp;$D178&amp;""'   "",0),2),"""")"),0.0)</f>
        <v>0</v>
      </c>
      <c r="F178" s="44">
        <f>IFERROR(__xludf.DUMMYFUNCTION("IFERROR(INDEX(QUERY(ENCUESTA_REU!$A$3:$H1000,""SELECT sum(H) WHERE B='""&amp;$D178&amp;""'   "",0),2),"""")"),0.0)</f>
        <v>0</v>
      </c>
      <c r="G178" s="44">
        <f>IFERROR(__xludf.DUMMYFUNCTION("IFERROR(INDEX(QUERY(ENCUESTA_DER!$A$3:$H1000,""SELECT sum(H) WHERE B='""&amp;$D178&amp;""'   "",0),2),"""")"),0.0)</f>
        <v>0</v>
      </c>
      <c r="H178" s="45">
        <f t="shared" si="2"/>
        <v>0</v>
      </c>
      <c r="I178" s="45"/>
      <c r="J178" s="44"/>
      <c r="K178" s="44"/>
    </row>
    <row r="179" ht="15.75" customHeight="1">
      <c r="A179" s="44"/>
      <c r="B179" s="44"/>
      <c r="C179" s="44"/>
      <c r="D179" s="44"/>
      <c r="E179" s="44">
        <f>IFERROR(__xludf.DUMMYFUNCTION("IFERROR(INDEX(QUERY(ENCUESTA_GESTION!$A$3:$H1000,""SELECT sum(H) WHERE B='""&amp;$D179&amp;""'   "",0),2),"""")"),0.0)</f>
        <v>0</v>
      </c>
      <c r="F179" s="44">
        <f>IFERROR(__xludf.DUMMYFUNCTION("IFERROR(INDEX(QUERY(ENCUESTA_REU!$A$3:$H1000,""SELECT sum(H) WHERE B='""&amp;$D179&amp;""'   "",0),2),"""")"),0.0)</f>
        <v>0</v>
      </c>
      <c r="G179" s="44">
        <f>IFERROR(__xludf.DUMMYFUNCTION("IFERROR(INDEX(QUERY(ENCUESTA_DER!$A$3:$H1000,""SELECT sum(H) WHERE B='""&amp;$D179&amp;""'   "",0),2),"""")"),0.0)</f>
        <v>0</v>
      </c>
      <c r="H179" s="45">
        <f t="shared" si="2"/>
        <v>0</v>
      </c>
      <c r="I179" s="45"/>
      <c r="J179" s="44"/>
      <c r="K179" s="44"/>
    </row>
    <row r="180" ht="15.75" customHeight="1">
      <c r="A180" s="44"/>
      <c r="B180" s="44"/>
      <c r="C180" s="44"/>
      <c r="D180" s="44"/>
      <c r="E180" s="44">
        <f>IFERROR(__xludf.DUMMYFUNCTION("IFERROR(INDEX(QUERY(ENCUESTA_GESTION!$A$3:$H1000,""SELECT sum(H) WHERE B='""&amp;$D180&amp;""'   "",0),2),"""")"),0.0)</f>
        <v>0</v>
      </c>
      <c r="F180" s="44">
        <f>IFERROR(__xludf.DUMMYFUNCTION("IFERROR(INDEX(QUERY(ENCUESTA_REU!$A$3:$H1000,""SELECT sum(H) WHERE B='""&amp;$D180&amp;""'   "",0),2),"""")"),0.0)</f>
        <v>0</v>
      </c>
      <c r="G180" s="44">
        <f>IFERROR(__xludf.DUMMYFUNCTION("IFERROR(INDEX(QUERY(ENCUESTA_DER!$A$3:$H1000,""SELECT sum(H) WHERE B='""&amp;$D180&amp;""'   "",0),2),"""")"),0.0)</f>
        <v>0</v>
      </c>
      <c r="H180" s="45">
        <f t="shared" si="2"/>
        <v>0</v>
      </c>
      <c r="I180" s="45"/>
      <c r="J180" s="44"/>
      <c r="K180" s="44"/>
    </row>
    <row r="181" ht="15.75" customHeight="1">
      <c r="A181" s="44"/>
      <c r="B181" s="44"/>
      <c r="C181" s="44"/>
      <c r="D181" s="44"/>
      <c r="E181" s="44">
        <f>IFERROR(__xludf.DUMMYFUNCTION("IFERROR(INDEX(QUERY(ENCUESTA_GESTION!$A$3:$H1000,""SELECT sum(H) WHERE B='""&amp;$D181&amp;""'   "",0),2),"""")"),0.0)</f>
        <v>0</v>
      </c>
      <c r="F181" s="44">
        <f>IFERROR(__xludf.DUMMYFUNCTION("IFERROR(INDEX(QUERY(ENCUESTA_REU!$A$3:$H1000,""SELECT sum(H) WHERE B='""&amp;$D181&amp;""'   "",0),2),"""")"),0.0)</f>
        <v>0</v>
      </c>
      <c r="G181" s="44">
        <f>IFERROR(__xludf.DUMMYFUNCTION("IFERROR(INDEX(QUERY(ENCUESTA_DER!$A$3:$H1000,""SELECT sum(H) WHERE B='""&amp;$D181&amp;""'   "",0),2),"""")"),0.0)</f>
        <v>0</v>
      </c>
      <c r="H181" s="45">
        <f t="shared" si="2"/>
        <v>0</v>
      </c>
      <c r="I181" s="45"/>
      <c r="J181" s="44"/>
      <c r="K181" s="44"/>
    </row>
    <row r="182" ht="15.75" customHeight="1">
      <c r="A182" s="44"/>
      <c r="B182" s="44"/>
      <c r="C182" s="44"/>
      <c r="D182" s="44"/>
      <c r="E182" s="44">
        <f>IFERROR(__xludf.DUMMYFUNCTION("IFERROR(INDEX(QUERY(ENCUESTA_GESTION!$A$3:$H1000,""SELECT sum(H) WHERE B='""&amp;$D182&amp;""'   "",0),2),"""")"),0.0)</f>
        <v>0</v>
      </c>
      <c r="F182" s="44">
        <f>IFERROR(__xludf.DUMMYFUNCTION("IFERROR(INDEX(QUERY(ENCUESTA_REU!$A$3:$H1000,""SELECT sum(H) WHERE B='""&amp;$D182&amp;""'   "",0),2),"""")"),0.0)</f>
        <v>0</v>
      </c>
      <c r="G182" s="44">
        <f>IFERROR(__xludf.DUMMYFUNCTION("IFERROR(INDEX(QUERY(ENCUESTA_DER!$A$3:$H1000,""SELECT sum(H) WHERE B='""&amp;$D182&amp;""'   "",0),2),"""")"),0.0)</f>
        <v>0</v>
      </c>
      <c r="H182" s="45">
        <f t="shared" si="2"/>
        <v>0</v>
      </c>
      <c r="I182" s="45"/>
      <c r="J182" s="44"/>
      <c r="K182" s="44"/>
    </row>
    <row r="183" ht="15.75" customHeight="1">
      <c r="A183" s="44"/>
      <c r="B183" s="44"/>
      <c r="C183" s="44"/>
      <c r="D183" s="44"/>
      <c r="E183" s="44">
        <f>IFERROR(__xludf.DUMMYFUNCTION("IFERROR(INDEX(QUERY(ENCUESTA_GESTION!$A$3:$H1000,""SELECT sum(H) WHERE B='""&amp;$D183&amp;""'   "",0),2),"""")"),0.0)</f>
        <v>0</v>
      </c>
      <c r="F183" s="44">
        <f>IFERROR(__xludf.DUMMYFUNCTION("IFERROR(INDEX(QUERY(ENCUESTA_REU!$A$3:$H1000,""SELECT sum(H) WHERE B='""&amp;$D183&amp;""'   "",0),2),"""")"),0.0)</f>
        <v>0</v>
      </c>
      <c r="G183" s="44">
        <f>IFERROR(__xludf.DUMMYFUNCTION("IFERROR(INDEX(QUERY(ENCUESTA_DER!$A$3:$H1000,""SELECT sum(H) WHERE B='""&amp;$D183&amp;""'   "",0),2),"""")"),0.0)</f>
        <v>0</v>
      </c>
      <c r="H183" s="45">
        <f t="shared" si="2"/>
        <v>0</v>
      </c>
      <c r="I183" s="45"/>
      <c r="J183" s="44"/>
      <c r="K183" s="44"/>
    </row>
    <row r="184" ht="15.75" customHeight="1">
      <c r="A184" s="44"/>
      <c r="B184" s="44"/>
      <c r="C184" s="44"/>
      <c r="D184" s="44"/>
      <c r="E184" s="44">
        <f>IFERROR(__xludf.DUMMYFUNCTION("IFERROR(INDEX(QUERY(ENCUESTA_GESTION!$A$3:$H1000,""SELECT sum(H) WHERE B='""&amp;$D184&amp;""'   "",0),2),"""")"),0.0)</f>
        <v>0</v>
      </c>
      <c r="F184" s="44">
        <f>IFERROR(__xludf.DUMMYFUNCTION("IFERROR(INDEX(QUERY(ENCUESTA_REU!$A$3:$H1000,""SELECT sum(H) WHERE B='""&amp;$D184&amp;""'   "",0),2),"""")"),0.0)</f>
        <v>0</v>
      </c>
      <c r="G184" s="44">
        <f>IFERROR(__xludf.DUMMYFUNCTION("IFERROR(INDEX(QUERY(ENCUESTA_DER!$A$3:$H1000,""SELECT sum(H) WHERE B='""&amp;$D184&amp;""'   "",0),2),"""")"),0.0)</f>
        <v>0</v>
      </c>
      <c r="H184" s="45">
        <f t="shared" si="2"/>
        <v>0</v>
      </c>
      <c r="I184" s="45"/>
      <c r="J184" s="44"/>
      <c r="K184" s="44"/>
    </row>
    <row r="185" ht="15.75" customHeight="1">
      <c r="A185" s="44"/>
      <c r="B185" s="44"/>
      <c r="C185" s="44"/>
      <c r="D185" s="44"/>
      <c r="E185" s="44">
        <f>IFERROR(__xludf.DUMMYFUNCTION("IFERROR(INDEX(QUERY(ENCUESTA_GESTION!$A$3:$H1000,""SELECT sum(H) WHERE B='""&amp;$D185&amp;""'   "",0),2),"""")"),0.0)</f>
        <v>0</v>
      </c>
      <c r="F185" s="44">
        <f>IFERROR(__xludf.DUMMYFUNCTION("IFERROR(INDEX(QUERY(ENCUESTA_REU!$A$3:$H1000,""SELECT sum(H) WHERE B='""&amp;$D185&amp;""'   "",0),2),"""")"),0.0)</f>
        <v>0</v>
      </c>
      <c r="G185" s="44">
        <f>IFERROR(__xludf.DUMMYFUNCTION("IFERROR(INDEX(QUERY(ENCUESTA_DER!$A$3:$H1000,""SELECT sum(H) WHERE B='""&amp;$D185&amp;""'   "",0),2),"""")"),0.0)</f>
        <v>0</v>
      </c>
      <c r="H185" s="45">
        <f t="shared" si="2"/>
        <v>0</v>
      </c>
      <c r="I185" s="45"/>
      <c r="J185" s="44"/>
      <c r="K185" s="44"/>
    </row>
    <row r="186" ht="15.75" customHeight="1">
      <c r="A186" s="44"/>
      <c r="B186" s="44"/>
      <c r="C186" s="44"/>
      <c r="D186" s="44"/>
      <c r="E186" s="44">
        <f>IFERROR(__xludf.DUMMYFUNCTION("IFERROR(INDEX(QUERY(ENCUESTA_GESTION!$A$3:$H1000,""SELECT sum(H) WHERE B='""&amp;$D186&amp;""'   "",0),2),"""")"),0.0)</f>
        <v>0</v>
      </c>
      <c r="F186" s="44">
        <f>IFERROR(__xludf.DUMMYFUNCTION("IFERROR(INDEX(QUERY(ENCUESTA_REU!$A$3:$H1000,""SELECT sum(H) WHERE B='""&amp;$D186&amp;""'   "",0),2),"""")"),0.0)</f>
        <v>0</v>
      </c>
      <c r="G186" s="44">
        <f>IFERROR(__xludf.DUMMYFUNCTION("IFERROR(INDEX(QUERY(ENCUESTA_DER!$A$3:$H1000,""SELECT sum(H) WHERE B='""&amp;$D186&amp;""'   "",0),2),"""")"),0.0)</f>
        <v>0</v>
      </c>
      <c r="H186" s="45">
        <f t="shared" si="2"/>
        <v>0</v>
      </c>
      <c r="I186" s="45"/>
      <c r="J186" s="44"/>
      <c r="K186" s="44"/>
    </row>
    <row r="187" ht="15.75" customHeight="1">
      <c r="A187" s="44"/>
      <c r="B187" s="44"/>
      <c r="C187" s="44"/>
      <c r="D187" s="44"/>
      <c r="E187" s="44">
        <f>IFERROR(__xludf.DUMMYFUNCTION("IFERROR(INDEX(QUERY(ENCUESTA_GESTION!$A$3:$H1000,""SELECT sum(H) WHERE B='""&amp;$D187&amp;""'   "",0),2),"""")"),0.0)</f>
        <v>0</v>
      </c>
      <c r="F187" s="44">
        <f>IFERROR(__xludf.DUMMYFUNCTION("IFERROR(INDEX(QUERY(ENCUESTA_REU!$A$3:$H1000,""SELECT sum(H) WHERE B='""&amp;$D187&amp;""'   "",0),2),"""")"),0.0)</f>
        <v>0</v>
      </c>
      <c r="G187" s="44">
        <f>IFERROR(__xludf.DUMMYFUNCTION("IFERROR(INDEX(QUERY(ENCUESTA_DER!$A$3:$H1000,""SELECT sum(H) WHERE B='""&amp;$D187&amp;""'   "",0),2),"""")"),0.0)</f>
        <v>0</v>
      </c>
      <c r="H187" s="45">
        <f t="shared" si="2"/>
        <v>0</v>
      </c>
      <c r="I187" s="45"/>
      <c r="J187" s="44"/>
      <c r="K187" s="44"/>
    </row>
    <row r="188" ht="15.75" customHeight="1">
      <c r="A188" s="44"/>
      <c r="B188" s="44"/>
      <c r="C188" s="44"/>
      <c r="D188" s="44"/>
      <c r="E188" s="44">
        <f>IFERROR(__xludf.DUMMYFUNCTION("IFERROR(INDEX(QUERY(ENCUESTA_GESTION!$A$3:$H1000,""SELECT sum(H) WHERE B='""&amp;$D188&amp;""'   "",0),2),"""")"),0.0)</f>
        <v>0</v>
      </c>
      <c r="F188" s="44">
        <f>IFERROR(__xludf.DUMMYFUNCTION("IFERROR(INDEX(QUERY(ENCUESTA_REU!$A$3:$H1000,""SELECT sum(H) WHERE B='""&amp;$D188&amp;""'   "",0),2),"""")"),0.0)</f>
        <v>0</v>
      </c>
      <c r="G188" s="44">
        <f>IFERROR(__xludf.DUMMYFUNCTION("IFERROR(INDEX(QUERY(ENCUESTA_DER!$A$3:$H1000,""SELECT sum(H) WHERE B='""&amp;$D188&amp;""'   "",0),2),"""")"),0.0)</f>
        <v>0</v>
      </c>
      <c r="H188" s="45">
        <f t="shared" si="2"/>
        <v>0</v>
      </c>
      <c r="I188" s="45"/>
      <c r="J188" s="44"/>
      <c r="K188" s="44"/>
    </row>
    <row r="189" ht="15.75" customHeight="1">
      <c r="A189" s="44"/>
      <c r="B189" s="44"/>
      <c r="C189" s="44"/>
      <c r="D189" s="44"/>
      <c r="E189" s="44">
        <f>IFERROR(__xludf.DUMMYFUNCTION("IFERROR(INDEX(QUERY(ENCUESTA_GESTION!$A$3:$H1000,""SELECT sum(H) WHERE B='""&amp;$D189&amp;""'   "",0),2),"""")"),0.0)</f>
        <v>0</v>
      </c>
      <c r="F189" s="44">
        <f>IFERROR(__xludf.DUMMYFUNCTION("IFERROR(INDEX(QUERY(ENCUESTA_REU!$A$3:$H1000,""SELECT sum(H) WHERE B='""&amp;$D189&amp;""'   "",0),2),"""")"),0.0)</f>
        <v>0</v>
      </c>
      <c r="G189" s="44">
        <f>IFERROR(__xludf.DUMMYFUNCTION("IFERROR(INDEX(QUERY(ENCUESTA_DER!$A$3:$H1000,""SELECT sum(H) WHERE B='""&amp;$D189&amp;""'   "",0),2),"""")"),0.0)</f>
        <v>0</v>
      </c>
      <c r="H189" s="45">
        <f t="shared" si="2"/>
        <v>0</v>
      </c>
      <c r="I189" s="45"/>
      <c r="J189" s="44"/>
      <c r="K189" s="44"/>
    </row>
    <row r="190" ht="15.75" customHeight="1">
      <c r="A190" s="44"/>
      <c r="B190" s="44"/>
      <c r="C190" s="44"/>
      <c r="D190" s="44"/>
      <c r="E190" s="44">
        <f>IFERROR(__xludf.DUMMYFUNCTION("IFERROR(INDEX(QUERY(ENCUESTA_GESTION!$A$3:$H1000,""SELECT sum(H) WHERE B='""&amp;$D190&amp;""'   "",0),2),"""")"),0.0)</f>
        <v>0</v>
      </c>
      <c r="F190" s="44">
        <f>IFERROR(__xludf.DUMMYFUNCTION("IFERROR(INDEX(QUERY(ENCUESTA_REU!$A$3:$H1000,""SELECT sum(H) WHERE B='""&amp;$D190&amp;""'   "",0),2),"""")"),0.0)</f>
        <v>0</v>
      </c>
      <c r="G190" s="44">
        <f>IFERROR(__xludf.DUMMYFUNCTION("IFERROR(INDEX(QUERY(ENCUESTA_DER!$A$3:$H1000,""SELECT sum(H) WHERE B='""&amp;$D190&amp;""'   "",0),2),"""")"),0.0)</f>
        <v>0</v>
      </c>
      <c r="H190" s="45">
        <f t="shared" si="2"/>
        <v>0</v>
      </c>
      <c r="I190" s="45"/>
      <c r="J190" s="44"/>
      <c r="K190" s="44"/>
    </row>
    <row r="191" ht="15.75" customHeight="1">
      <c r="A191" s="44"/>
      <c r="B191" s="44"/>
      <c r="C191" s="44"/>
      <c r="D191" s="44"/>
      <c r="E191" s="44">
        <f>IFERROR(__xludf.DUMMYFUNCTION("IFERROR(INDEX(QUERY(ENCUESTA_GESTION!$A$3:$H1000,""SELECT sum(H) WHERE B='""&amp;$D191&amp;""'   "",0),2),"""")"),0.0)</f>
        <v>0</v>
      </c>
      <c r="F191" s="44">
        <f>IFERROR(__xludf.DUMMYFUNCTION("IFERROR(INDEX(QUERY(ENCUESTA_REU!$A$3:$H1000,""SELECT sum(H) WHERE B='""&amp;$D191&amp;""'   "",0),2),"""")"),0.0)</f>
        <v>0</v>
      </c>
      <c r="G191" s="44">
        <f>IFERROR(__xludf.DUMMYFUNCTION("IFERROR(INDEX(QUERY(ENCUESTA_DER!$A$3:$H1000,""SELECT sum(H) WHERE B='""&amp;$D191&amp;""'   "",0),2),"""")"),0.0)</f>
        <v>0</v>
      </c>
      <c r="H191" s="45">
        <f t="shared" si="2"/>
        <v>0</v>
      </c>
      <c r="I191" s="45"/>
      <c r="J191" s="44"/>
      <c r="K191" s="44"/>
    </row>
    <row r="192" ht="15.75" customHeight="1">
      <c r="A192" s="44"/>
      <c r="B192" s="44"/>
      <c r="C192" s="44"/>
      <c r="D192" s="44"/>
      <c r="E192" s="44">
        <f>IFERROR(__xludf.DUMMYFUNCTION("IFERROR(INDEX(QUERY(ENCUESTA_GESTION!$A$3:$H1000,""SELECT sum(H) WHERE B='""&amp;$D192&amp;""'   "",0),2),"""")"),0.0)</f>
        <v>0</v>
      </c>
      <c r="F192" s="44">
        <f>IFERROR(__xludf.DUMMYFUNCTION("IFERROR(INDEX(QUERY(ENCUESTA_REU!$A$3:$H1000,""SELECT sum(H) WHERE B='""&amp;$D192&amp;""'   "",0),2),"""")"),0.0)</f>
        <v>0</v>
      </c>
      <c r="G192" s="44">
        <f>IFERROR(__xludf.DUMMYFUNCTION("IFERROR(INDEX(QUERY(ENCUESTA_DER!$A$3:$H1000,""SELECT sum(H) WHERE B='""&amp;$D192&amp;""'   "",0),2),"""")"),0.0)</f>
        <v>0</v>
      </c>
      <c r="H192" s="45">
        <f t="shared" si="2"/>
        <v>0</v>
      </c>
      <c r="I192" s="45"/>
      <c r="J192" s="44"/>
      <c r="K192" s="44"/>
    </row>
    <row r="193" ht="15.75" customHeight="1">
      <c r="A193" s="44"/>
      <c r="B193" s="44"/>
      <c r="C193" s="44"/>
      <c r="D193" s="44"/>
      <c r="E193" s="44">
        <f>IFERROR(__xludf.DUMMYFUNCTION("IFERROR(INDEX(QUERY(ENCUESTA_GESTION!$A$3:$H1000,""SELECT sum(H) WHERE B='""&amp;$D193&amp;""'   "",0),2),"""")"),0.0)</f>
        <v>0</v>
      </c>
      <c r="F193" s="44">
        <f>IFERROR(__xludf.DUMMYFUNCTION("IFERROR(INDEX(QUERY(ENCUESTA_REU!$A$3:$H1000,""SELECT sum(H) WHERE B='""&amp;$D193&amp;""'   "",0),2),"""")"),0.0)</f>
        <v>0</v>
      </c>
      <c r="G193" s="44">
        <f>IFERROR(__xludf.DUMMYFUNCTION("IFERROR(INDEX(QUERY(ENCUESTA_DER!$A$3:$H1000,""SELECT sum(H) WHERE B='""&amp;$D193&amp;""'   "",0),2),"""")"),0.0)</f>
        <v>0</v>
      </c>
      <c r="H193" s="45">
        <f t="shared" si="2"/>
        <v>0</v>
      </c>
      <c r="I193" s="45"/>
      <c r="J193" s="44"/>
      <c r="K193" s="44"/>
    </row>
    <row r="194" ht="15.75" customHeight="1">
      <c r="A194" s="44"/>
      <c r="B194" s="44"/>
      <c r="C194" s="44"/>
      <c r="D194" s="44"/>
      <c r="E194" s="44">
        <f>IFERROR(__xludf.DUMMYFUNCTION("IFERROR(INDEX(QUERY(ENCUESTA_GESTION!$A$3:$H1000,""SELECT sum(H) WHERE B='""&amp;$D194&amp;""'   "",0),2),"""")"),0.0)</f>
        <v>0</v>
      </c>
      <c r="F194" s="44">
        <f>IFERROR(__xludf.DUMMYFUNCTION("IFERROR(INDEX(QUERY(ENCUESTA_REU!$A$3:$H1000,""SELECT sum(H) WHERE B='""&amp;$D194&amp;""'   "",0),2),"""")"),0.0)</f>
        <v>0</v>
      </c>
      <c r="G194" s="44">
        <f>IFERROR(__xludf.DUMMYFUNCTION("IFERROR(INDEX(QUERY(ENCUESTA_DER!$A$3:$H1000,""SELECT sum(H) WHERE B='""&amp;$D194&amp;""'   "",0),2),"""")"),0.0)</f>
        <v>0</v>
      </c>
      <c r="H194" s="45">
        <f t="shared" si="2"/>
        <v>0</v>
      </c>
      <c r="I194" s="45"/>
      <c r="J194" s="44"/>
      <c r="K194" s="44"/>
    </row>
    <row r="195" ht="15.75" customHeight="1">
      <c r="A195" s="44"/>
      <c r="B195" s="44"/>
      <c r="C195" s="44"/>
      <c r="D195" s="44"/>
      <c r="E195" s="44">
        <f>IFERROR(__xludf.DUMMYFUNCTION("IFERROR(INDEX(QUERY(ENCUESTA_GESTION!$A$3:$H1000,""SELECT sum(H) WHERE B='""&amp;$D195&amp;""'   "",0),2),"""")"),0.0)</f>
        <v>0</v>
      </c>
      <c r="F195" s="44">
        <f>IFERROR(__xludf.DUMMYFUNCTION("IFERROR(INDEX(QUERY(ENCUESTA_REU!$A$3:$H1000,""SELECT sum(H) WHERE B='""&amp;$D195&amp;""'   "",0),2),"""")"),0.0)</f>
        <v>0</v>
      </c>
      <c r="G195" s="44">
        <f>IFERROR(__xludf.DUMMYFUNCTION("IFERROR(INDEX(QUERY(ENCUESTA_DER!$A$3:$H1000,""SELECT sum(H) WHERE B='""&amp;$D195&amp;""'   "",0),2),"""")"),0.0)</f>
        <v>0</v>
      </c>
      <c r="H195" s="45">
        <f t="shared" si="2"/>
        <v>0</v>
      </c>
      <c r="I195" s="45"/>
      <c r="J195" s="44"/>
      <c r="K195" s="44"/>
    </row>
    <row r="196" ht="15.75" customHeight="1">
      <c r="A196" s="44"/>
      <c r="B196" s="44"/>
      <c r="C196" s="44"/>
      <c r="D196" s="44"/>
      <c r="E196" s="44">
        <f>IFERROR(__xludf.DUMMYFUNCTION("IFERROR(INDEX(QUERY(ENCUESTA_GESTION!$A$3:$H1000,""SELECT sum(H) WHERE B='""&amp;$D196&amp;""'   "",0),2),"""")"),0.0)</f>
        <v>0</v>
      </c>
      <c r="F196" s="44">
        <f>IFERROR(__xludf.DUMMYFUNCTION("IFERROR(INDEX(QUERY(ENCUESTA_REU!$A$3:$H1000,""SELECT sum(H) WHERE B='""&amp;$D196&amp;""'   "",0),2),"""")"),0.0)</f>
        <v>0</v>
      </c>
      <c r="G196" s="44">
        <f>IFERROR(__xludf.DUMMYFUNCTION("IFERROR(INDEX(QUERY(ENCUESTA_DER!$A$3:$H1000,""SELECT sum(H) WHERE B='""&amp;$D196&amp;""'   "",0),2),"""")"),0.0)</f>
        <v>0</v>
      </c>
      <c r="H196" s="45">
        <f t="shared" si="2"/>
        <v>0</v>
      </c>
      <c r="I196" s="45"/>
      <c r="J196" s="44"/>
      <c r="K196" s="44"/>
    </row>
    <row r="197" ht="15.75" customHeight="1">
      <c r="A197" s="44"/>
      <c r="B197" s="44"/>
      <c r="C197" s="44"/>
      <c r="D197" s="44"/>
      <c r="E197" s="44">
        <f>IFERROR(__xludf.DUMMYFUNCTION("IFERROR(INDEX(QUERY(ENCUESTA_GESTION!$A$3:$H1000,""SELECT sum(H) WHERE B='""&amp;$D197&amp;""'   "",0),2),"""")"),0.0)</f>
        <v>0</v>
      </c>
      <c r="F197" s="44">
        <f>IFERROR(__xludf.DUMMYFUNCTION("IFERROR(INDEX(QUERY(ENCUESTA_REU!$A$3:$H1000,""SELECT sum(H) WHERE B='""&amp;$D197&amp;""'   "",0),2),"""")"),0.0)</f>
        <v>0</v>
      </c>
      <c r="G197" s="44">
        <f>IFERROR(__xludf.DUMMYFUNCTION("IFERROR(INDEX(QUERY(ENCUESTA_DER!$A$3:$H1000,""SELECT sum(H) WHERE B='""&amp;$D197&amp;""'   "",0),2),"""")"),0.0)</f>
        <v>0</v>
      </c>
      <c r="H197" s="45">
        <f t="shared" si="2"/>
        <v>0</v>
      </c>
      <c r="I197" s="45"/>
      <c r="J197" s="44"/>
      <c r="K197" s="44"/>
    </row>
    <row r="198" ht="15.75" customHeight="1">
      <c r="A198" s="44"/>
      <c r="B198" s="44"/>
      <c r="C198" s="44"/>
      <c r="D198" s="44"/>
      <c r="E198" s="44">
        <f>IFERROR(__xludf.DUMMYFUNCTION("IFERROR(INDEX(QUERY(ENCUESTA_GESTION!$A$3:$H1000,""SELECT sum(H) WHERE B='""&amp;$D198&amp;""'   "",0),2),"""")"),0.0)</f>
        <v>0</v>
      </c>
      <c r="F198" s="44">
        <f>IFERROR(__xludf.DUMMYFUNCTION("IFERROR(INDEX(QUERY(ENCUESTA_REU!$A$3:$H1000,""SELECT sum(H) WHERE B='""&amp;$D198&amp;""'   "",0),2),"""")"),0.0)</f>
        <v>0</v>
      </c>
      <c r="G198" s="44">
        <f>IFERROR(__xludf.DUMMYFUNCTION("IFERROR(INDEX(QUERY(ENCUESTA_DER!$A$3:$H1000,""SELECT sum(H) WHERE B='""&amp;$D198&amp;""'   "",0),2),"""")"),0.0)</f>
        <v>0</v>
      </c>
      <c r="H198" s="45">
        <f t="shared" si="2"/>
        <v>0</v>
      </c>
      <c r="I198" s="45"/>
      <c r="J198" s="44"/>
      <c r="K198" s="44"/>
    </row>
    <row r="199" ht="15.75" customHeight="1">
      <c r="A199" s="44"/>
      <c r="B199" s="44"/>
      <c r="C199" s="44"/>
      <c r="D199" s="44"/>
      <c r="E199" s="44">
        <f>IFERROR(__xludf.DUMMYFUNCTION("IFERROR(INDEX(QUERY(ENCUESTA_GESTION!$A$3:$H1000,""SELECT sum(H) WHERE B='""&amp;$D199&amp;""'   "",0),2),"""")"),0.0)</f>
        <v>0</v>
      </c>
      <c r="F199" s="44">
        <f>IFERROR(__xludf.DUMMYFUNCTION("IFERROR(INDEX(QUERY(ENCUESTA_REU!$A$3:$H1000,""SELECT sum(H) WHERE B='""&amp;$D199&amp;""'   "",0),2),"""")"),0.0)</f>
        <v>0</v>
      </c>
      <c r="G199" s="44">
        <f>IFERROR(__xludf.DUMMYFUNCTION("IFERROR(INDEX(QUERY(ENCUESTA_DER!$A$3:$H1000,""SELECT sum(H) WHERE B='""&amp;$D199&amp;""'   "",0),2),"""")"),0.0)</f>
        <v>0</v>
      </c>
      <c r="H199" s="45">
        <f t="shared" si="2"/>
        <v>0</v>
      </c>
      <c r="I199" s="45"/>
      <c r="J199" s="44"/>
      <c r="K199" s="44"/>
    </row>
    <row r="200" ht="15.75" customHeight="1">
      <c r="A200" s="44"/>
      <c r="B200" s="44"/>
      <c r="C200" s="44"/>
      <c r="D200" s="44"/>
      <c r="E200" s="44">
        <f>IFERROR(__xludf.DUMMYFUNCTION("IFERROR(INDEX(QUERY(ENCUESTA_GESTION!$A$3:$H1000,""SELECT sum(H) WHERE B='""&amp;$D200&amp;""'   "",0),2),"""")"),0.0)</f>
        <v>0</v>
      </c>
      <c r="F200" s="44">
        <f>IFERROR(__xludf.DUMMYFUNCTION("IFERROR(INDEX(QUERY(ENCUESTA_REU!$A$3:$H1000,""SELECT sum(H) WHERE B='""&amp;$D200&amp;""'   "",0),2),"""")"),0.0)</f>
        <v>0</v>
      </c>
      <c r="G200" s="44">
        <f>IFERROR(__xludf.DUMMYFUNCTION("IFERROR(INDEX(QUERY(ENCUESTA_DER!$A$3:$H1000,""SELECT sum(H) WHERE B='""&amp;$D200&amp;""'   "",0),2),"""")"),0.0)</f>
        <v>0</v>
      </c>
      <c r="H200" s="45">
        <f t="shared" si="2"/>
        <v>0</v>
      </c>
      <c r="I200" s="45"/>
      <c r="J200" s="44"/>
      <c r="K200" s="44"/>
    </row>
    <row r="201" ht="15.75" customHeight="1">
      <c r="A201" s="44"/>
      <c r="B201" s="44"/>
      <c r="C201" s="44"/>
      <c r="D201" s="44"/>
      <c r="E201" s="44">
        <f>IFERROR(__xludf.DUMMYFUNCTION("IFERROR(INDEX(QUERY(ENCUESTA_GESTION!$A$3:$H1000,""SELECT sum(H) WHERE B='""&amp;$D201&amp;""'   "",0),2),"""")"),0.0)</f>
        <v>0</v>
      </c>
      <c r="F201" s="44">
        <f>IFERROR(__xludf.DUMMYFUNCTION("IFERROR(INDEX(QUERY(ENCUESTA_REU!$A$3:$H1000,""SELECT sum(H) WHERE B='""&amp;$D201&amp;""'   "",0),2),"""")"),0.0)</f>
        <v>0</v>
      </c>
      <c r="G201" s="44">
        <f>IFERROR(__xludf.DUMMYFUNCTION("IFERROR(INDEX(QUERY(ENCUESTA_DER!$A$3:$H1000,""SELECT sum(H) WHERE B='""&amp;$D201&amp;""'   "",0),2),"""")"),0.0)</f>
        <v>0</v>
      </c>
      <c r="H201" s="45">
        <f t="shared" si="2"/>
        <v>0</v>
      </c>
      <c r="I201" s="45"/>
      <c r="J201" s="44"/>
      <c r="K201" s="44"/>
    </row>
    <row r="202" ht="15.75" customHeight="1">
      <c r="A202" s="44"/>
      <c r="B202" s="44"/>
      <c r="C202" s="44"/>
      <c r="D202" s="44"/>
      <c r="E202" s="44">
        <f>IFERROR(__xludf.DUMMYFUNCTION("IFERROR(INDEX(QUERY(ENCUESTA_GESTION!$A$3:$H1000,""SELECT sum(H) WHERE B='""&amp;$D202&amp;""'   "",0),2),"""")"),0.0)</f>
        <v>0</v>
      </c>
      <c r="F202" s="44">
        <f>IFERROR(__xludf.DUMMYFUNCTION("IFERROR(INDEX(QUERY(ENCUESTA_REU!$A$3:$H1000,""SELECT sum(H) WHERE B='""&amp;$D202&amp;""'   "",0),2),"""")"),0.0)</f>
        <v>0</v>
      </c>
      <c r="G202" s="44">
        <f>IFERROR(__xludf.DUMMYFUNCTION("IFERROR(INDEX(QUERY(ENCUESTA_DER!$A$3:$H1000,""SELECT sum(H) WHERE B='""&amp;$D202&amp;""'   "",0),2),"""")"),0.0)</f>
        <v>0</v>
      </c>
      <c r="H202" s="45">
        <f t="shared" si="2"/>
        <v>0</v>
      </c>
      <c r="I202" s="45"/>
      <c r="J202" s="44"/>
      <c r="K202" s="44"/>
    </row>
    <row r="203" ht="15.75" customHeight="1">
      <c r="A203" s="44"/>
      <c r="B203" s="44"/>
      <c r="C203" s="44"/>
      <c r="D203" s="44"/>
      <c r="E203" s="44">
        <f>IFERROR(__xludf.DUMMYFUNCTION("IFERROR(INDEX(QUERY(ENCUESTA_GESTION!$A$3:$H1000,""SELECT sum(H) WHERE B='""&amp;$D203&amp;""'   "",0),2),"""")"),0.0)</f>
        <v>0</v>
      </c>
      <c r="F203" s="44">
        <f>IFERROR(__xludf.DUMMYFUNCTION("IFERROR(INDEX(QUERY(ENCUESTA_REU!$A$3:$H1000,""SELECT sum(H) WHERE B='""&amp;$D203&amp;""'   "",0),2),"""")"),0.0)</f>
        <v>0</v>
      </c>
      <c r="G203" s="44">
        <f>IFERROR(__xludf.DUMMYFUNCTION("IFERROR(INDEX(QUERY(ENCUESTA_DER!$A$3:$H1000,""SELECT sum(H) WHERE B='""&amp;$D203&amp;""'   "",0),2),"""")"),0.0)</f>
        <v>0</v>
      </c>
      <c r="H203" s="45">
        <f t="shared" si="2"/>
        <v>0</v>
      </c>
      <c r="I203" s="45"/>
      <c r="J203" s="44"/>
      <c r="K203" s="44"/>
    </row>
    <row r="204" ht="15.75" customHeight="1">
      <c r="A204" s="44"/>
      <c r="B204" s="44"/>
      <c r="C204" s="44"/>
      <c r="D204" s="44"/>
      <c r="E204" s="44">
        <f>IFERROR(__xludf.DUMMYFUNCTION("IFERROR(INDEX(QUERY(ENCUESTA_GESTION!$A$3:$H1000,""SELECT sum(H) WHERE B='""&amp;$D204&amp;""'   "",0),2),"""")"),0.0)</f>
        <v>0</v>
      </c>
      <c r="F204" s="44">
        <f>IFERROR(__xludf.DUMMYFUNCTION("IFERROR(INDEX(QUERY(ENCUESTA_REU!$A$3:$H1000,""SELECT sum(H) WHERE B='""&amp;$D204&amp;""'   "",0),2),"""")"),0.0)</f>
        <v>0</v>
      </c>
      <c r="G204" s="44">
        <f>IFERROR(__xludf.DUMMYFUNCTION("IFERROR(INDEX(QUERY(ENCUESTA_DER!$A$3:$H1000,""SELECT sum(H) WHERE B='""&amp;$D204&amp;""'   "",0),2),"""")"),0.0)</f>
        <v>0</v>
      </c>
      <c r="H204" s="45">
        <f t="shared" si="2"/>
        <v>0</v>
      </c>
      <c r="I204" s="45"/>
      <c r="J204" s="44"/>
      <c r="K204" s="44"/>
    </row>
    <row r="205" ht="15.75" customHeight="1">
      <c r="A205" s="44"/>
      <c r="B205" s="44"/>
      <c r="C205" s="44"/>
      <c r="D205" s="44"/>
      <c r="E205" s="44">
        <f>IFERROR(__xludf.DUMMYFUNCTION("IFERROR(INDEX(QUERY(ENCUESTA_GESTION!$A$3:$H1000,""SELECT sum(H) WHERE B='""&amp;$D205&amp;""'   "",0),2),"""")"),0.0)</f>
        <v>0</v>
      </c>
      <c r="F205" s="44">
        <f>IFERROR(__xludf.DUMMYFUNCTION("IFERROR(INDEX(QUERY(ENCUESTA_REU!$A$3:$H1000,""SELECT sum(H) WHERE B='""&amp;$D205&amp;""'   "",0),2),"""")"),0.0)</f>
        <v>0</v>
      </c>
      <c r="G205" s="44">
        <f>IFERROR(__xludf.DUMMYFUNCTION("IFERROR(INDEX(QUERY(ENCUESTA_DER!$A$3:$H1000,""SELECT sum(H) WHERE B='""&amp;$D205&amp;""'   "",0),2),"""")"),0.0)</f>
        <v>0</v>
      </c>
      <c r="H205" s="45">
        <f t="shared" si="2"/>
        <v>0</v>
      </c>
      <c r="I205" s="45"/>
      <c r="J205" s="44"/>
      <c r="K205" s="44"/>
    </row>
    <row r="206" ht="15.75" customHeight="1">
      <c r="A206" s="44"/>
      <c r="B206" s="44"/>
      <c r="C206" s="44"/>
      <c r="D206" s="44"/>
      <c r="E206" s="44">
        <f>IFERROR(__xludf.DUMMYFUNCTION("IFERROR(INDEX(QUERY(ENCUESTA_GESTION!$A$3:$H1000,""SELECT sum(H) WHERE B='""&amp;$D206&amp;""'   "",0),2),"""")"),0.0)</f>
        <v>0</v>
      </c>
      <c r="F206" s="44">
        <f>IFERROR(__xludf.DUMMYFUNCTION("IFERROR(INDEX(QUERY(ENCUESTA_REU!$A$3:$H1000,""SELECT sum(H) WHERE B='""&amp;$D206&amp;""'   "",0),2),"""")"),0.0)</f>
        <v>0</v>
      </c>
      <c r="G206" s="44">
        <f>IFERROR(__xludf.DUMMYFUNCTION("IFERROR(INDEX(QUERY(ENCUESTA_DER!$A$3:$H1000,""SELECT sum(H) WHERE B='""&amp;$D206&amp;""'   "",0),2),"""")"),0.0)</f>
        <v>0</v>
      </c>
      <c r="H206" s="45">
        <f t="shared" si="2"/>
        <v>0</v>
      </c>
      <c r="I206" s="45"/>
      <c r="J206" s="44"/>
      <c r="K206" s="44"/>
    </row>
    <row r="207" ht="15.75" customHeight="1">
      <c r="A207" s="44"/>
      <c r="B207" s="44"/>
      <c r="C207" s="44"/>
      <c r="D207" s="44"/>
      <c r="E207" s="44">
        <f>IFERROR(__xludf.DUMMYFUNCTION("IFERROR(INDEX(QUERY(ENCUESTA_GESTION!$A$3:$H1000,""SELECT sum(H) WHERE B='""&amp;$D207&amp;""'   "",0),2),"""")"),0.0)</f>
        <v>0</v>
      </c>
      <c r="F207" s="44">
        <f>IFERROR(__xludf.DUMMYFUNCTION("IFERROR(INDEX(QUERY(ENCUESTA_REU!$A$3:$H1000,""SELECT sum(H) WHERE B='""&amp;$D207&amp;""'   "",0),2),"""")"),0.0)</f>
        <v>0</v>
      </c>
      <c r="G207" s="44">
        <f>IFERROR(__xludf.DUMMYFUNCTION("IFERROR(INDEX(QUERY(ENCUESTA_DER!$A$3:$H1000,""SELECT sum(H) WHERE B='""&amp;$D207&amp;""'   "",0),2),"""")"),0.0)</f>
        <v>0</v>
      </c>
      <c r="H207" s="45">
        <f t="shared" si="2"/>
        <v>0</v>
      </c>
      <c r="I207" s="45"/>
      <c r="J207" s="44"/>
      <c r="K207" s="44"/>
    </row>
    <row r="208" ht="15.75" customHeight="1">
      <c r="A208" s="44"/>
      <c r="B208" s="44"/>
      <c r="C208" s="44"/>
      <c r="D208" s="44"/>
      <c r="E208" s="44">
        <f>IFERROR(__xludf.DUMMYFUNCTION("IFERROR(INDEX(QUERY(ENCUESTA_GESTION!$A$3:$H1000,""SELECT sum(H) WHERE B='""&amp;$D208&amp;""'   "",0),2),"""")"),0.0)</f>
        <v>0</v>
      </c>
      <c r="F208" s="44">
        <f>IFERROR(__xludf.DUMMYFUNCTION("IFERROR(INDEX(QUERY(ENCUESTA_REU!$A$3:$H1000,""SELECT sum(H) WHERE B='""&amp;$D208&amp;""'   "",0),2),"""")"),0.0)</f>
        <v>0</v>
      </c>
      <c r="G208" s="44">
        <f>IFERROR(__xludf.DUMMYFUNCTION("IFERROR(INDEX(QUERY(ENCUESTA_DER!$A$3:$H1000,""SELECT sum(H) WHERE B='""&amp;$D208&amp;""'   "",0),2),"""")"),0.0)</f>
        <v>0</v>
      </c>
      <c r="H208" s="45">
        <f t="shared" si="2"/>
        <v>0</v>
      </c>
      <c r="I208" s="45"/>
      <c r="J208" s="44"/>
      <c r="K208" s="44"/>
    </row>
    <row r="209" ht="15.75" customHeight="1">
      <c r="A209" s="44"/>
      <c r="B209" s="44"/>
      <c r="C209" s="44"/>
      <c r="D209" s="44"/>
      <c r="E209" s="44">
        <f>IFERROR(__xludf.DUMMYFUNCTION("IFERROR(INDEX(QUERY(ENCUESTA_GESTION!$A$3:$H1000,""SELECT sum(H) WHERE B='""&amp;$D209&amp;""'   "",0),2),"""")"),0.0)</f>
        <v>0</v>
      </c>
      <c r="F209" s="44">
        <f>IFERROR(__xludf.DUMMYFUNCTION("IFERROR(INDEX(QUERY(ENCUESTA_REU!$A$3:$H1000,""SELECT sum(H) WHERE B='""&amp;$D209&amp;""'   "",0),2),"""")"),0.0)</f>
        <v>0</v>
      </c>
      <c r="G209" s="44">
        <f>IFERROR(__xludf.DUMMYFUNCTION("IFERROR(INDEX(QUERY(ENCUESTA_DER!$A$3:$H1000,""SELECT sum(H) WHERE B='""&amp;$D209&amp;""'   "",0),2),"""")"),0.0)</f>
        <v>0</v>
      </c>
      <c r="H209" s="45">
        <f t="shared" si="2"/>
        <v>0</v>
      </c>
      <c r="I209" s="45"/>
      <c r="J209" s="44"/>
      <c r="K209" s="44"/>
    </row>
    <row r="210" ht="15.75" customHeight="1">
      <c r="A210" s="44"/>
      <c r="B210" s="44"/>
      <c r="C210" s="44"/>
      <c r="D210" s="44"/>
      <c r="E210" s="44">
        <f>IFERROR(__xludf.DUMMYFUNCTION("IFERROR(INDEX(QUERY(ENCUESTA_GESTION!$A$3:$H1000,""SELECT sum(H) WHERE B='""&amp;$D210&amp;""'   "",0),2),"""")"),0.0)</f>
        <v>0</v>
      </c>
      <c r="F210" s="44">
        <f>IFERROR(__xludf.DUMMYFUNCTION("IFERROR(INDEX(QUERY(ENCUESTA_REU!$A$3:$H1000,""SELECT sum(H) WHERE B='""&amp;$D210&amp;""'   "",0),2),"""")"),0.0)</f>
        <v>0</v>
      </c>
      <c r="G210" s="44">
        <f>IFERROR(__xludf.DUMMYFUNCTION("IFERROR(INDEX(QUERY(ENCUESTA_DER!$A$3:$H1000,""SELECT sum(H) WHERE B='""&amp;$D210&amp;""'   "",0),2),"""")"),0.0)</f>
        <v>0</v>
      </c>
      <c r="H210" s="45">
        <f t="shared" si="2"/>
        <v>0</v>
      </c>
      <c r="I210" s="45"/>
      <c r="J210" s="44"/>
      <c r="K210" s="44"/>
    </row>
    <row r="211" ht="15.75" customHeight="1">
      <c r="A211" s="44"/>
      <c r="B211" s="44"/>
      <c r="C211" s="44"/>
      <c r="D211" s="44"/>
      <c r="E211" s="44">
        <f>IFERROR(__xludf.DUMMYFUNCTION("IFERROR(INDEX(QUERY(ENCUESTA_GESTION!$A$3:$H1000,""SELECT sum(H) WHERE B='""&amp;$D211&amp;""'   "",0),2),"""")"),0.0)</f>
        <v>0</v>
      </c>
      <c r="F211" s="44">
        <f>IFERROR(__xludf.DUMMYFUNCTION("IFERROR(INDEX(QUERY(ENCUESTA_REU!$A$3:$H1000,""SELECT sum(H) WHERE B='""&amp;$D211&amp;""'   "",0),2),"""")"),0.0)</f>
        <v>0</v>
      </c>
      <c r="G211" s="44">
        <f>IFERROR(__xludf.DUMMYFUNCTION("IFERROR(INDEX(QUERY(ENCUESTA_DER!$A$3:$H1000,""SELECT sum(H) WHERE B='""&amp;$D211&amp;""'   "",0),2),"""")"),0.0)</f>
        <v>0</v>
      </c>
      <c r="H211" s="45">
        <f t="shared" si="2"/>
        <v>0</v>
      </c>
      <c r="I211" s="45"/>
      <c r="J211" s="44"/>
      <c r="K211" s="44"/>
    </row>
    <row r="212" ht="15.75" customHeight="1">
      <c r="A212" s="44"/>
      <c r="B212" s="44"/>
      <c r="C212" s="44"/>
      <c r="D212" s="44"/>
      <c r="E212" s="44">
        <f>IFERROR(__xludf.DUMMYFUNCTION("IFERROR(INDEX(QUERY(ENCUESTA_GESTION!$A$3:$H1000,""SELECT sum(H) WHERE B='""&amp;$D212&amp;""'   "",0),2),"""")"),0.0)</f>
        <v>0</v>
      </c>
      <c r="F212" s="44">
        <f>IFERROR(__xludf.DUMMYFUNCTION("IFERROR(INDEX(QUERY(ENCUESTA_REU!$A$3:$H1000,""SELECT sum(H) WHERE B='""&amp;$D212&amp;""'   "",0),2),"""")"),0.0)</f>
        <v>0</v>
      </c>
      <c r="G212" s="44">
        <f>IFERROR(__xludf.DUMMYFUNCTION("IFERROR(INDEX(QUERY(ENCUESTA_DER!$A$3:$H1000,""SELECT sum(H) WHERE B='""&amp;$D212&amp;""'   "",0),2),"""")"),0.0)</f>
        <v>0</v>
      </c>
      <c r="H212" s="45">
        <f t="shared" si="2"/>
        <v>0</v>
      </c>
      <c r="I212" s="45"/>
      <c r="J212" s="44"/>
      <c r="K212" s="44"/>
    </row>
    <row r="213" ht="15.75" customHeight="1">
      <c r="A213" s="44"/>
      <c r="B213" s="44"/>
      <c r="C213" s="44"/>
      <c r="D213" s="44"/>
      <c r="E213" s="44">
        <f>IFERROR(__xludf.DUMMYFUNCTION("IFERROR(INDEX(QUERY(ENCUESTA_GESTION!$A$3:$H1000,""SELECT sum(H) WHERE B='""&amp;$D213&amp;""'   "",0),2),"""")"),0.0)</f>
        <v>0</v>
      </c>
      <c r="F213" s="44">
        <f>IFERROR(__xludf.DUMMYFUNCTION("IFERROR(INDEX(QUERY(ENCUESTA_REU!$A$3:$H1000,""SELECT sum(H) WHERE B='""&amp;$D213&amp;""'   "",0),2),"""")"),0.0)</f>
        <v>0</v>
      </c>
      <c r="G213" s="44">
        <f>IFERROR(__xludf.DUMMYFUNCTION("IFERROR(INDEX(QUERY(ENCUESTA_DER!$A$3:$H1000,""SELECT sum(H) WHERE B='""&amp;$D213&amp;""'   "",0),2),"""")"),0.0)</f>
        <v>0</v>
      </c>
      <c r="H213" s="45">
        <f t="shared" si="2"/>
        <v>0</v>
      </c>
      <c r="I213" s="45"/>
      <c r="J213" s="44"/>
      <c r="K213" s="44"/>
    </row>
    <row r="214" ht="15.75" customHeight="1">
      <c r="A214" s="44"/>
      <c r="B214" s="44"/>
      <c r="C214" s="44"/>
      <c r="D214" s="44"/>
      <c r="E214" s="44">
        <f>IFERROR(__xludf.DUMMYFUNCTION("IFERROR(INDEX(QUERY(ENCUESTA_GESTION!$A$3:$H1000,""SELECT sum(H) WHERE B='""&amp;$D214&amp;""'   "",0),2),"""")"),0.0)</f>
        <v>0</v>
      </c>
      <c r="F214" s="44">
        <f>IFERROR(__xludf.DUMMYFUNCTION("IFERROR(INDEX(QUERY(ENCUESTA_REU!$A$3:$H1000,""SELECT sum(H) WHERE B='""&amp;$D214&amp;""'   "",0),2),"""")"),0.0)</f>
        <v>0</v>
      </c>
      <c r="G214" s="44">
        <f>IFERROR(__xludf.DUMMYFUNCTION("IFERROR(INDEX(QUERY(ENCUESTA_DER!$A$3:$H1000,""SELECT sum(H) WHERE B='""&amp;$D214&amp;""'   "",0),2),"""")"),0.0)</f>
        <v>0</v>
      </c>
      <c r="H214" s="45">
        <f t="shared" si="2"/>
        <v>0</v>
      </c>
      <c r="I214" s="45"/>
      <c r="J214" s="44"/>
      <c r="K214" s="44"/>
    </row>
    <row r="215" ht="15.75" customHeight="1">
      <c r="A215" s="44"/>
      <c r="B215" s="44"/>
      <c r="C215" s="44"/>
      <c r="D215" s="44"/>
      <c r="E215" s="44">
        <f>IFERROR(__xludf.DUMMYFUNCTION("IFERROR(INDEX(QUERY(ENCUESTA_GESTION!$A$3:$H1000,""SELECT sum(H) WHERE B='""&amp;$D215&amp;""'   "",0),2),"""")"),0.0)</f>
        <v>0</v>
      </c>
      <c r="F215" s="44">
        <f>IFERROR(__xludf.DUMMYFUNCTION("IFERROR(INDEX(QUERY(ENCUESTA_REU!$A$3:$H1000,""SELECT sum(H) WHERE B='""&amp;$D215&amp;""'   "",0),2),"""")"),0.0)</f>
        <v>0</v>
      </c>
      <c r="G215" s="44">
        <f>IFERROR(__xludf.DUMMYFUNCTION("IFERROR(INDEX(QUERY(ENCUESTA_DER!$A$3:$H1000,""SELECT sum(H) WHERE B='""&amp;$D215&amp;""'   "",0),2),"""")"),0.0)</f>
        <v>0</v>
      </c>
      <c r="H215" s="45">
        <f t="shared" si="2"/>
        <v>0</v>
      </c>
      <c r="I215" s="45"/>
      <c r="J215" s="44"/>
      <c r="K215" s="44"/>
    </row>
    <row r="216" ht="15.75" customHeight="1">
      <c r="A216" s="44"/>
      <c r="B216" s="44"/>
      <c r="C216" s="44"/>
      <c r="D216" s="44"/>
      <c r="E216" s="44">
        <f>IFERROR(__xludf.DUMMYFUNCTION("IFERROR(INDEX(QUERY(ENCUESTA_GESTION!$A$3:$H1000,""SELECT sum(H) WHERE B='""&amp;$D216&amp;""'   "",0),2),"""")"),0.0)</f>
        <v>0</v>
      </c>
      <c r="F216" s="44">
        <f>IFERROR(__xludf.DUMMYFUNCTION("IFERROR(INDEX(QUERY(ENCUESTA_REU!$A$3:$H1000,""SELECT sum(H) WHERE B='""&amp;$D216&amp;""'   "",0),2),"""")"),0.0)</f>
        <v>0</v>
      </c>
      <c r="G216" s="44">
        <f>IFERROR(__xludf.DUMMYFUNCTION("IFERROR(INDEX(QUERY(ENCUESTA_DER!$A$3:$H1000,""SELECT sum(H) WHERE B='""&amp;$D216&amp;""'   "",0),2),"""")"),0.0)</f>
        <v>0</v>
      </c>
      <c r="H216" s="45">
        <f t="shared" si="2"/>
        <v>0</v>
      </c>
      <c r="I216" s="45"/>
      <c r="J216" s="44"/>
      <c r="K216" s="44"/>
    </row>
    <row r="217" ht="15.75" customHeight="1">
      <c r="A217" s="44"/>
      <c r="B217" s="44"/>
      <c r="C217" s="44"/>
      <c r="D217" s="44"/>
      <c r="E217" s="44">
        <f>IFERROR(__xludf.DUMMYFUNCTION("IFERROR(INDEX(QUERY(ENCUESTA_GESTION!$A$3:$H1000,""SELECT sum(H) WHERE B='""&amp;$D217&amp;""'   "",0),2),"""")"),0.0)</f>
        <v>0</v>
      </c>
      <c r="F217" s="44">
        <f>IFERROR(__xludf.DUMMYFUNCTION("IFERROR(INDEX(QUERY(ENCUESTA_REU!$A$3:$H1000,""SELECT sum(H) WHERE B='""&amp;$D217&amp;""'   "",0),2),"""")"),0.0)</f>
        <v>0</v>
      </c>
      <c r="G217" s="44">
        <f>IFERROR(__xludf.DUMMYFUNCTION("IFERROR(INDEX(QUERY(ENCUESTA_DER!$A$3:$H1000,""SELECT sum(H) WHERE B='""&amp;$D217&amp;""'   "",0),2),"""")"),0.0)</f>
        <v>0</v>
      </c>
      <c r="H217" s="45">
        <f t="shared" si="2"/>
        <v>0</v>
      </c>
      <c r="I217" s="45"/>
      <c r="J217" s="44"/>
      <c r="K217" s="44"/>
    </row>
    <row r="218" ht="15.75" customHeight="1">
      <c r="A218" s="44"/>
      <c r="B218" s="44"/>
      <c r="C218" s="44"/>
      <c r="D218" s="44"/>
      <c r="E218" s="44">
        <f>IFERROR(__xludf.DUMMYFUNCTION("IFERROR(INDEX(QUERY(ENCUESTA_GESTION!$A$3:$H1000,""SELECT sum(H) WHERE B='""&amp;$D218&amp;""'   "",0),2),"""")"),0.0)</f>
        <v>0</v>
      </c>
      <c r="F218" s="44">
        <f>IFERROR(__xludf.DUMMYFUNCTION("IFERROR(INDEX(QUERY(ENCUESTA_REU!$A$3:$H1000,""SELECT sum(H) WHERE B='""&amp;$D218&amp;""'   "",0),2),"""")"),0.0)</f>
        <v>0</v>
      </c>
      <c r="G218" s="44">
        <f>IFERROR(__xludf.DUMMYFUNCTION("IFERROR(INDEX(QUERY(ENCUESTA_DER!$A$3:$H1000,""SELECT sum(H) WHERE B='""&amp;$D218&amp;""'   "",0),2),"""")"),0.0)</f>
        <v>0</v>
      </c>
      <c r="H218" s="45">
        <f t="shared" si="2"/>
        <v>0</v>
      </c>
      <c r="I218" s="45"/>
      <c r="J218" s="44"/>
      <c r="K218" s="44"/>
    </row>
    <row r="219" ht="15.75" customHeight="1">
      <c r="A219" s="44"/>
      <c r="B219" s="44"/>
      <c r="C219" s="44"/>
      <c r="D219" s="44"/>
      <c r="E219" s="44">
        <f>IFERROR(__xludf.DUMMYFUNCTION("IFERROR(INDEX(QUERY(ENCUESTA_GESTION!$A$3:$H1000,""SELECT sum(H) WHERE B='""&amp;$D219&amp;""'   "",0),2),"""")"),0.0)</f>
        <v>0</v>
      </c>
      <c r="F219" s="44">
        <f>IFERROR(__xludf.DUMMYFUNCTION("IFERROR(INDEX(QUERY(ENCUESTA_REU!$A$3:$H1000,""SELECT sum(H) WHERE B='""&amp;$D219&amp;""'   "",0),2),"""")"),0.0)</f>
        <v>0</v>
      </c>
      <c r="G219" s="44">
        <f>IFERROR(__xludf.DUMMYFUNCTION("IFERROR(INDEX(QUERY(ENCUESTA_DER!$A$3:$H1000,""SELECT sum(H) WHERE B='""&amp;$D219&amp;""'   "",0),2),"""")"),0.0)</f>
        <v>0</v>
      </c>
      <c r="H219" s="45">
        <f t="shared" si="2"/>
        <v>0</v>
      </c>
      <c r="I219" s="45"/>
      <c r="J219" s="44"/>
      <c r="K219" s="44"/>
    </row>
    <row r="220" ht="15.75" customHeight="1">
      <c r="A220" s="44"/>
      <c r="B220" s="44"/>
      <c r="C220" s="44"/>
      <c r="D220" s="44"/>
      <c r="E220" s="44">
        <f>IFERROR(__xludf.DUMMYFUNCTION("IFERROR(INDEX(QUERY(ENCUESTA_GESTION!$A$3:$H1000,""SELECT sum(H) WHERE B='""&amp;$D220&amp;""'   "",0),2),"""")"),0.0)</f>
        <v>0</v>
      </c>
      <c r="F220" s="44">
        <f>IFERROR(__xludf.DUMMYFUNCTION("IFERROR(INDEX(QUERY(ENCUESTA_REU!$A$3:$H1000,""SELECT sum(H) WHERE B='""&amp;$D220&amp;""'   "",0),2),"""")"),0.0)</f>
        <v>0</v>
      </c>
      <c r="G220" s="44">
        <f>IFERROR(__xludf.DUMMYFUNCTION("IFERROR(INDEX(QUERY(ENCUESTA_DER!$A$3:$H1000,""SELECT sum(H) WHERE B='""&amp;$D220&amp;""'   "",0),2),"""")"),0.0)</f>
        <v>0</v>
      </c>
      <c r="H220" s="45">
        <f t="shared" si="2"/>
        <v>0</v>
      </c>
      <c r="I220" s="45"/>
      <c r="J220" s="44"/>
      <c r="K220" s="44"/>
    </row>
    <row r="221" ht="15.75" customHeight="1">
      <c r="A221" s="44"/>
      <c r="B221" s="44"/>
      <c r="C221" s="44"/>
      <c r="D221" s="44"/>
      <c r="E221" s="44">
        <f>IFERROR(__xludf.DUMMYFUNCTION("IFERROR(INDEX(QUERY(ENCUESTA_GESTION!$A$3:$H1000,""SELECT sum(H) WHERE B='""&amp;$D221&amp;""'   "",0),2),"""")"),0.0)</f>
        <v>0</v>
      </c>
      <c r="F221" s="44">
        <f>IFERROR(__xludf.DUMMYFUNCTION("IFERROR(INDEX(QUERY(ENCUESTA_REU!$A$3:$H1000,""SELECT sum(H) WHERE B='""&amp;$D221&amp;""'   "",0),2),"""")"),0.0)</f>
        <v>0</v>
      </c>
      <c r="G221" s="44">
        <f>IFERROR(__xludf.DUMMYFUNCTION("IFERROR(INDEX(QUERY(ENCUESTA_DER!$A$3:$H1000,""SELECT sum(H) WHERE B='""&amp;$D221&amp;""'   "",0),2),"""")"),0.0)</f>
        <v>0</v>
      </c>
      <c r="H221" s="45">
        <f t="shared" si="2"/>
        <v>0</v>
      </c>
      <c r="I221" s="45"/>
      <c r="J221" s="44"/>
      <c r="K221" s="44"/>
    </row>
    <row r="222" ht="15.75" customHeight="1">
      <c r="A222" s="44"/>
      <c r="B222" s="44"/>
      <c r="C222" s="44"/>
      <c r="D222" s="44"/>
      <c r="E222" s="44">
        <f>IFERROR(__xludf.DUMMYFUNCTION("IFERROR(INDEX(QUERY(ENCUESTA_GESTION!$A$3:$H1000,""SELECT sum(H) WHERE B='""&amp;$D222&amp;""'   "",0),2),"""")"),0.0)</f>
        <v>0</v>
      </c>
      <c r="F222" s="44">
        <f>IFERROR(__xludf.DUMMYFUNCTION("IFERROR(INDEX(QUERY(ENCUESTA_REU!$A$3:$H1000,""SELECT sum(H) WHERE B='""&amp;$D222&amp;""'   "",0),2),"""")"),0.0)</f>
        <v>0</v>
      </c>
      <c r="G222" s="44">
        <f>IFERROR(__xludf.DUMMYFUNCTION("IFERROR(INDEX(QUERY(ENCUESTA_DER!$A$3:$H1000,""SELECT sum(H) WHERE B='""&amp;$D222&amp;""'   "",0),2),"""")"),0.0)</f>
        <v>0</v>
      </c>
      <c r="H222" s="45">
        <f t="shared" si="2"/>
        <v>0</v>
      </c>
      <c r="I222" s="45"/>
      <c r="J222" s="44"/>
      <c r="K222" s="44"/>
    </row>
    <row r="223" ht="15.75" customHeight="1">
      <c r="A223" s="44"/>
      <c r="B223" s="44"/>
      <c r="C223" s="44"/>
      <c r="D223" s="44"/>
      <c r="E223" s="44">
        <f>IFERROR(__xludf.DUMMYFUNCTION("IFERROR(INDEX(QUERY(ENCUESTA_GESTION!$A$3:$H1000,""SELECT sum(H) WHERE B='""&amp;$D223&amp;""'   "",0),2),"""")"),0.0)</f>
        <v>0</v>
      </c>
      <c r="F223" s="44">
        <f>IFERROR(__xludf.DUMMYFUNCTION("IFERROR(INDEX(QUERY(ENCUESTA_REU!$A$3:$H1000,""SELECT sum(H) WHERE B='""&amp;$D223&amp;""'   "",0),2),"""")"),0.0)</f>
        <v>0</v>
      </c>
      <c r="G223" s="44">
        <f>IFERROR(__xludf.DUMMYFUNCTION("IFERROR(INDEX(QUERY(ENCUESTA_DER!$A$3:$H1000,""SELECT sum(H) WHERE B='""&amp;$D223&amp;""'   "",0),2),"""")"),0.0)</f>
        <v>0</v>
      </c>
      <c r="H223" s="45">
        <f t="shared" si="2"/>
        <v>0</v>
      </c>
      <c r="I223" s="45"/>
      <c r="J223" s="44"/>
      <c r="K223" s="44"/>
    </row>
    <row r="224" ht="15.75" customHeight="1">
      <c r="A224" s="44"/>
      <c r="B224" s="44"/>
      <c r="C224" s="44"/>
      <c r="D224" s="44"/>
      <c r="E224" s="44">
        <f>IFERROR(__xludf.DUMMYFUNCTION("IFERROR(INDEX(QUERY(ENCUESTA_GESTION!$A$3:$H1000,""SELECT sum(H) WHERE B='""&amp;$D224&amp;""'   "",0),2),"""")"),0.0)</f>
        <v>0</v>
      </c>
      <c r="F224" s="44">
        <f>IFERROR(__xludf.DUMMYFUNCTION("IFERROR(INDEX(QUERY(ENCUESTA_REU!$A$3:$H1000,""SELECT sum(H) WHERE B='""&amp;$D224&amp;""'   "",0),2),"""")"),0.0)</f>
        <v>0</v>
      </c>
      <c r="G224" s="44">
        <f>IFERROR(__xludf.DUMMYFUNCTION("IFERROR(INDEX(QUERY(ENCUESTA_DER!$A$3:$H1000,""SELECT sum(H) WHERE B='""&amp;$D224&amp;""'   "",0),2),"""")"),0.0)</f>
        <v>0</v>
      </c>
      <c r="H224" s="45">
        <f t="shared" si="2"/>
        <v>0</v>
      </c>
      <c r="I224" s="45"/>
      <c r="J224" s="44"/>
      <c r="K224" s="44"/>
    </row>
    <row r="225" ht="15.75" customHeight="1">
      <c r="A225" s="44"/>
      <c r="B225" s="44"/>
      <c r="C225" s="44"/>
      <c r="D225" s="44"/>
      <c r="E225" s="44">
        <f>IFERROR(__xludf.DUMMYFUNCTION("IFERROR(INDEX(QUERY(ENCUESTA_GESTION!$A$3:$H1000,""SELECT sum(H) WHERE B='""&amp;$D225&amp;""'   "",0),2),"""")"),0.0)</f>
        <v>0</v>
      </c>
      <c r="F225" s="44">
        <f>IFERROR(__xludf.DUMMYFUNCTION("IFERROR(INDEX(QUERY(ENCUESTA_REU!$A$3:$H1000,""SELECT sum(H) WHERE B='""&amp;$D225&amp;""'   "",0),2),"""")"),0.0)</f>
        <v>0</v>
      </c>
      <c r="G225" s="44">
        <f>IFERROR(__xludf.DUMMYFUNCTION("IFERROR(INDEX(QUERY(ENCUESTA_DER!$A$3:$H1000,""SELECT sum(H) WHERE B='""&amp;$D225&amp;""'   "",0),2),"""")"),0.0)</f>
        <v>0</v>
      </c>
      <c r="H225" s="45">
        <f t="shared" si="2"/>
        <v>0</v>
      </c>
      <c r="I225" s="45"/>
      <c r="J225" s="44"/>
      <c r="K225" s="44"/>
    </row>
    <row r="226" ht="15.75" customHeight="1">
      <c r="A226" s="44"/>
      <c r="B226" s="44"/>
      <c r="C226" s="44"/>
      <c r="D226" s="44"/>
      <c r="E226" s="44">
        <f>IFERROR(__xludf.DUMMYFUNCTION("IFERROR(INDEX(QUERY(ENCUESTA_GESTION!$A$3:$H1000,""SELECT sum(H) WHERE B='""&amp;$D226&amp;""'   "",0),2),"""")"),0.0)</f>
        <v>0</v>
      </c>
      <c r="F226" s="44">
        <f>IFERROR(__xludf.DUMMYFUNCTION("IFERROR(INDEX(QUERY(ENCUESTA_REU!$A$3:$H1000,""SELECT sum(H) WHERE B='""&amp;$D226&amp;""'   "",0),2),"""")"),0.0)</f>
        <v>0</v>
      </c>
      <c r="G226" s="44">
        <f>IFERROR(__xludf.DUMMYFUNCTION("IFERROR(INDEX(QUERY(ENCUESTA_DER!$A$3:$H1000,""SELECT sum(H) WHERE B='""&amp;$D226&amp;""'   "",0),2),"""")"),0.0)</f>
        <v>0</v>
      </c>
      <c r="H226" s="45">
        <f t="shared" si="2"/>
        <v>0</v>
      </c>
      <c r="I226" s="45"/>
      <c r="J226" s="44"/>
      <c r="K226" s="44"/>
    </row>
    <row r="227" ht="15.75" customHeight="1">
      <c r="A227" s="44"/>
      <c r="B227" s="44"/>
      <c r="C227" s="44"/>
      <c r="D227" s="44"/>
      <c r="E227" s="44">
        <f>IFERROR(__xludf.DUMMYFUNCTION("IFERROR(INDEX(QUERY(ENCUESTA_GESTION!$A$3:$H1000,""SELECT sum(H) WHERE B='""&amp;$D227&amp;""'   "",0),2),"""")"),0.0)</f>
        <v>0</v>
      </c>
      <c r="F227" s="44">
        <f>IFERROR(__xludf.DUMMYFUNCTION("IFERROR(INDEX(QUERY(ENCUESTA_REU!$A$3:$H1000,""SELECT sum(H) WHERE B='""&amp;$D227&amp;""'   "",0),2),"""")"),0.0)</f>
        <v>0</v>
      </c>
      <c r="G227" s="44">
        <f>IFERROR(__xludf.DUMMYFUNCTION("IFERROR(INDEX(QUERY(ENCUESTA_DER!$A$3:$H1000,""SELECT sum(H) WHERE B='""&amp;$D227&amp;""'   "",0),2),"""")"),0.0)</f>
        <v>0</v>
      </c>
      <c r="H227" s="45">
        <f t="shared" si="2"/>
        <v>0</v>
      </c>
      <c r="I227" s="45"/>
      <c r="J227" s="44"/>
      <c r="K227" s="44"/>
    </row>
    <row r="228" ht="15.75" customHeight="1">
      <c r="A228" s="44"/>
      <c r="B228" s="44"/>
      <c r="C228" s="44"/>
      <c r="D228" s="44"/>
      <c r="E228" s="44">
        <f>IFERROR(__xludf.DUMMYFUNCTION("IFERROR(INDEX(QUERY(ENCUESTA_GESTION!$A$3:$H1000,""SELECT sum(H) WHERE B='""&amp;$D228&amp;""'   "",0),2),"""")"),0.0)</f>
        <v>0</v>
      </c>
      <c r="F228" s="44">
        <f>IFERROR(__xludf.DUMMYFUNCTION("IFERROR(INDEX(QUERY(ENCUESTA_REU!$A$3:$H1000,""SELECT sum(H) WHERE B='""&amp;$D228&amp;""'   "",0),2),"""")"),0.0)</f>
        <v>0</v>
      </c>
      <c r="G228" s="44">
        <f>IFERROR(__xludf.DUMMYFUNCTION("IFERROR(INDEX(QUERY(ENCUESTA_DER!$A$3:$H1000,""SELECT sum(H) WHERE B='""&amp;$D228&amp;""'   "",0),2),"""")"),0.0)</f>
        <v>0</v>
      </c>
      <c r="H228" s="45">
        <f t="shared" si="2"/>
        <v>0</v>
      </c>
      <c r="I228" s="45"/>
      <c r="J228" s="44"/>
      <c r="K228" s="44"/>
    </row>
    <row r="229" ht="15.75" customHeight="1">
      <c r="A229" s="44"/>
      <c r="B229" s="44"/>
      <c r="C229" s="44"/>
      <c r="D229" s="44"/>
      <c r="E229" s="44">
        <f>IFERROR(__xludf.DUMMYFUNCTION("IFERROR(INDEX(QUERY(ENCUESTA_GESTION!$A$3:$H1000,""SELECT sum(H) WHERE B='""&amp;$D229&amp;""'   "",0),2),"""")"),0.0)</f>
        <v>0</v>
      </c>
      <c r="F229" s="44">
        <f>IFERROR(__xludf.DUMMYFUNCTION("IFERROR(INDEX(QUERY(ENCUESTA_REU!$A$3:$H1000,""SELECT sum(H) WHERE B='""&amp;$D229&amp;""'   "",0),2),"""")"),0.0)</f>
        <v>0</v>
      </c>
      <c r="G229" s="44">
        <f>IFERROR(__xludf.DUMMYFUNCTION("IFERROR(INDEX(QUERY(ENCUESTA_DER!$A$3:$H1000,""SELECT sum(H) WHERE B='""&amp;$D229&amp;""'   "",0),2),"""")"),0.0)</f>
        <v>0</v>
      </c>
      <c r="H229" s="45">
        <f t="shared" si="2"/>
        <v>0</v>
      </c>
      <c r="I229" s="45"/>
      <c r="J229" s="44"/>
      <c r="K229" s="44"/>
    </row>
    <row r="230" ht="15.75" customHeight="1">
      <c r="A230" s="44"/>
      <c r="B230" s="44"/>
      <c r="C230" s="44"/>
      <c r="D230" s="44"/>
      <c r="E230" s="44">
        <f>IFERROR(__xludf.DUMMYFUNCTION("IFERROR(INDEX(QUERY(ENCUESTA_GESTION!$A$3:$H1000,""SELECT sum(H) WHERE B='""&amp;$D230&amp;""'   "",0),2),"""")"),0.0)</f>
        <v>0</v>
      </c>
      <c r="F230" s="44">
        <f>IFERROR(__xludf.DUMMYFUNCTION("IFERROR(INDEX(QUERY(ENCUESTA_REU!$A$3:$H1000,""SELECT sum(H) WHERE B='""&amp;$D230&amp;""'   "",0),2),"""")"),0.0)</f>
        <v>0</v>
      </c>
      <c r="G230" s="44">
        <f>IFERROR(__xludf.DUMMYFUNCTION("IFERROR(INDEX(QUERY(ENCUESTA_DER!$A$3:$H1000,""SELECT sum(H) WHERE B='""&amp;$D230&amp;""'   "",0),2),"""")"),0.0)</f>
        <v>0</v>
      </c>
      <c r="H230" s="45">
        <f t="shared" si="2"/>
        <v>0</v>
      </c>
      <c r="I230" s="45"/>
      <c r="J230" s="44"/>
      <c r="K230" s="44"/>
    </row>
    <row r="231" ht="15.75" customHeight="1">
      <c r="A231" s="44"/>
      <c r="B231" s="44"/>
      <c r="C231" s="44"/>
      <c r="D231" s="44"/>
      <c r="E231" s="44">
        <f>IFERROR(__xludf.DUMMYFUNCTION("IFERROR(INDEX(QUERY(ENCUESTA_GESTION!$A$3:$H1000,""SELECT sum(H) WHERE B='""&amp;$D231&amp;""'   "",0),2),"""")"),0.0)</f>
        <v>0</v>
      </c>
      <c r="F231" s="44">
        <f>IFERROR(__xludf.DUMMYFUNCTION("IFERROR(INDEX(QUERY(ENCUESTA_REU!$A$3:$H1000,""SELECT sum(H) WHERE B='""&amp;$D231&amp;""'   "",0),2),"""")"),0.0)</f>
        <v>0</v>
      </c>
      <c r="G231" s="44">
        <f>IFERROR(__xludf.DUMMYFUNCTION("IFERROR(INDEX(QUERY(ENCUESTA_DER!$A$3:$H1000,""SELECT sum(H) WHERE B='""&amp;$D231&amp;""'   "",0),2),"""")"),0.0)</f>
        <v>0</v>
      </c>
      <c r="H231" s="45">
        <f t="shared" si="2"/>
        <v>0</v>
      </c>
      <c r="I231" s="45"/>
      <c r="J231" s="44"/>
      <c r="K231" s="44"/>
    </row>
    <row r="232" ht="15.75" customHeight="1">
      <c r="A232" s="44"/>
      <c r="B232" s="44"/>
      <c r="C232" s="44"/>
      <c r="D232" s="44"/>
      <c r="E232" s="44">
        <f>IFERROR(__xludf.DUMMYFUNCTION("IFERROR(INDEX(QUERY(ENCUESTA_GESTION!$A$3:$H1000,""SELECT sum(H) WHERE B='""&amp;$D232&amp;""'   "",0),2),"""")"),0.0)</f>
        <v>0</v>
      </c>
      <c r="F232" s="44">
        <f>IFERROR(__xludf.DUMMYFUNCTION("IFERROR(INDEX(QUERY(ENCUESTA_REU!$A$3:$H1000,""SELECT sum(H) WHERE B='""&amp;$D232&amp;""'   "",0),2),"""")"),0.0)</f>
        <v>0</v>
      </c>
      <c r="G232" s="44">
        <f>IFERROR(__xludf.DUMMYFUNCTION("IFERROR(INDEX(QUERY(ENCUESTA_DER!$A$3:$H1000,""SELECT sum(H) WHERE B='""&amp;$D232&amp;""'   "",0),2),"""")"),0.0)</f>
        <v>0</v>
      </c>
      <c r="H232" s="45">
        <f t="shared" si="2"/>
        <v>0</v>
      </c>
      <c r="I232" s="45"/>
      <c r="J232" s="44"/>
      <c r="K232" s="44"/>
    </row>
    <row r="233" ht="15.75" customHeight="1">
      <c r="A233" s="44"/>
      <c r="B233" s="44"/>
      <c r="C233" s="44"/>
      <c r="D233" s="44"/>
      <c r="E233" s="44">
        <f>IFERROR(__xludf.DUMMYFUNCTION("IFERROR(INDEX(QUERY(ENCUESTA_GESTION!$A$3:$H1000,""SELECT sum(H) WHERE B='""&amp;$D233&amp;""'   "",0),2),"""")"),0.0)</f>
        <v>0</v>
      </c>
      <c r="F233" s="44">
        <f>IFERROR(__xludf.DUMMYFUNCTION("IFERROR(INDEX(QUERY(ENCUESTA_REU!$A$3:$H1000,""SELECT sum(H) WHERE B='""&amp;$D233&amp;""'   "",0),2),"""")"),0.0)</f>
        <v>0</v>
      </c>
      <c r="G233" s="44">
        <f>IFERROR(__xludf.DUMMYFUNCTION("IFERROR(INDEX(QUERY(ENCUESTA_DER!$A$3:$H1000,""SELECT sum(H) WHERE B='""&amp;$D233&amp;""'   "",0),2),"""")"),0.0)</f>
        <v>0</v>
      </c>
      <c r="H233" s="45">
        <f t="shared" si="2"/>
        <v>0</v>
      </c>
      <c r="I233" s="45"/>
      <c r="J233" s="44"/>
      <c r="K233" s="44"/>
    </row>
    <row r="234" ht="15.75" customHeight="1">
      <c r="A234" s="44"/>
      <c r="B234" s="44"/>
      <c r="C234" s="44"/>
      <c r="D234" s="44"/>
      <c r="E234" s="44">
        <f>IFERROR(__xludf.DUMMYFUNCTION("IFERROR(INDEX(QUERY(ENCUESTA_GESTION!$A$3:$H1000,""SELECT sum(H) WHERE B='""&amp;$D234&amp;""'   "",0),2),"""")"),0.0)</f>
        <v>0</v>
      </c>
      <c r="F234" s="44">
        <f>IFERROR(__xludf.DUMMYFUNCTION("IFERROR(INDEX(QUERY(ENCUESTA_REU!$A$3:$H1000,""SELECT sum(H) WHERE B='""&amp;$D234&amp;""'   "",0),2),"""")"),0.0)</f>
        <v>0</v>
      </c>
      <c r="G234" s="44">
        <f>IFERROR(__xludf.DUMMYFUNCTION("IFERROR(INDEX(QUERY(ENCUESTA_DER!$A$3:$H1000,""SELECT sum(H) WHERE B='""&amp;$D234&amp;""'   "",0),2),"""")"),0.0)</f>
        <v>0</v>
      </c>
      <c r="H234" s="45">
        <f t="shared" si="2"/>
        <v>0</v>
      </c>
      <c r="I234" s="45"/>
      <c r="J234" s="44"/>
      <c r="K234" s="44"/>
    </row>
    <row r="235" ht="15.75" customHeight="1">
      <c r="A235" s="44"/>
      <c r="B235" s="44"/>
      <c r="C235" s="44"/>
      <c r="D235" s="44"/>
      <c r="E235" s="44">
        <f>IFERROR(__xludf.DUMMYFUNCTION("IFERROR(INDEX(QUERY(ENCUESTA_GESTION!$A$3:$H1000,""SELECT sum(H) WHERE B='""&amp;$D235&amp;""'   "",0),2),"""")"),0.0)</f>
        <v>0</v>
      </c>
      <c r="F235" s="44">
        <f>IFERROR(__xludf.DUMMYFUNCTION("IFERROR(INDEX(QUERY(ENCUESTA_REU!$A$3:$H1000,""SELECT sum(H) WHERE B='""&amp;$D235&amp;""'   "",0),2),"""")"),0.0)</f>
        <v>0</v>
      </c>
      <c r="G235" s="44">
        <f>IFERROR(__xludf.DUMMYFUNCTION("IFERROR(INDEX(QUERY(ENCUESTA_DER!$A$3:$H1000,""SELECT sum(H) WHERE B='""&amp;$D235&amp;""'   "",0),2),"""")"),0.0)</f>
        <v>0</v>
      </c>
      <c r="H235" s="45">
        <f t="shared" si="2"/>
        <v>0</v>
      </c>
      <c r="I235" s="45"/>
      <c r="J235" s="44"/>
      <c r="K235" s="44"/>
    </row>
    <row r="236" ht="15.75" customHeight="1">
      <c r="A236" s="44"/>
      <c r="B236" s="44"/>
      <c r="C236" s="44"/>
      <c r="D236" s="44"/>
      <c r="E236" s="44">
        <f>IFERROR(__xludf.DUMMYFUNCTION("IFERROR(INDEX(QUERY(ENCUESTA_GESTION!$A$3:$H1000,""SELECT sum(H) WHERE B='""&amp;$D236&amp;""'   "",0),2),"""")"),0.0)</f>
        <v>0</v>
      </c>
      <c r="F236" s="44">
        <f>IFERROR(__xludf.DUMMYFUNCTION("IFERROR(INDEX(QUERY(ENCUESTA_REU!$A$3:$H1000,""SELECT sum(H) WHERE B='""&amp;$D236&amp;""'   "",0),2),"""")"),0.0)</f>
        <v>0</v>
      </c>
      <c r="G236" s="44">
        <f>IFERROR(__xludf.DUMMYFUNCTION("IFERROR(INDEX(QUERY(ENCUESTA_DER!$A$3:$H1000,""SELECT sum(H) WHERE B='""&amp;$D236&amp;""'   "",0),2),"""")"),0.0)</f>
        <v>0</v>
      </c>
      <c r="H236" s="45">
        <f t="shared" si="2"/>
        <v>0</v>
      </c>
      <c r="I236" s="45"/>
      <c r="J236" s="44"/>
      <c r="K236" s="44"/>
    </row>
    <row r="237" ht="15.75" customHeight="1">
      <c r="A237" s="44"/>
      <c r="B237" s="44"/>
      <c r="C237" s="44"/>
      <c r="D237" s="44"/>
      <c r="E237" s="44">
        <f>IFERROR(__xludf.DUMMYFUNCTION("IFERROR(INDEX(QUERY(ENCUESTA_GESTION!$A$3:$H1000,""SELECT sum(H) WHERE B='""&amp;$D237&amp;""'   "",0),2),"""")"),0.0)</f>
        <v>0</v>
      </c>
      <c r="F237" s="44">
        <f>IFERROR(__xludf.DUMMYFUNCTION("IFERROR(INDEX(QUERY(ENCUESTA_REU!$A$3:$H1000,""SELECT sum(H) WHERE B='""&amp;$D237&amp;""'   "",0),2),"""")"),0.0)</f>
        <v>0</v>
      </c>
      <c r="G237" s="44">
        <f>IFERROR(__xludf.DUMMYFUNCTION("IFERROR(INDEX(QUERY(ENCUESTA_DER!$A$3:$H1000,""SELECT sum(H) WHERE B='""&amp;$D237&amp;""'   "",0),2),"""")"),0.0)</f>
        <v>0</v>
      </c>
      <c r="H237" s="45">
        <f t="shared" si="2"/>
        <v>0</v>
      </c>
      <c r="I237" s="45"/>
      <c r="J237" s="44"/>
      <c r="K237" s="44"/>
    </row>
    <row r="238" ht="15.75" customHeight="1">
      <c r="A238" s="44"/>
      <c r="B238" s="44"/>
      <c r="C238" s="44"/>
      <c r="D238" s="44"/>
      <c r="E238" s="44">
        <f>IFERROR(__xludf.DUMMYFUNCTION("IFERROR(INDEX(QUERY(ENCUESTA_GESTION!$A$3:$H1000,""SELECT sum(H) WHERE B='""&amp;$D238&amp;""'   "",0),2),"""")"),0.0)</f>
        <v>0</v>
      </c>
      <c r="F238" s="44">
        <f>IFERROR(__xludf.DUMMYFUNCTION("IFERROR(INDEX(QUERY(ENCUESTA_REU!$A$3:$H1000,""SELECT sum(H) WHERE B='""&amp;$D238&amp;""'   "",0),2),"""")"),0.0)</f>
        <v>0</v>
      </c>
      <c r="G238" s="44">
        <f>IFERROR(__xludf.DUMMYFUNCTION("IFERROR(INDEX(QUERY(ENCUESTA_DER!$A$3:$H1000,""SELECT sum(H) WHERE B='""&amp;$D238&amp;""'   "",0),2),"""")"),0.0)</f>
        <v>0</v>
      </c>
      <c r="H238" s="45">
        <f t="shared" si="2"/>
        <v>0</v>
      </c>
      <c r="I238" s="45"/>
      <c r="J238" s="44"/>
      <c r="K238" s="44"/>
    </row>
    <row r="239" ht="15.75" customHeight="1">
      <c r="A239" s="44"/>
      <c r="B239" s="44"/>
      <c r="C239" s="44"/>
      <c r="D239" s="44"/>
      <c r="E239" s="44">
        <f>IFERROR(__xludf.DUMMYFUNCTION("IFERROR(INDEX(QUERY(ENCUESTA_GESTION!$A$3:$H1000,""SELECT sum(H) WHERE B='""&amp;$D239&amp;""'   "",0),2),"""")"),0.0)</f>
        <v>0</v>
      </c>
      <c r="F239" s="44">
        <f>IFERROR(__xludf.DUMMYFUNCTION("IFERROR(INDEX(QUERY(ENCUESTA_REU!$A$3:$H1000,""SELECT sum(H) WHERE B='""&amp;$D239&amp;""'   "",0),2),"""")"),0.0)</f>
        <v>0</v>
      </c>
      <c r="G239" s="44">
        <f>IFERROR(__xludf.DUMMYFUNCTION("IFERROR(INDEX(QUERY(ENCUESTA_DER!$A$3:$H1000,""SELECT sum(H) WHERE B='""&amp;$D239&amp;""'   "",0),2),"""")"),0.0)</f>
        <v>0</v>
      </c>
      <c r="H239" s="45">
        <f t="shared" si="2"/>
        <v>0</v>
      </c>
      <c r="I239" s="45"/>
      <c r="J239" s="44"/>
      <c r="K239" s="44"/>
    </row>
    <row r="240" ht="15.75" customHeight="1">
      <c r="A240" s="44"/>
      <c r="B240" s="44"/>
      <c r="C240" s="44"/>
      <c r="D240" s="44"/>
      <c r="E240" s="44">
        <f>IFERROR(__xludf.DUMMYFUNCTION("IFERROR(INDEX(QUERY(ENCUESTA_GESTION!$A$3:$H1000,""SELECT sum(H) WHERE B='""&amp;$D240&amp;""'   "",0),2),"""")"),0.0)</f>
        <v>0</v>
      </c>
      <c r="F240" s="44">
        <f>IFERROR(__xludf.DUMMYFUNCTION("IFERROR(INDEX(QUERY(ENCUESTA_REU!$A$3:$H1000,""SELECT sum(H) WHERE B='""&amp;$D240&amp;""'   "",0),2),"""")"),0.0)</f>
        <v>0</v>
      </c>
      <c r="G240" s="44">
        <f>IFERROR(__xludf.DUMMYFUNCTION("IFERROR(INDEX(QUERY(ENCUESTA_DER!$A$3:$H1000,""SELECT sum(H) WHERE B='""&amp;$D240&amp;""'   "",0),2),"""")"),0.0)</f>
        <v>0</v>
      </c>
      <c r="H240" s="45">
        <f t="shared" si="2"/>
        <v>0</v>
      </c>
      <c r="I240" s="45"/>
      <c r="J240" s="44"/>
      <c r="K240" s="44"/>
    </row>
    <row r="241" ht="15.75" customHeight="1">
      <c r="A241" s="44"/>
      <c r="B241" s="44"/>
      <c r="C241" s="44"/>
      <c r="D241" s="44"/>
      <c r="E241" s="44">
        <f>IFERROR(__xludf.DUMMYFUNCTION("IFERROR(INDEX(QUERY(ENCUESTA_GESTION!$A$3:$H1000,""SELECT sum(H) WHERE B='""&amp;$D241&amp;""'   "",0),2),"""")"),0.0)</f>
        <v>0</v>
      </c>
      <c r="F241" s="44">
        <f>IFERROR(__xludf.DUMMYFUNCTION("IFERROR(INDEX(QUERY(ENCUESTA_REU!$A$3:$H1000,""SELECT sum(H) WHERE B='""&amp;$D241&amp;""'   "",0),2),"""")"),0.0)</f>
        <v>0</v>
      </c>
      <c r="G241" s="44">
        <f>IFERROR(__xludf.DUMMYFUNCTION("IFERROR(INDEX(QUERY(ENCUESTA_DER!$A$3:$H1000,""SELECT sum(H) WHERE B='""&amp;$D241&amp;""'   "",0),2),"""")"),0.0)</f>
        <v>0</v>
      </c>
      <c r="H241" s="45">
        <f t="shared" si="2"/>
        <v>0</v>
      </c>
      <c r="I241" s="45"/>
      <c r="J241" s="44"/>
      <c r="K241" s="44"/>
    </row>
    <row r="242" ht="15.75" customHeight="1">
      <c r="A242" s="44"/>
      <c r="B242" s="44"/>
      <c r="C242" s="44"/>
      <c r="D242" s="44"/>
      <c r="E242" s="44">
        <f>IFERROR(__xludf.DUMMYFUNCTION("IFERROR(INDEX(QUERY(ENCUESTA_GESTION!$A$3:$H1000,""SELECT sum(H) WHERE B='""&amp;$D242&amp;""'   "",0),2),"""")"),0.0)</f>
        <v>0</v>
      </c>
      <c r="F242" s="44">
        <f>IFERROR(__xludf.DUMMYFUNCTION("IFERROR(INDEX(QUERY(ENCUESTA_REU!$A$3:$H1000,""SELECT sum(H) WHERE B='""&amp;$D242&amp;""'   "",0),2),"""")"),0.0)</f>
        <v>0</v>
      </c>
      <c r="G242" s="44">
        <f>IFERROR(__xludf.DUMMYFUNCTION("IFERROR(INDEX(QUERY(ENCUESTA_DER!$A$3:$H1000,""SELECT sum(H) WHERE B='""&amp;$D242&amp;""'   "",0),2),"""")"),0.0)</f>
        <v>0</v>
      </c>
      <c r="H242" s="45">
        <f t="shared" si="2"/>
        <v>0</v>
      </c>
      <c r="I242" s="45"/>
      <c r="J242" s="44"/>
      <c r="K242" s="44"/>
    </row>
    <row r="243" ht="15.75" customHeight="1">
      <c r="A243" s="44"/>
      <c r="B243" s="44"/>
      <c r="C243" s="44"/>
      <c r="D243" s="44"/>
      <c r="E243" s="44">
        <f>IFERROR(__xludf.DUMMYFUNCTION("IFERROR(INDEX(QUERY(ENCUESTA_GESTION!$A$3:$H1000,""SELECT sum(H) WHERE B='""&amp;$D243&amp;""'   "",0),2),"""")"),0.0)</f>
        <v>0</v>
      </c>
      <c r="F243" s="44">
        <f>IFERROR(__xludf.DUMMYFUNCTION("IFERROR(INDEX(QUERY(ENCUESTA_REU!$A$3:$H1000,""SELECT sum(H) WHERE B='""&amp;$D243&amp;""'   "",0),2),"""")"),0.0)</f>
        <v>0</v>
      </c>
      <c r="G243" s="44">
        <f>IFERROR(__xludf.DUMMYFUNCTION("IFERROR(INDEX(QUERY(ENCUESTA_DER!$A$3:$H1000,""SELECT sum(H) WHERE B='""&amp;$D243&amp;""'   "",0),2),"""")"),0.0)</f>
        <v>0</v>
      </c>
      <c r="H243" s="45">
        <f t="shared" si="2"/>
        <v>0</v>
      </c>
      <c r="I243" s="45"/>
      <c r="J243" s="44"/>
      <c r="K243" s="44"/>
    </row>
    <row r="244" ht="15.75" customHeight="1">
      <c r="A244" s="44"/>
      <c r="B244" s="44"/>
      <c r="C244" s="44"/>
      <c r="D244" s="44"/>
      <c r="E244" s="44">
        <f>IFERROR(__xludf.DUMMYFUNCTION("IFERROR(INDEX(QUERY(ENCUESTA_GESTION!$A$3:$H1000,""SELECT sum(H) WHERE B='""&amp;$D244&amp;""'   "",0),2),"""")"),0.0)</f>
        <v>0</v>
      </c>
      <c r="F244" s="44">
        <f>IFERROR(__xludf.DUMMYFUNCTION("IFERROR(INDEX(QUERY(ENCUESTA_REU!$A$3:$H1000,""SELECT sum(H) WHERE B='""&amp;$D244&amp;""'   "",0),2),"""")"),0.0)</f>
        <v>0</v>
      </c>
      <c r="G244" s="44">
        <f>IFERROR(__xludf.DUMMYFUNCTION("IFERROR(INDEX(QUERY(ENCUESTA_DER!$A$3:$H1000,""SELECT sum(H) WHERE B='""&amp;$D244&amp;""'   "",0),2),"""")"),0.0)</f>
        <v>0</v>
      </c>
      <c r="H244" s="45">
        <f t="shared" si="2"/>
        <v>0</v>
      </c>
      <c r="I244" s="45"/>
      <c r="J244" s="44"/>
      <c r="K244" s="44"/>
    </row>
    <row r="245" ht="15.75" customHeight="1">
      <c r="A245" s="44"/>
      <c r="B245" s="44"/>
      <c r="C245" s="44"/>
      <c r="D245" s="44"/>
      <c r="E245" s="44">
        <f>IFERROR(__xludf.DUMMYFUNCTION("IFERROR(INDEX(QUERY(ENCUESTA_GESTION!$A$3:$H1000,""SELECT sum(H) WHERE B='""&amp;$D245&amp;""'   "",0),2),"""")"),0.0)</f>
        <v>0</v>
      </c>
      <c r="F245" s="44">
        <f>IFERROR(__xludf.DUMMYFUNCTION("IFERROR(INDEX(QUERY(ENCUESTA_REU!$A$3:$H1000,""SELECT sum(H) WHERE B='""&amp;$D245&amp;""'   "",0),2),"""")"),0.0)</f>
        <v>0</v>
      </c>
      <c r="G245" s="44">
        <f>IFERROR(__xludf.DUMMYFUNCTION("IFERROR(INDEX(QUERY(ENCUESTA_DER!$A$3:$H1000,""SELECT sum(H) WHERE B='""&amp;$D245&amp;""'   "",0),2),"""")"),0.0)</f>
        <v>0</v>
      </c>
      <c r="H245" s="45">
        <f t="shared" si="2"/>
        <v>0</v>
      </c>
      <c r="I245" s="45"/>
      <c r="J245" s="44"/>
      <c r="K245" s="44"/>
    </row>
    <row r="246" ht="15.75" customHeight="1">
      <c r="A246" s="44"/>
      <c r="B246" s="44"/>
      <c r="C246" s="44"/>
      <c r="D246" s="44"/>
      <c r="E246" s="44">
        <f>IFERROR(__xludf.DUMMYFUNCTION("IFERROR(INDEX(QUERY(ENCUESTA_GESTION!$A$3:$H1000,""SELECT sum(H) WHERE B='""&amp;$D246&amp;""'   "",0),2),"""")"),0.0)</f>
        <v>0</v>
      </c>
      <c r="F246" s="44">
        <f>IFERROR(__xludf.DUMMYFUNCTION("IFERROR(INDEX(QUERY(ENCUESTA_REU!$A$3:$H1000,""SELECT sum(H) WHERE B='""&amp;$D246&amp;""'   "",0),2),"""")"),0.0)</f>
        <v>0</v>
      </c>
      <c r="G246" s="44">
        <f>IFERROR(__xludf.DUMMYFUNCTION("IFERROR(INDEX(QUERY(ENCUESTA_DER!$A$3:$H1000,""SELECT sum(H) WHERE B='""&amp;$D246&amp;""'   "",0),2),"""")"),0.0)</f>
        <v>0</v>
      </c>
      <c r="H246" s="45">
        <f t="shared" si="2"/>
        <v>0</v>
      </c>
      <c r="I246" s="45"/>
      <c r="J246" s="44"/>
      <c r="K246" s="44"/>
    </row>
    <row r="247" ht="15.75" customHeight="1">
      <c r="A247" s="44"/>
      <c r="B247" s="44"/>
      <c r="C247" s="44"/>
      <c r="D247" s="44"/>
      <c r="E247" s="44">
        <f>IFERROR(__xludf.DUMMYFUNCTION("IFERROR(INDEX(QUERY(ENCUESTA_GESTION!$A$3:$H1000,""SELECT sum(H) WHERE B='""&amp;$D247&amp;""'   "",0),2),"""")"),0.0)</f>
        <v>0</v>
      </c>
      <c r="F247" s="44">
        <f>IFERROR(__xludf.DUMMYFUNCTION("IFERROR(INDEX(QUERY(ENCUESTA_REU!$A$3:$H1000,""SELECT sum(H) WHERE B='""&amp;$D247&amp;""'   "",0),2),"""")"),0.0)</f>
        <v>0</v>
      </c>
      <c r="G247" s="44">
        <f>IFERROR(__xludf.DUMMYFUNCTION("IFERROR(INDEX(QUERY(ENCUESTA_DER!$A$3:$H1000,""SELECT sum(H) WHERE B='""&amp;$D247&amp;""'   "",0),2),"""")"),0.0)</f>
        <v>0</v>
      </c>
      <c r="H247" s="45">
        <f t="shared" si="2"/>
        <v>0</v>
      </c>
      <c r="I247" s="45"/>
      <c r="J247" s="44"/>
      <c r="K247" s="44"/>
    </row>
    <row r="248" ht="15.75" customHeight="1">
      <c r="A248" s="44"/>
      <c r="B248" s="44"/>
      <c r="C248" s="44"/>
      <c r="D248" s="44"/>
      <c r="E248" s="44">
        <f>IFERROR(__xludf.DUMMYFUNCTION("IFERROR(INDEX(QUERY(ENCUESTA_GESTION!$A$3:$H1000,""SELECT sum(H) WHERE B='""&amp;$D248&amp;""'   "",0),2),"""")"),0.0)</f>
        <v>0</v>
      </c>
      <c r="F248" s="44">
        <f>IFERROR(__xludf.DUMMYFUNCTION("IFERROR(INDEX(QUERY(ENCUESTA_REU!$A$3:$H1000,""SELECT sum(H) WHERE B='""&amp;$D248&amp;""'   "",0),2),"""")"),0.0)</f>
        <v>0</v>
      </c>
      <c r="G248" s="44">
        <f>IFERROR(__xludf.DUMMYFUNCTION("IFERROR(INDEX(QUERY(ENCUESTA_DER!$A$3:$H1000,""SELECT sum(H) WHERE B='""&amp;$D248&amp;""'   "",0),2),"""")"),0.0)</f>
        <v>0</v>
      </c>
      <c r="H248" s="45">
        <f t="shared" si="2"/>
        <v>0</v>
      </c>
      <c r="I248" s="45"/>
      <c r="J248" s="44"/>
      <c r="K248" s="44"/>
    </row>
    <row r="249" ht="15.75" customHeight="1">
      <c r="A249" s="44"/>
      <c r="B249" s="44"/>
      <c r="C249" s="44"/>
      <c r="D249" s="44"/>
      <c r="E249" s="44">
        <f>IFERROR(__xludf.DUMMYFUNCTION("IFERROR(INDEX(QUERY(ENCUESTA_GESTION!$A$3:$H1000,""SELECT sum(H) WHERE B='""&amp;$D249&amp;""'   "",0),2),"""")"),0.0)</f>
        <v>0</v>
      </c>
      <c r="F249" s="44">
        <f>IFERROR(__xludf.DUMMYFUNCTION("IFERROR(INDEX(QUERY(ENCUESTA_REU!$A$3:$H1000,""SELECT sum(H) WHERE B='""&amp;$D249&amp;""'   "",0),2),"""")"),0.0)</f>
        <v>0</v>
      </c>
      <c r="G249" s="44">
        <f>IFERROR(__xludf.DUMMYFUNCTION("IFERROR(INDEX(QUERY(ENCUESTA_DER!$A$3:$H1000,""SELECT sum(H) WHERE B='""&amp;$D249&amp;""'   "",0),2),"""")"),0.0)</f>
        <v>0</v>
      </c>
      <c r="H249" s="45">
        <f t="shared" si="2"/>
        <v>0</v>
      </c>
      <c r="I249" s="45"/>
      <c r="J249" s="44"/>
      <c r="K249" s="44"/>
    </row>
    <row r="250" ht="15.75" customHeight="1">
      <c r="A250" s="44"/>
      <c r="B250" s="44"/>
      <c r="C250" s="44"/>
      <c r="D250" s="44"/>
      <c r="E250" s="44">
        <f>IFERROR(__xludf.DUMMYFUNCTION("IFERROR(INDEX(QUERY(ENCUESTA_GESTION!$A$3:$H1000,""SELECT sum(H) WHERE B='""&amp;$D250&amp;""'   "",0),2),"""")"),0.0)</f>
        <v>0</v>
      </c>
      <c r="F250" s="44">
        <f>IFERROR(__xludf.DUMMYFUNCTION("IFERROR(INDEX(QUERY(ENCUESTA_REU!$A$3:$H1000,""SELECT sum(H) WHERE B='""&amp;$D250&amp;""'   "",0),2),"""")"),0.0)</f>
        <v>0</v>
      </c>
      <c r="G250" s="44">
        <f>IFERROR(__xludf.DUMMYFUNCTION("IFERROR(INDEX(QUERY(ENCUESTA_DER!$A$3:$H1000,""SELECT sum(H) WHERE B='""&amp;$D250&amp;""'   "",0),2),"""")"),0.0)</f>
        <v>0</v>
      </c>
      <c r="H250" s="45">
        <f t="shared" si="2"/>
        <v>0</v>
      </c>
      <c r="I250" s="45"/>
      <c r="J250" s="44"/>
      <c r="K250" s="44"/>
    </row>
    <row r="251" ht="15.75" customHeight="1">
      <c r="A251" s="44"/>
      <c r="B251" s="44"/>
      <c r="C251" s="44"/>
      <c r="D251" s="44"/>
      <c r="E251" s="44">
        <f>IFERROR(__xludf.DUMMYFUNCTION("IFERROR(INDEX(QUERY(ENCUESTA_GESTION!$A$3:$H1000,""SELECT sum(H) WHERE B='""&amp;$D251&amp;""'   "",0),2),"""")"),0.0)</f>
        <v>0</v>
      </c>
      <c r="F251" s="44">
        <f>IFERROR(__xludf.DUMMYFUNCTION("IFERROR(INDEX(QUERY(ENCUESTA_REU!$A$3:$H1000,""SELECT sum(H) WHERE B='""&amp;$D251&amp;""'   "",0),2),"""")"),0.0)</f>
        <v>0</v>
      </c>
      <c r="G251" s="44">
        <f>IFERROR(__xludf.DUMMYFUNCTION("IFERROR(INDEX(QUERY(ENCUESTA_DER!$A$3:$H1000,""SELECT sum(H) WHERE B='""&amp;$D251&amp;""'   "",0),2),"""")"),0.0)</f>
        <v>0</v>
      </c>
      <c r="H251" s="45">
        <f t="shared" si="2"/>
        <v>0</v>
      </c>
      <c r="I251" s="45"/>
      <c r="J251" s="44"/>
      <c r="K251" s="44"/>
    </row>
    <row r="252" ht="15.75" customHeight="1">
      <c r="A252" s="44"/>
      <c r="B252" s="44"/>
      <c r="C252" s="44"/>
      <c r="D252" s="44"/>
      <c r="E252" s="44">
        <f>IFERROR(__xludf.DUMMYFUNCTION("IFERROR(INDEX(QUERY(ENCUESTA_GESTION!$A$3:$H1000,""SELECT sum(H) WHERE B='""&amp;$D252&amp;""'   "",0),2),"""")"),0.0)</f>
        <v>0</v>
      </c>
      <c r="F252" s="44">
        <f>IFERROR(__xludf.DUMMYFUNCTION("IFERROR(INDEX(QUERY(ENCUESTA_REU!$A$3:$H1000,""SELECT sum(H) WHERE B='""&amp;$D252&amp;""'   "",0),2),"""")"),0.0)</f>
        <v>0</v>
      </c>
      <c r="G252" s="44">
        <f>IFERROR(__xludf.DUMMYFUNCTION("IFERROR(INDEX(QUERY(ENCUESTA_DER!$A$3:$H1000,""SELECT sum(H) WHERE B='""&amp;$D252&amp;""'   "",0),2),"""")"),0.0)</f>
        <v>0</v>
      </c>
      <c r="H252" s="45">
        <f t="shared" si="2"/>
        <v>0</v>
      </c>
      <c r="I252" s="45"/>
      <c r="J252" s="44"/>
      <c r="K252" s="44"/>
    </row>
    <row r="253" ht="15.75" customHeight="1">
      <c r="A253" s="44"/>
      <c r="B253" s="44"/>
      <c r="C253" s="44"/>
      <c r="D253" s="44"/>
      <c r="E253" s="44">
        <f>IFERROR(__xludf.DUMMYFUNCTION("IFERROR(INDEX(QUERY(ENCUESTA_GESTION!$A$3:$H1000,""SELECT sum(H) WHERE B='""&amp;$D253&amp;""'   "",0),2),"""")"),0.0)</f>
        <v>0</v>
      </c>
      <c r="F253" s="44">
        <f>IFERROR(__xludf.DUMMYFUNCTION("IFERROR(INDEX(QUERY(ENCUESTA_REU!$A$3:$H1000,""SELECT sum(H) WHERE B='""&amp;$D253&amp;""'   "",0),2),"""")"),0.0)</f>
        <v>0</v>
      </c>
      <c r="G253" s="44">
        <f>IFERROR(__xludf.DUMMYFUNCTION("IFERROR(INDEX(QUERY(ENCUESTA_DER!$A$3:$H1000,""SELECT sum(H) WHERE B='""&amp;$D253&amp;""'   "",0),2),"""")"),0.0)</f>
        <v>0</v>
      </c>
      <c r="H253" s="45">
        <f t="shared" si="2"/>
        <v>0</v>
      </c>
      <c r="I253" s="45"/>
      <c r="J253" s="44"/>
      <c r="K253" s="44"/>
    </row>
    <row r="254" ht="15.75" customHeight="1">
      <c r="A254" s="44"/>
      <c r="B254" s="44"/>
      <c r="C254" s="44"/>
      <c r="D254" s="44"/>
      <c r="E254" s="44">
        <f>IFERROR(__xludf.DUMMYFUNCTION("IFERROR(INDEX(QUERY(ENCUESTA_GESTION!$A$3:$H1000,""SELECT sum(H) WHERE B='""&amp;$D254&amp;""'   "",0),2),"""")"),0.0)</f>
        <v>0</v>
      </c>
      <c r="F254" s="44">
        <f>IFERROR(__xludf.DUMMYFUNCTION("IFERROR(INDEX(QUERY(ENCUESTA_REU!$A$3:$H1000,""SELECT sum(H) WHERE B='""&amp;$D254&amp;""'   "",0),2),"""")"),0.0)</f>
        <v>0</v>
      </c>
      <c r="G254" s="44">
        <f>IFERROR(__xludf.DUMMYFUNCTION("IFERROR(INDEX(QUERY(ENCUESTA_DER!$A$3:$H1000,""SELECT sum(H) WHERE B='""&amp;$D254&amp;""'   "",0),2),"""")"),0.0)</f>
        <v>0</v>
      </c>
      <c r="H254" s="45">
        <f t="shared" si="2"/>
        <v>0</v>
      </c>
      <c r="I254" s="45"/>
      <c r="J254" s="44"/>
      <c r="K254" s="44"/>
    </row>
    <row r="255" ht="15.75" customHeight="1">
      <c r="A255" s="44"/>
      <c r="B255" s="44"/>
      <c r="C255" s="44"/>
      <c r="D255" s="44"/>
      <c r="E255" s="44">
        <f>IFERROR(__xludf.DUMMYFUNCTION("IFERROR(INDEX(QUERY(ENCUESTA_GESTION!$A$3:$H1000,""SELECT sum(H) WHERE B='""&amp;$D255&amp;""'   "",0),2),"""")"),0.0)</f>
        <v>0</v>
      </c>
      <c r="F255" s="44">
        <f>IFERROR(__xludf.DUMMYFUNCTION("IFERROR(INDEX(QUERY(ENCUESTA_REU!$A$3:$H1000,""SELECT sum(H) WHERE B='""&amp;$D255&amp;""'   "",0),2),"""")"),0.0)</f>
        <v>0</v>
      </c>
      <c r="G255" s="44">
        <f>IFERROR(__xludf.DUMMYFUNCTION("IFERROR(INDEX(QUERY(ENCUESTA_DER!$A$3:$H1000,""SELECT sum(H) WHERE B='""&amp;$D255&amp;""'   "",0),2),"""")"),0.0)</f>
        <v>0</v>
      </c>
      <c r="H255" s="45">
        <f t="shared" si="2"/>
        <v>0</v>
      </c>
      <c r="I255" s="45"/>
      <c r="J255" s="44"/>
      <c r="K255" s="44"/>
    </row>
    <row r="256" ht="15.75" customHeight="1">
      <c r="A256" s="44"/>
      <c r="B256" s="44"/>
      <c r="C256" s="44"/>
      <c r="D256" s="44"/>
      <c r="E256" s="44">
        <f>IFERROR(__xludf.DUMMYFUNCTION("IFERROR(INDEX(QUERY(ENCUESTA_GESTION!$A$3:$H1000,""SELECT sum(H) WHERE B='""&amp;$D256&amp;""'   "",0),2),"""")"),0.0)</f>
        <v>0</v>
      </c>
      <c r="F256" s="44">
        <f>IFERROR(__xludf.DUMMYFUNCTION("IFERROR(INDEX(QUERY(ENCUESTA_REU!$A$3:$H1000,""SELECT sum(H) WHERE B='""&amp;$D256&amp;""'   "",0),2),"""")"),0.0)</f>
        <v>0</v>
      </c>
      <c r="G256" s="44">
        <f>IFERROR(__xludf.DUMMYFUNCTION("IFERROR(INDEX(QUERY(ENCUESTA_DER!$A$3:$H1000,""SELECT sum(H) WHERE B='""&amp;$D256&amp;""'   "",0),2),"""")"),0.0)</f>
        <v>0</v>
      </c>
      <c r="H256" s="45">
        <f t="shared" si="2"/>
        <v>0</v>
      </c>
      <c r="I256" s="45"/>
      <c r="J256" s="44"/>
      <c r="K256" s="44"/>
    </row>
    <row r="257" ht="15.75" customHeight="1">
      <c r="A257" s="44"/>
      <c r="B257" s="44"/>
      <c r="C257" s="44"/>
      <c r="D257" s="44"/>
      <c r="E257" s="44">
        <f>IFERROR(__xludf.DUMMYFUNCTION("IFERROR(INDEX(QUERY(ENCUESTA_GESTION!$A$3:$H1000,""SELECT sum(H) WHERE B='""&amp;$D257&amp;""'   "",0),2),"""")"),0.0)</f>
        <v>0</v>
      </c>
      <c r="F257" s="44">
        <f>IFERROR(__xludf.DUMMYFUNCTION("IFERROR(INDEX(QUERY(ENCUESTA_REU!$A$3:$H1000,""SELECT sum(H) WHERE B='""&amp;$D257&amp;""'   "",0),2),"""")"),0.0)</f>
        <v>0</v>
      </c>
      <c r="G257" s="44">
        <f>IFERROR(__xludf.DUMMYFUNCTION("IFERROR(INDEX(QUERY(ENCUESTA_DER!$A$3:$H1000,""SELECT sum(H) WHERE B='""&amp;$D257&amp;""'   "",0),2),"""")"),0.0)</f>
        <v>0</v>
      </c>
      <c r="H257" s="45">
        <f t="shared" si="2"/>
        <v>0</v>
      </c>
      <c r="I257" s="45"/>
      <c r="J257" s="44"/>
      <c r="K257" s="44"/>
    </row>
    <row r="258" ht="15.75" customHeight="1">
      <c r="A258" s="44"/>
      <c r="B258" s="44"/>
      <c r="C258" s="44"/>
      <c r="D258" s="44"/>
      <c r="E258" s="44">
        <f>IFERROR(__xludf.DUMMYFUNCTION("IFERROR(INDEX(QUERY(ENCUESTA_GESTION!$A$3:$H1000,""SELECT sum(H) WHERE B='""&amp;$D258&amp;""'   "",0),2),"""")"),0.0)</f>
        <v>0</v>
      </c>
      <c r="F258" s="44">
        <f>IFERROR(__xludf.DUMMYFUNCTION("IFERROR(INDEX(QUERY(ENCUESTA_REU!$A$3:$H1000,""SELECT sum(H) WHERE B='""&amp;$D258&amp;""'   "",0),2),"""")"),0.0)</f>
        <v>0</v>
      </c>
      <c r="G258" s="44">
        <f>IFERROR(__xludf.DUMMYFUNCTION("IFERROR(INDEX(QUERY(ENCUESTA_DER!$A$3:$H1000,""SELECT sum(H) WHERE B='""&amp;$D258&amp;""'   "",0),2),"""")"),0.0)</f>
        <v>0</v>
      </c>
      <c r="H258" s="45">
        <f t="shared" si="2"/>
        <v>0</v>
      </c>
      <c r="I258" s="45"/>
      <c r="J258" s="44"/>
      <c r="K258" s="44"/>
    </row>
    <row r="259" ht="15.75" customHeight="1">
      <c r="A259" s="44"/>
      <c r="B259" s="44"/>
      <c r="C259" s="44"/>
      <c r="D259" s="44"/>
      <c r="E259" s="44">
        <f>IFERROR(__xludf.DUMMYFUNCTION("IFERROR(INDEX(QUERY(ENCUESTA_GESTION!$A$3:$H1000,""SELECT sum(H) WHERE B='""&amp;$D259&amp;""'   "",0),2),"""")"),0.0)</f>
        <v>0</v>
      </c>
      <c r="F259" s="44">
        <f>IFERROR(__xludf.DUMMYFUNCTION("IFERROR(INDEX(QUERY(ENCUESTA_REU!$A$3:$H1000,""SELECT sum(H) WHERE B='""&amp;$D259&amp;""'   "",0),2),"""")"),0.0)</f>
        <v>0</v>
      </c>
      <c r="G259" s="44">
        <f>IFERROR(__xludf.DUMMYFUNCTION("IFERROR(INDEX(QUERY(ENCUESTA_DER!$A$3:$H1000,""SELECT sum(H) WHERE B='""&amp;$D259&amp;""'   "",0),2),"""")"),0.0)</f>
        <v>0</v>
      </c>
      <c r="H259" s="45">
        <f t="shared" si="2"/>
        <v>0</v>
      </c>
      <c r="I259" s="45"/>
      <c r="J259" s="44"/>
      <c r="K259" s="44"/>
    </row>
    <row r="260" ht="15.75" customHeight="1">
      <c r="A260" s="44"/>
      <c r="B260" s="44"/>
      <c r="C260" s="44"/>
      <c r="D260" s="44"/>
      <c r="E260" s="44">
        <f>IFERROR(__xludf.DUMMYFUNCTION("IFERROR(INDEX(QUERY(ENCUESTA_GESTION!$A$3:$H1000,""SELECT sum(H) WHERE B='""&amp;$D260&amp;""'   "",0),2),"""")"),0.0)</f>
        <v>0</v>
      </c>
      <c r="F260" s="44">
        <f>IFERROR(__xludf.DUMMYFUNCTION("IFERROR(INDEX(QUERY(ENCUESTA_REU!$A$3:$H1000,""SELECT sum(H) WHERE B='""&amp;$D260&amp;""'   "",0),2),"""")"),0.0)</f>
        <v>0</v>
      </c>
      <c r="G260" s="44">
        <f>IFERROR(__xludf.DUMMYFUNCTION("IFERROR(INDEX(QUERY(ENCUESTA_DER!$A$3:$H1000,""SELECT sum(H) WHERE B='""&amp;$D260&amp;""'   "",0),2),"""")"),0.0)</f>
        <v>0</v>
      </c>
      <c r="H260" s="45">
        <f t="shared" si="2"/>
        <v>0</v>
      </c>
      <c r="I260" s="45"/>
      <c r="J260" s="44"/>
      <c r="K260" s="44"/>
    </row>
    <row r="261" ht="15.75" customHeight="1">
      <c r="A261" s="44"/>
      <c r="B261" s="44"/>
      <c r="C261" s="44"/>
      <c r="D261" s="44"/>
      <c r="E261" s="44">
        <f>IFERROR(__xludf.DUMMYFUNCTION("IFERROR(INDEX(QUERY(ENCUESTA_GESTION!$A$3:$H1000,""SELECT sum(H) WHERE B='""&amp;$D261&amp;""'   "",0),2),"""")"),0.0)</f>
        <v>0</v>
      </c>
      <c r="F261" s="44">
        <f>IFERROR(__xludf.DUMMYFUNCTION("IFERROR(INDEX(QUERY(ENCUESTA_REU!$A$3:$H1000,""SELECT sum(H) WHERE B='""&amp;$D261&amp;""'   "",0),2),"""")"),0.0)</f>
        <v>0</v>
      </c>
      <c r="G261" s="44">
        <f>IFERROR(__xludf.DUMMYFUNCTION("IFERROR(INDEX(QUERY(ENCUESTA_DER!$A$3:$H1000,""SELECT sum(H) WHERE B='""&amp;$D261&amp;""'   "",0),2),"""")"),0.0)</f>
        <v>0</v>
      </c>
      <c r="H261" s="45">
        <f t="shared" si="2"/>
        <v>0</v>
      </c>
      <c r="I261" s="45"/>
      <c r="J261" s="44"/>
      <c r="K261" s="44"/>
    </row>
    <row r="262" ht="15.75" customHeight="1">
      <c r="A262" s="44"/>
      <c r="B262" s="44"/>
      <c r="C262" s="44"/>
      <c r="D262" s="44"/>
      <c r="E262" s="44">
        <f>IFERROR(__xludf.DUMMYFUNCTION("IFERROR(INDEX(QUERY(ENCUESTA_GESTION!$A$3:$H1000,""SELECT sum(H) WHERE B='""&amp;$D262&amp;""'   "",0),2),"""")"),0.0)</f>
        <v>0</v>
      </c>
      <c r="F262" s="44">
        <f>IFERROR(__xludf.DUMMYFUNCTION("IFERROR(INDEX(QUERY(ENCUESTA_REU!$A$3:$H1000,""SELECT sum(H) WHERE B='""&amp;$D262&amp;""'   "",0),2),"""")"),0.0)</f>
        <v>0</v>
      </c>
      <c r="G262" s="44">
        <f>IFERROR(__xludf.DUMMYFUNCTION("IFERROR(INDEX(QUERY(ENCUESTA_DER!$A$3:$H1000,""SELECT sum(H) WHERE B='""&amp;$D262&amp;""'   "",0),2),"""")"),0.0)</f>
        <v>0</v>
      </c>
      <c r="H262" s="45">
        <f t="shared" si="2"/>
        <v>0</v>
      </c>
      <c r="I262" s="45"/>
      <c r="J262" s="44"/>
      <c r="K262" s="44"/>
    </row>
    <row r="263" ht="15.75" customHeight="1">
      <c r="A263" s="44"/>
      <c r="B263" s="44"/>
      <c r="C263" s="44"/>
      <c r="D263" s="44"/>
      <c r="E263" s="44">
        <f>IFERROR(__xludf.DUMMYFUNCTION("IFERROR(INDEX(QUERY(ENCUESTA_GESTION!$A$3:$H1000,""SELECT sum(H) WHERE B='""&amp;$D263&amp;""'   "",0),2),"""")"),0.0)</f>
        <v>0</v>
      </c>
      <c r="F263" s="44">
        <f>IFERROR(__xludf.DUMMYFUNCTION("IFERROR(INDEX(QUERY(ENCUESTA_REU!$A$3:$H1000,""SELECT sum(H) WHERE B='""&amp;$D263&amp;""'   "",0),2),"""")"),0.0)</f>
        <v>0</v>
      </c>
      <c r="G263" s="44">
        <f>IFERROR(__xludf.DUMMYFUNCTION("IFERROR(INDEX(QUERY(ENCUESTA_DER!$A$3:$H1000,""SELECT sum(H) WHERE B='""&amp;$D263&amp;""'   "",0),2),"""")"),0.0)</f>
        <v>0</v>
      </c>
      <c r="H263" s="45">
        <f t="shared" si="2"/>
        <v>0</v>
      </c>
      <c r="I263" s="45"/>
      <c r="J263" s="44"/>
      <c r="K263" s="44"/>
    </row>
    <row r="264" ht="15.75" customHeight="1">
      <c r="A264" s="44"/>
      <c r="B264" s="44"/>
      <c r="C264" s="44"/>
      <c r="D264" s="44"/>
      <c r="E264" s="44">
        <f>IFERROR(__xludf.DUMMYFUNCTION("IFERROR(INDEX(QUERY(ENCUESTA_GESTION!$A$3:$H1000,""SELECT sum(H) WHERE B='""&amp;$D264&amp;""'   "",0),2),"""")"),0.0)</f>
        <v>0</v>
      </c>
      <c r="F264" s="44">
        <f>IFERROR(__xludf.DUMMYFUNCTION("IFERROR(INDEX(QUERY(ENCUESTA_REU!$A$3:$H1000,""SELECT sum(H) WHERE B='""&amp;$D264&amp;""'   "",0),2),"""")"),0.0)</f>
        <v>0</v>
      </c>
      <c r="G264" s="44">
        <f>IFERROR(__xludf.DUMMYFUNCTION("IFERROR(INDEX(QUERY(ENCUESTA_DER!$A$3:$H1000,""SELECT sum(H) WHERE B='""&amp;$D264&amp;""'   "",0),2),"""")"),0.0)</f>
        <v>0</v>
      </c>
      <c r="H264" s="45">
        <f t="shared" si="2"/>
        <v>0</v>
      </c>
      <c r="I264" s="45"/>
      <c r="J264" s="44"/>
      <c r="K264" s="44"/>
    </row>
    <row r="265" ht="15.75" customHeight="1">
      <c r="A265" s="44"/>
      <c r="B265" s="44"/>
      <c r="C265" s="44"/>
      <c r="D265" s="44"/>
      <c r="E265" s="44">
        <f>IFERROR(__xludf.DUMMYFUNCTION("IFERROR(INDEX(QUERY(ENCUESTA_GESTION!$A$3:$H1000,""SELECT sum(H) WHERE B='""&amp;$D265&amp;""'   "",0),2),"""")"),0.0)</f>
        <v>0</v>
      </c>
      <c r="F265" s="44">
        <f>IFERROR(__xludf.DUMMYFUNCTION("IFERROR(INDEX(QUERY(ENCUESTA_REU!$A$3:$H1000,""SELECT sum(H) WHERE B='""&amp;$D265&amp;""'   "",0),2),"""")"),0.0)</f>
        <v>0</v>
      </c>
      <c r="G265" s="44">
        <f>IFERROR(__xludf.DUMMYFUNCTION("IFERROR(INDEX(QUERY(ENCUESTA_DER!$A$3:$H1000,""SELECT sum(H) WHERE B='""&amp;$D265&amp;""'   "",0),2),"""")"),0.0)</f>
        <v>0</v>
      </c>
      <c r="H265" s="45">
        <f t="shared" si="2"/>
        <v>0</v>
      </c>
      <c r="I265" s="45"/>
      <c r="J265" s="44"/>
      <c r="K265" s="44"/>
    </row>
    <row r="266" ht="15.75" customHeight="1">
      <c r="A266" s="44"/>
      <c r="B266" s="44"/>
      <c r="C266" s="44"/>
      <c r="D266" s="44"/>
      <c r="E266" s="44">
        <f>IFERROR(__xludf.DUMMYFUNCTION("IFERROR(INDEX(QUERY(ENCUESTA_GESTION!$A$3:$H1000,""SELECT sum(H) WHERE B='""&amp;$D266&amp;""'   "",0),2),"""")"),0.0)</f>
        <v>0</v>
      </c>
      <c r="F266" s="44">
        <f>IFERROR(__xludf.DUMMYFUNCTION("IFERROR(INDEX(QUERY(ENCUESTA_REU!$A$3:$H1000,""SELECT sum(H) WHERE B='""&amp;$D266&amp;""'   "",0),2),"""")"),0.0)</f>
        <v>0</v>
      </c>
      <c r="G266" s="44">
        <f>IFERROR(__xludf.DUMMYFUNCTION("IFERROR(INDEX(QUERY(ENCUESTA_DER!$A$3:$H1000,""SELECT sum(H) WHERE B='""&amp;$D266&amp;""'   "",0),2),"""")"),0.0)</f>
        <v>0</v>
      </c>
      <c r="H266" s="45">
        <f t="shared" si="2"/>
        <v>0</v>
      </c>
      <c r="I266" s="45"/>
      <c r="J266" s="44"/>
      <c r="K266" s="44"/>
    </row>
    <row r="267" ht="15.75" customHeight="1">
      <c r="A267" s="44"/>
      <c r="B267" s="44"/>
      <c r="C267" s="44"/>
      <c r="D267" s="44"/>
      <c r="E267" s="44">
        <f>IFERROR(__xludf.DUMMYFUNCTION("IFERROR(INDEX(QUERY(ENCUESTA_GESTION!$A$3:$H1000,""SELECT sum(H) WHERE B='""&amp;$D267&amp;""'   "",0),2),"""")"),0.0)</f>
        <v>0</v>
      </c>
      <c r="F267" s="44">
        <f>IFERROR(__xludf.DUMMYFUNCTION("IFERROR(INDEX(QUERY(ENCUESTA_REU!$A$3:$H1000,""SELECT sum(H) WHERE B='""&amp;$D267&amp;""'   "",0),2),"""")"),0.0)</f>
        <v>0</v>
      </c>
      <c r="G267" s="44">
        <f>IFERROR(__xludf.DUMMYFUNCTION("IFERROR(INDEX(QUERY(ENCUESTA_DER!$A$3:$H1000,""SELECT sum(H) WHERE B='""&amp;$D267&amp;""'   "",0),2),"""")"),0.0)</f>
        <v>0</v>
      </c>
      <c r="H267" s="45">
        <f t="shared" si="2"/>
        <v>0</v>
      </c>
      <c r="I267" s="45"/>
      <c r="J267" s="44"/>
      <c r="K267" s="44"/>
    </row>
    <row r="268" ht="15.75" customHeight="1">
      <c r="A268" s="44"/>
      <c r="B268" s="44"/>
      <c r="C268" s="44"/>
      <c r="D268" s="44"/>
      <c r="E268" s="44">
        <f>IFERROR(__xludf.DUMMYFUNCTION("IFERROR(INDEX(QUERY(ENCUESTA_GESTION!$A$3:$H1000,""SELECT sum(H) WHERE B='""&amp;$D268&amp;""'   "",0),2),"""")"),0.0)</f>
        <v>0</v>
      </c>
      <c r="F268" s="44">
        <f>IFERROR(__xludf.DUMMYFUNCTION("IFERROR(INDEX(QUERY(ENCUESTA_REU!$A$3:$H1000,""SELECT sum(H) WHERE B='""&amp;$D268&amp;""'   "",0),2),"""")"),0.0)</f>
        <v>0</v>
      </c>
      <c r="G268" s="44">
        <f>IFERROR(__xludf.DUMMYFUNCTION("IFERROR(INDEX(QUERY(ENCUESTA_DER!$A$3:$H1000,""SELECT sum(H) WHERE B='""&amp;$D268&amp;""'   "",0),2),"""")"),0.0)</f>
        <v>0</v>
      </c>
      <c r="H268" s="45">
        <f t="shared" si="2"/>
        <v>0</v>
      </c>
      <c r="I268" s="45"/>
      <c r="J268" s="44"/>
      <c r="K268" s="44"/>
    </row>
    <row r="269" ht="15.75" customHeight="1">
      <c r="A269" s="44"/>
      <c r="B269" s="44"/>
      <c r="C269" s="44"/>
      <c r="D269" s="44"/>
      <c r="E269" s="44">
        <f>IFERROR(__xludf.DUMMYFUNCTION("IFERROR(INDEX(QUERY(ENCUESTA_GESTION!$A$3:$H1000,""SELECT sum(H) WHERE B='""&amp;$D269&amp;""'   "",0),2),"""")"),0.0)</f>
        <v>0</v>
      </c>
      <c r="F269" s="44">
        <f>IFERROR(__xludf.DUMMYFUNCTION("IFERROR(INDEX(QUERY(ENCUESTA_REU!$A$3:$H1000,""SELECT sum(H) WHERE B='""&amp;$D269&amp;""'   "",0),2),"""")"),0.0)</f>
        <v>0</v>
      </c>
      <c r="G269" s="44">
        <f>IFERROR(__xludf.DUMMYFUNCTION("IFERROR(INDEX(QUERY(ENCUESTA_DER!$A$3:$H1000,""SELECT sum(H) WHERE B='""&amp;$D269&amp;""'   "",0),2),"""")"),0.0)</f>
        <v>0</v>
      </c>
      <c r="H269" s="45">
        <f t="shared" si="2"/>
        <v>0</v>
      </c>
      <c r="I269" s="45"/>
      <c r="J269" s="44"/>
      <c r="K269" s="44"/>
    </row>
    <row r="270" ht="15.75" customHeight="1">
      <c r="A270" s="44"/>
      <c r="B270" s="44"/>
      <c r="C270" s="44"/>
      <c r="D270" s="44"/>
      <c r="E270" s="44">
        <f>IFERROR(__xludf.DUMMYFUNCTION("IFERROR(INDEX(QUERY(ENCUESTA_GESTION!$A$3:$H1000,""SELECT sum(H) WHERE B='""&amp;$D270&amp;""'   "",0),2),"""")"),0.0)</f>
        <v>0</v>
      </c>
      <c r="F270" s="44">
        <f>IFERROR(__xludf.DUMMYFUNCTION("IFERROR(INDEX(QUERY(ENCUESTA_REU!$A$3:$H1000,""SELECT sum(H) WHERE B='""&amp;$D270&amp;""'   "",0),2),"""")"),0.0)</f>
        <v>0</v>
      </c>
      <c r="G270" s="44">
        <f>IFERROR(__xludf.DUMMYFUNCTION("IFERROR(INDEX(QUERY(ENCUESTA_DER!$A$3:$H1000,""SELECT sum(H) WHERE B='""&amp;$D270&amp;""'   "",0),2),"""")"),0.0)</f>
        <v>0</v>
      </c>
      <c r="H270" s="45">
        <f t="shared" si="2"/>
        <v>0</v>
      </c>
      <c r="I270" s="45"/>
      <c r="J270" s="44"/>
      <c r="K270" s="44"/>
    </row>
    <row r="271" ht="15.75" customHeight="1">
      <c r="A271" s="44"/>
      <c r="B271" s="44"/>
      <c r="C271" s="44"/>
      <c r="D271" s="44"/>
      <c r="E271" s="44">
        <f>IFERROR(__xludf.DUMMYFUNCTION("IFERROR(INDEX(QUERY(ENCUESTA_GESTION!$A$3:$H1000,""SELECT sum(H) WHERE B='""&amp;$D271&amp;""'   "",0),2),"""")"),0.0)</f>
        <v>0</v>
      </c>
      <c r="F271" s="44">
        <f>IFERROR(__xludf.DUMMYFUNCTION("IFERROR(INDEX(QUERY(ENCUESTA_REU!$A$3:$H1000,""SELECT sum(H) WHERE B='""&amp;$D271&amp;""'   "",0),2),"""")"),0.0)</f>
        <v>0</v>
      </c>
      <c r="G271" s="44">
        <f>IFERROR(__xludf.DUMMYFUNCTION("IFERROR(INDEX(QUERY(ENCUESTA_DER!$A$3:$H1000,""SELECT sum(H) WHERE B='""&amp;$D271&amp;""'   "",0),2),"""")"),0.0)</f>
        <v>0</v>
      </c>
      <c r="H271" s="45">
        <f t="shared" si="2"/>
        <v>0</v>
      </c>
      <c r="I271" s="45"/>
      <c r="J271" s="44"/>
      <c r="K271" s="44"/>
    </row>
    <row r="272" ht="15.75" customHeight="1">
      <c r="A272" s="44"/>
      <c r="B272" s="44"/>
      <c r="C272" s="44"/>
      <c r="D272" s="44"/>
      <c r="E272" s="44">
        <f>IFERROR(__xludf.DUMMYFUNCTION("IFERROR(INDEX(QUERY(ENCUESTA_GESTION!$A$3:$H1000,""SELECT sum(H) WHERE B='""&amp;$D272&amp;""'   "",0),2),"""")"),0.0)</f>
        <v>0</v>
      </c>
      <c r="F272" s="44">
        <f>IFERROR(__xludf.DUMMYFUNCTION("IFERROR(INDEX(QUERY(ENCUESTA_REU!$A$3:$H1000,""SELECT sum(H) WHERE B='""&amp;$D272&amp;""'   "",0),2),"""")"),0.0)</f>
        <v>0</v>
      </c>
      <c r="G272" s="44">
        <f>IFERROR(__xludf.DUMMYFUNCTION("IFERROR(INDEX(QUERY(ENCUESTA_DER!$A$3:$H1000,""SELECT sum(H) WHERE B='""&amp;$D272&amp;""'   "",0),2),"""")"),0.0)</f>
        <v>0</v>
      </c>
      <c r="H272" s="45">
        <f t="shared" si="2"/>
        <v>0</v>
      </c>
      <c r="I272" s="45"/>
      <c r="J272" s="44"/>
      <c r="K272" s="44"/>
    </row>
    <row r="273" ht="15.75" customHeight="1">
      <c r="A273" s="44"/>
      <c r="B273" s="44"/>
      <c r="C273" s="44"/>
      <c r="D273" s="44"/>
      <c r="E273" s="44">
        <f>IFERROR(__xludf.DUMMYFUNCTION("IFERROR(INDEX(QUERY(ENCUESTA_GESTION!$A$3:$H1000,""SELECT sum(H) WHERE B='""&amp;$D273&amp;""'   "",0),2),"""")"),0.0)</f>
        <v>0</v>
      </c>
      <c r="F273" s="44">
        <f>IFERROR(__xludf.DUMMYFUNCTION("IFERROR(INDEX(QUERY(ENCUESTA_REU!$A$3:$H1000,""SELECT sum(H) WHERE B='""&amp;$D273&amp;""'   "",0),2),"""")"),0.0)</f>
        <v>0</v>
      </c>
      <c r="G273" s="44">
        <f>IFERROR(__xludf.DUMMYFUNCTION("IFERROR(INDEX(QUERY(ENCUESTA_DER!$A$3:$H1000,""SELECT sum(H) WHERE B='""&amp;$D273&amp;""'   "",0),2),"""")"),0.0)</f>
        <v>0</v>
      </c>
      <c r="H273" s="45">
        <f t="shared" si="2"/>
        <v>0</v>
      </c>
      <c r="I273" s="45"/>
      <c r="J273" s="44"/>
      <c r="K273" s="44"/>
    </row>
    <row r="274" ht="15.75" customHeight="1">
      <c r="A274" s="44"/>
      <c r="B274" s="44"/>
      <c r="C274" s="44"/>
      <c r="D274" s="44"/>
      <c r="E274" s="44">
        <f>IFERROR(__xludf.DUMMYFUNCTION("IFERROR(INDEX(QUERY(ENCUESTA_GESTION!$A$3:$H1000,""SELECT sum(H) WHERE B='""&amp;$D274&amp;""'   "",0),2),"""")"),0.0)</f>
        <v>0</v>
      </c>
      <c r="F274" s="44">
        <f>IFERROR(__xludf.DUMMYFUNCTION("IFERROR(INDEX(QUERY(ENCUESTA_REU!$A$3:$H1000,""SELECT sum(H) WHERE B='""&amp;$D274&amp;""'   "",0),2),"""")"),0.0)</f>
        <v>0</v>
      </c>
      <c r="G274" s="44">
        <f>IFERROR(__xludf.DUMMYFUNCTION("IFERROR(INDEX(QUERY(ENCUESTA_DER!$A$3:$H1000,""SELECT sum(H) WHERE B='""&amp;$D274&amp;""'   "",0),2),"""")"),0.0)</f>
        <v>0</v>
      </c>
      <c r="H274" s="45">
        <f t="shared" si="2"/>
        <v>0</v>
      </c>
      <c r="I274" s="45"/>
      <c r="J274" s="44"/>
      <c r="K274" s="44"/>
    </row>
    <row r="275" ht="15.75" customHeight="1">
      <c r="A275" s="44"/>
      <c r="B275" s="44"/>
      <c r="C275" s="44"/>
      <c r="D275" s="44"/>
      <c r="E275" s="44">
        <f>IFERROR(__xludf.DUMMYFUNCTION("IFERROR(INDEX(QUERY(ENCUESTA_GESTION!$A$3:$H1000,""SELECT sum(H) WHERE B='""&amp;$D275&amp;""'   "",0),2),"""")"),0.0)</f>
        <v>0</v>
      </c>
      <c r="F275" s="44">
        <f>IFERROR(__xludf.DUMMYFUNCTION("IFERROR(INDEX(QUERY(ENCUESTA_REU!$A$3:$H1000,""SELECT sum(H) WHERE B='""&amp;$D275&amp;""'   "",0),2),"""")"),0.0)</f>
        <v>0</v>
      </c>
      <c r="G275" s="44">
        <f>IFERROR(__xludf.DUMMYFUNCTION("IFERROR(INDEX(QUERY(ENCUESTA_DER!$A$3:$H1000,""SELECT sum(H) WHERE B='""&amp;$D275&amp;""'   "",0),2),"""")"),0.0)</f>
        <v>0</v>
      </c>
      <c r="H275" s="45">
        <f t="shared" si="2"/>
        <v>0</v>
      </c>
      <c r="I275" s="45"/>
      <c r="J275" s="44"/>
      <c r="K275" s="44"/>
    </row>
    <row r="276" ht="15.75" customHeight="1">
      <c r="A276" s="44"/>
      <c r="B276" s="44"/>
      <c r="C276" s="44"/>
      <c r="D276" s="44"/>
      <c r="E276" s="44">
        <f>IFERROR(__xludf.DUMMYFUNCTION("IFERROR(INDEX(QUERY(ENCUESTA_GESTION!$A$3:$H1000,""SELECT sum(H) WHERE B='""&amp;$D276&amp;""'   "",0),2),"""")"),0.0)</f>
        <v>0</v>
      </c>
      <c r="F276" s="44">
        <f>IFERROR(__xludf.DUMMYFUNCTION("IFERROR(INDEX(QUERY(ENCUESTA_REU!$A$3:$H1000,""SELECT sum(H) WHERE B='""&amp;$D276&amp;""'   "",0),2),"""")"),0.0)</f>
        <v>0</v>
      </c>
      <c r="G276" s="44">
        <f>IFERROR(__xludf.DUMMYFUNCTION("IFERROR(INDEX(QUERY(ENCUESTA_DER!$A$3:$H1000,""SELECT sum(H) WHERE B='""&amp;$D276&amp;""'   "",0),2),"""")"),0.0)</f>
        <v>0</v>
      </c>
      <c r="H276" s="45">
        <f t="shared" si="2"/>
        <v>0</v>
      </c>
      <c r="I276" s="45"/>
      <c r="J276" s="44"/>
      <c r="K276" s="44"/>
    </row>
    <row r="277" ht="15.75" customHeight="1">
      <c r="A277" s="44"/>
      <c r="B277" s="44"/>
      <c r="C277" s="44"/>
      <c r="D277" s="44"/>
      <c r="E277" s="44">
        <f>IFERROR(__xludf.DUMMYFUNCTION("IFERROR(INDEX(QUERY(ENCUESTA_GESTION!$A$3:$H1000,""SELECT sum(H) WHERE B='""&amp;$D277&amp;""'   "",0),2),"""")"),0.0)</f>
        <v>0</v>
      </c>
      <c r="F277" s="44">
        <f>IFERROR(__xludf.DUMMYFUNCTION("IFERROR(INDEX(QUERY(ENCUESTA_REU!$A$3:$H1000,""SELECT sum(H) WHERE B='""&amp;$D277&amp;""'   "",0),2),"""")"),0.0)</f>
        <v>0</v>
      </c>
      <c r="G277" s="44">
        <f>IFERROR(__xludf.DUMMYFUNCTION("IFERROR(INDEX(QUERY(ENCUESTA_DER!$A$3:$H1000,""SELECT sum(H) WHERE B='""&amp;$D277&amp;""'   "",0),2),"""")"),0.0)</f>
        <v>0</v>
      </c>
      <c r="H277" s="45">
        <f t="shared" si="2"/>
        <v>0</v>
      </c>
      <c r="I277" s="45"/>
      <c r="J277" s="44"/>
      <c r="K277" s="44"/>
    </row>
    <row r="278" ht="15.75" customHeight="1">
      <c r="A278" s="44"/>
      <c r="B278" s="44"/>
      <c r="C278" s="44"/>
      <c r="D278" s="44"/>
      <c r="E278" s="44">
        <f>IFERROR(__xludf.DUMMYFUNCTION("IFERROR(INDEX(QUERY(ENCUESTA_GESTION!$A$3:$H1000,""SELECT sum(H) WHERE B='""&amp;$D278&amp;""'   "",0),2),"""")"),0.0)</f>
        <v>0</v>
      </c>
      <c r="F278" s="44">
        <f>IFERROR(__xludf.DUMMYFUNCTION("IFERROR(INDEX(QUERY(ENCUESTA_REU!$A$3:$H1000,""SELECT sum(H) WHERE B='""&amp;$D278&amp;""'   "",0),2),"""")"),0.0)</f>
        <v>0</v>
      </c>
      <c r="G278" s="44">
        <f>IFERROR(__xludf.DUMMYFUNCTION("IFERROR(INDEX(QUERY(ENCUESTA_DER!$A$3:$H1000,""SELECT sum(H) WHERE B='""&amp;$D278&amp;""'   "",0),2),"""")"),0.0)</f>
        <v>0</v>
      </c>
      <c r="H278" s="45">
        <f t="shared" si="2"/>
        <v>0</v>
      </c>
      <c r="I278" s="45"/>
      <c r="J278" s="44"/>
      <c r="K278" s="44"/>
    </row>
    <row r="279" ht="15.75" customHeight="1">
      <c r="A279" s="44"/>
      <c r="B279" s="44"/>
      <c r="C279" s="44"/>
      <c r="D279" s="44"/>
      <c r="E279" s="44">
        <f>IFERROR(__xludf.DUMMYFUNCTION("IFERROR(INDEX(QUERY(ENCUESTA_GESTION!$A$3:$H1000,""SELECT sum(H) WHERE B='""&amp;$D279&amp;""'   "",0),2),"""")"),0.0)</f>
        <v>0</v>
      </c>
      <c r="F279" s="44">
        <f>IFERROR(__xludf.DUMMYFUNCTION("IFERROR(INDEX(QUERY(ENCUESTA_REU!$A$3:$H1000,""SELECT sum(H) WHERE B='""&amp;$D279&amp;""'   "",0),2),"""")"),0.0)</f>
        <v>0</v>
      </c>
      <c r="G279" s="44">
        <f>IFERROR(__xludf.DUMMYFUNCTION("IFERROR(INDEX(QUERY(ENCUESTA_DER!$A$3:$H1000,""SELECT sum(H) WHERE B='""&amp;$D279&amp;""'   "",0),2),"""")"),0.0)</f>
        <v>0</v>
      </c>
      <c r="H279" s="45">
        <f t="shared" si="2"/>
        <v>0</v>
      </c>
      <c r="I279" s="45"/>
      <c r="J279" s="44"/>
      <c r="K279" s="44"/>
    </row>
    <row r="280" ht="15.75" customHeight="1">
      <c r="A280" s="44"/>
      <c r="B280" s="44"/>
      <c r="C280" s="44"/>
      <c r="D280" s="44"/>
      <c r="E280" s="44">
        <f>IFERROR(__xludf.DUMMYFUNCTION("IFERROR(INDEX(QUERY(ENCUESTA_GESTION!$A$3:$H1000,""SELECT sum(H) WHERE B='""&amp;$D280&amp;""'   "",0),2),"""")"),0.0)</f>
        <v>0</v>
      </c>
      <c r="F280" s="44">
        <f>IFERROR(__xludf.DUMMYFUNCTION("IFERROR(INDEX(QUERY(ENCUESTA_REU!$A$3:$H1000,""SELECT sum(H) WHERE B='""&amp;$D280&amp;""'   "",0),2),"""")"),0.0)</f>
        <v>0</v>
      </c>
      <c r="G280" s="44">
        <f>IFERROR(__xludf.DUMMYFUNCTION("IFERROR(INDEX(QUERY(ENCUESTA_DER!$A$3:$H1000,""SELECT sum(H) WHERE B='""&amp;$D280&amp;""'   "",0),2),"""")"),0.0)</f>
        <v>0</v>
      </c>
      <c r="H280" s="45">
        <f t="shared" si="2"/>
        <v>0</v>
      </c>
      <c r="I280" s="45"/>
      <c r="J280" s="44"/>
      <c r="K280" s="44"/>
    </row>
    <row r="281" ht="15.75" customHeight="1">
      <c r="A281" s="44"/>
      <c r="B281" s="44"/>
      <c r="C281" s="44"/>
      <c r="D281" s="44"/>
      <c r="E281" s="44">
        <f>IFERROR(__xludf.DUMMYFUNCTION("IFERROR(INDEX(QUERY(ENCUESTA_GESTION!$A$3:$H1000,""SELECT sum(H) WHERE B='""&amp;$D281&amp;""'   "",0),2),"""")"),0.0)</f>
        <v>0</v>
      </c>
      <c r="F281" s="44">
        <f>IFERROR(__xludf.DUMMYFUNCTION("IFERROR(INDEX(QUERY(ENCUESTA_REU!$A$3:$H1000,""SELECT sum(H) WHERE B='""&amp;$D281&amp;""'   "",0),2),"""")"),0.0)</f>
        <v>0</v>
      </c>
      <c r="G281" s="44">
        <f>IFERROR(__xludf.DUMMYFUNCTION("IFERROR(INDEX(QUERY(ENCUESTA_DER!$A$3:$H1000,""SELECT sum(H) WHERE B='""&amp;$D281&amp;""'   "",0),2),"""")"),0.0)</f>
        <v>0</v>
      </c>
      <c r="H281" s="45">
        <f t="shared" si="2"/>
        <v>0</v>
      </c>
      <c r="I281" s="45"/>
      <c r="J281" s="44"/>
      <c r="K281" s="44"/>
    </row>
    <row r="282" ht="15.75" customHeight="1">
      <c r="A282" s="44"/>
      <c r="B282" s="44"/>
      <c r="C282" s="44"/>
      <c r="D282" s="44"/>
      <c r="E282" s="44">
        <f>IFERROR(__xludf.DUMMYFUNCTION("IFERROR(INDEX(QUERY(ENCUESTA_GESTION!$A$3:$H1000,""SELECT sum(H) WHERE B='""&amp;$D282&amp;""'   "",0),2),"""")"),0.0)</f>
        <v>0</v>
      </c>
      <c r="F282" s="44">
        <f>IFERROR(__xludf.DUMMYFUNCTION("IFERROR(INDEX(QUERY(ENCUESTA_REU!$A$3:$H1000,""SELECT sum(H) WHERE B='""&amp;$D282&amp;""'   "",0),2),"""")"),0.0)</f>
        <v>0</v>
      </c>
      <c r="G282" s="44">
        <f>IFERROR(__xludf.DUMMYFUNCTION("IFERROR(INDEX(QUERY(ENCUESTA_DER!$A$3:$H1000,""SELECT sum(H) WHERE B='""&amp;$D282&amp;""'   "",0),2),"""")"),0.0)</f>
        <v>0</v>
      </c>
      <c r="H282" s="45">
        <f t="shared" si="2"/>
        <v>0</v>
      </c>
      <c r="I282" s="45"/>
      <c r="J282" s="44"/>
      <c r="K282" s="44"/>
    </row>
    <row r="283" ht="15.75" customHeight="1">
      <c r="A283" s="44"/>
      <c r="B283" s="44"/>
      <c r="C283" s="44"/>
      <c r="D283" s="44"/>
      <c r="E283" s="44">
        <f>IFERROR(__xludf.DUMMYFUNCTION("IFERROR(INDEX(QUERY(ENCUESTA_GESTION!$A$3:$H1000,""SELECT sum(H) WHERE B='""&amp;$D283&amp;""'   "",0),2),"""")"),0.0)</f>
        <v>0</v>
      </c>
      <c r="F283" s="44">
        <f>IFERROR(__xludf.DUMMYFUNCTION("IFERROR(INDEX(QUERY(ENCUESTA_REU!$A$3:$H1000,""SELECT sum(H) WHERE B='""&amp;$D283&amp;""'   "",0),2),"""")"),0.0)</f>
        <v>0</v>
      </c>
      <c r="G283" s="44">
        <f>IFERROR(__xludf.DUMMYFUNCTION("IFERROR(INDEX(QUERY(ENCUESTA_DER!$A$3:$H1000,""SELECT sum(H) WHERE B='""&amp;$D283&amp;""'   "",0),2),"""")"),0.0)</f>
        <v>0</v>
      </c>
      <c r="H283" s="45">
        <f t="shared" si="2"/>
        <v>0</v>
      </c>
      <c r="I283" s="45"/>
      <c r="J283" s="44"/>
      <c r="K283" s="44"/>
    </row>
    <row r="284" ht="15.75" customHeight="1">
      <c r="A284" s="44"/>
      <c r="B284" s="44"/>
      <c r="C284" s="44"/>
      <c r="D284" s="44"/>
      <c r="E284" s="44">
        <f>IFERROR(__xludf.DUMMYFUNCTION("IFERROR(INDEX(QUERY(ENCUESTA_GESTION!$A$3:$H1000,""SELECT sum(H) WHERE B='""&amp;$D284&amp;""'   "",0),2),"""")"),0.0)</f>
        <v>0</v>
      </c>
      <c r="F284" s="44">
        <f>IFERROR(__xludf.DUMMYFUNCTION("IFERROR(INDEX(QUERY(ENCUESTA_REU!$A$3:$H1000,""SELECT sum(H) WHERE B='""&amp;$D284&amp;""'   "",0),2),"""")"),0.0)</f>
        <v>0</v>
      </c>
      <c r="G284" s="44">
        <f>IFERROR(__xludf.DUMMYFUNCTION("IFERROR(INDEX(QUERY(ENCUESTA_DER!$A$3:$H1000,""SELECT sum(H) WHERE B='""&amp;$D284&amp;""'   "",0),2),"""")"),0.0)</f>
        <v>0</v>
      </c>
      <c r="H284" s="45">
        <f t="shared" si="2"/>
        <v>0</v>
      </c>
      <c r="I284" s="45"/>
      <c r="J284" s="44"/>
      <c r="K284" s="44"/>
    </row>
    <row r="285" ht="15.75" customHeight="1">
      <c r="A285" s="44"/>
      <c r="B285" s="44"/>
      <c r="C285" s="44"/>
      <c r="D285" s="44"/>
      <c r="E285" s="44">
        <f>IFERROR(__xludf.DUMMYFUNCTION("IFERROR(INDEX(QUERY(ENCUESTA_GESTION!$A$3:$H1000,""SELECT sum(H) WHERE B='""&amp;$D285&amp;""'   "",0),2),"""")"),0.0)</f>
        <v>0</v>
      </c>
      <c r="F285" s="44">
        <f>IFERROR(__xludf.DUMMYFUNCTION("IFERROR(INDEX(QUERY(ENCUESTA_REU!$A$3:$H1000,""SELECT sum(H) WHERE B='""&amp;$D285&amp;""'   "",0),2),"""")"),0.0)</f>
        <v>0</v>
      </c>
      <c r="G285" s="44">
        <f>IFERROR(__xludf.DUMMYFUNCTION("IFERROR(INDEX(QUERY(ENCUESTA_DER!$A$3:$H1000,""SELECT sum(H) WHERE B='""&amp;$D285&amp;""'   "",0),2),"""")"),0.0)</f>
        <v>0</v>
      </c>
      <c r="H285" s="45">
        <f t="shared" si="2"/>
        <v>0</v>
      </c>
      <c r="I285" s="45"/>
      <c r="J285" s="44"/>
      <c r="K285" s="44"/>
    </row>
    <row r="286" ht="15.75" customHeight="1">
      <c r="A286" s="44"/>
      <c r="B286" s="44"/>
      <c r="C286" s="44"/>
      <c r="D286" s="44"/>
      <c r="E286" s="44">
        <f>IFERROR(__xludf.DUMMYFUNCTION("IFERROR(INDEX(QUERY(ENCUESTA_GESTION!$A$3:$H1000,""SELECT sum(H) WHERE B='""&amp;$D286&amp;""'   "",0),2),"""")"),0.0)</f>
        <v>0</v>
      </c>
      <c r="F286" s="44">
        <f>IFERROR(__xludf.DUMMYFUNCTION("IFERROR(INDEX(QUERY(ENCUESTA_REU!$A$3:$H1000,""SELECT sum(H) WHERE B='""&amp;$D286&amp;""'   "",0),2),"""")"),0.0)</f>
        <v>0</v>
      </c>
      <c r="G286" s="44">
        <f>IFERROR(__xludf.DUMMYFUNCTION("IFERROR(INDEX(QUERY(ENCUESTA_DER!$A$3:$H1000,""SELECT sum(H) WHERE B='""&amp;$D286&amp;""'   "",0),2),"""")"),0.0)</f>
        <v>0</v>
      </c>
      <c r="H286" s="45">
        <f t="shared" si="2"/>
        <v>0</v>
      </c>
      <c r="I286" s="45"/>
      <c r="J286" s="44"/>
      <c r="K286" s="44"/>
    </row>
    <row r="287" ht="15.75" customHeight="1">
      <c r="A287" s="44"/>
      <c r="B287" s="44"/>
      <c r="C287" s="44"/>
      <c r="D287" s="44"/>
      <c r="E287" s="44">
        <f>IFERROR(__xludf.DUMMYFUNCTION("IFERROR(INDEX(QUERY(ENCUESTA_GESTION!$A$3:$H1000,""SELECT sum(H) WHERE B='""&amp;$D287&amp;""'   "",0),2),"""")"),0.0)</f>
        <v>0</v>
      </c>
      <c r="F287" s="44">
        <f>IFERROR(__xludf.DUMMYFUNCTION("IFERROR(INDEX(QUERY(ENCUESTA_REU!$A$3:$H1000,""SELECT sum(H) WHERE B='""&amp;$D287&amp;""'   "",0),2),"""")"),0.0)</f>
        <v>0</v>
      </c>
      <c r="G287" s="44">
        <f>IFERROR(__xludf.DUMMYFUNCTION("IFERROR(INDEX(QUERY(ENCUESTA_DER!$A$3:$H1000,""SELECT sum(H) WHERE B='""&amp;$D287&amp;""'   "",0),2),"""")"),0.0)</f>
        <v>0</v>
      </c>
      <c r="H287" s="45">
        <f t="shared" si="2"/>
        <v>0</v>
      </c>
      <c r="I287" s="45"/>
      <c r="J287" s="44"/>
      <c r="K287" s="44"/>
    </row>
    <row r="288" ht="15.75" customHeight="1">
      <c r="A288" s="44"/>
      <c r="B288" s="44"/>
      <c r="C288" s="44"/>
      <c r="D288" s="44"/>
      <c r="E288" s="44">
        <f>IFERROR(__xludf.DUMMYFUNCTION("IFERROR(INDEX(QUERY(ENCUESTA_GESTION!$A$3:$H1000,""SELECT sum(H) WHERE B='""&amp;$D288&amp;""'   "",0),2),"""")"),0.0)</f>
        <v>0</v>
      </c>
      <c r="F288" s="44">
        <f>IFERROR(__xludf.DUMMYFUNCTION("IFERROR(INDEX(QUERY(ENCUESTA_REU!$A$3:$H1000,""SELECT sum(H) WHERE B='""&amp;$D288&amp;""'   "",0),2),"""")"),0.0)</f>
        <v>0</v>
      </c>
      <c r="G288" s="44">
        <f>IFERROR(__xludf.DUMMYFUNCTION("IFERROR(INDEX(QUERY(ENCUESTA_DER!$A$3:$H1000,""SELECT sum(H) WHERE B='""&amp;$D288&amp;""'   "",0),2),"""")"),0.0)</f>
        <v>0</v>
      </c>
      <c r="H288" s="45">
        <f t="shared" si="2"/>
        <v>0</v>
      </c>
      <c r="I288" s="45"/>
      <c r="J288" s="44"/>
      <c r="K288" s="44"/>
    </row>
    <row r="289" ht="15.75" customHeight="1">
      <c r="A289" s="44"/>
      <c r="B289" s="44"/>
      <c r="C289" s="44"/>
      <c r="D289" s="44"/>
      <c r="E289" s="44">
        <f>IFERROR(__xludf.DUMMYFUNCTION("IFERROR(INDEX(QUERY(ENCUESTA_GESTION!$A$3:$H1000,""SELECT sum(H) WHERE B='""&amp;$D289&amp;""'   "",0),2),"""")"),0.0)</f>
        <v>0</v>
      </c>
      <c r="F289" s="44">
        <f>IFERROR(__xludf.DUMMYFUNCTION("IFERROR(INDEX(QUERY(ENCUESTA_REU!$A$3:$H1000,""SELECT sum(H) WHERE B='""&amp;$D289&amp;""'   "",0),2),"""")"),0.0)</f>
        <v>0</v>
      </c>
      <c r="G289" s="44">
        <f>IFERROR(__xludf.DUMMYFUNCTION("IFERROR(INDEX(QUERY(ENCUESTA_DER!$A$3:$H1000,""SELECT sum(H) WHERE B='""&amp;$D289&amp;""'   "",0),2),"""")"),0.0)</f>
        <v>0</v>
      </c>
      <c r="H289" s="45">
        <f t="shared" si="2"/>
        <v>0</v>
      </c>
      <c r="I289" s="45"/>
      <c r="J289" s="44"/>
      <c r="K289" s="44"/>
    </row>
    <row r="290" ht="15.75" customHeight="1">
      <c r="A290" s="44"/>
      <c r="B290" s="44"/>
      <c r="C290" s="44"/>
      <c r="D290" s="44"/>
      <c r="E290" s="44">
        <f>IFERROR(__xludf.DUMMYFUNCTION("IFERROR(INDEX(QUERY(ENCUESTA_GESTION!$A$3:$H1000,""SELECT sum(H) WHERE B='""&amp;$D290&amp;""'   "",0),2),"""")"),0.0)</f>
        <v>0</v>
      </c>
      <c r="F290" s="44">
        <f>IFERROR(__xludf.DUMMYFUNCTION("IFERROR(INDEX(QUERY(ENCUESTA_REU!$A$3:$H1000,""SELECT sum(H) WHERE B='""&amp;$D290&amp;""'   "",0),2),"""")"),0.0)</f>
        <v>0</v>
      </c>
      <c r="G290" s="44">
        <f>IFERROR(__xludf.DUMMYFUNCTION("IFERROR(INDEX(QUERY(ENCUESTA_DER!$A$3:$H1000,""SELECT sum(H) WHERE B='""&amp;$D290&amp;""'   "",0),2),"""")"),0.0)</f>
        <v>0</v>
      </c>
      <c r="H290" s="45">
        <f t="shared" si="2"/>
        <v>0</v>
      </c>
      <c r="I290" s="45"/>
      <c r="J290" s="44"/>
      <c r="K290" s="44"/>
    </row>
    <row r="291" ht="15.75" customHeight="1">
      <c r="A291" s="44"/>
      <c r="B291" s="44"/>
      <c r="C291" s="44"/>
      <c r="D291" s="44"/>
      <c r="E291" s="44">
        <f>IFERROR(__xludf.DUMMYFUNCTION("IFERROR(INDEX(QUERY(ENCUESTA_GESTION!$A$3:$H1000,""SELECT sum(H) WHERE B='""&amp;$D291&amp;""'   "",0),2),"""")"),0.0)</f>
        <v>0</v>
      </c>
      <c r="F291" s="44">
        <f>IFERROR(__xludf.DUMMYFUNCTION("IFERROR(INDEX(QUERY(ENCUESTA_REU!$A$3:$H1000,""SELECT sum(H) WHERE B='""&amp;$D291&amp;""'   "",0),2),"""")"),0.0)</f>
        <v>0</v>
      </c>
      <c r="G291" s="44">
        <f>IFERROR(__xludf.DUMMYFUNCTION("IFERROR(INDEX(QUERY(ENCUESTA_DER!$A$3:$H1000,""SELECT sum(H) WHERE B='""&amp;$D291&amp;""'   "",0),2),"""")"),0.0)</f>
        <v>0</v>
      </c>
      <c r="H291" s="45">
        <f t="shared" si="2"/>
        <v>0</v>
      </c>
      <c r="I291" s="45"/>
      <c r="J291" s="44"/>
      <c r="K291" s="44"/>
    </row>
    <row r="292" ht="15.75" customHeight="1">
      <c r="A292" s="44"/>
      <c r="B292" s="44"/>
      <c r="C292" s="44"/>
      <c r="D292" s="44"/>
      <c r="E292" s="44">
        <f>IFERROR(__xludf.DUMMYFUNCTION("IFERROR(INDEX(QUERY(ENCUESTA_GESTION!$A$3:$H1000,""SELECT sum(H) WHERE B='""&amp;$D292&amp;""'   "",0),2),"""")"),0.0)</f>
        <v>0</v>
      </c>
      <c r="F292" s="44">
        <f>IFERROR(__xludf.DUMMYFUNCTION("IFERROR(INDEX(QUERY(ENCUESTA_REU!$A$3:$H1000,""SELECT sum(H) WHERE B='""&amp;$D292&amp;""'   "",0),2),"""")"),0.0)</f>
        <v>0</v>
      </c>
      <c r="G292" s="44">
        <f>IFERROR(__xludf.DUMMYFUNCTION("IFERROR(INDEX(QUERY(ENCUESTA_DER!$A$3:$H1000,""SELECT sum(H) WHERE B='""&amp;$D292&amp;""'   "",0),2),"""")"),0.0)</f>
        <v>0</v>
      </c>
      <c r="H292" s="45">
        <f t="shared" si="2"/>
        <v>0</v>
      </c>
      <c r="I292" s="45"/>
      <c r="J292" s="44"/>
      <c r="K292" s="44"/>
    </row>
    <row r="293" ht="15.75" customHeight="1">
      <c r="A293" s="44"/>
      <c r="B293" s="44"/>
      <c r="C293" s="44"/>
      <c r="D293" s="44"/>
      <c r="E293" s="44">
        <f>IFERROR(__xludf.DUMMYFUNCTION("IFERROR(INDEX(QUERY(ENCUESTA_GESTION!$A$3:$H1000,""SELECT sum(H) WHERE B='""&amp;$D293&amp;""'   "",0),2),"""")"),0.0)</f>
        <v>0</v>
      </c>
      <c r="F293" s="44">
        <f>IFERROR(__xludf.DUMMYFUNCTION("IFERROR(INDEX(QUERY(ENCUESTA_REU!$A$3:$H1000,""SELECT sum(H) WHERE B='""&amp;$D293&amp;""'   "",0),2),"""")"),0.0)</f>
        <v>0</v>
      </c>
      <c r="G293" s="44">
        <f>IFERROR(__xludf.DUMMYFUNCTION("IFERROR(INDEX(QUERY(ENCUESTA_DER!$A$3:$H1000,""SELECT sum(H) WHERE B='""&amp;$D293&amp;""'   "",0),2),"""")"),0.0)</f>
        <v>0</v>
      </c>
      <c r="H293" s="45">
        <f t="shared" si="2"/>
        <v>0</v>
      </c>
      <c r="I293" s="45"/>
      <c r="J293" s="44"/>
      <c r="K293" s="44"/>
    </row>
    <row r="294" ht="15.75" customHeight="1">
      <c r="A294" s="44"/>
      <c r="B294" s="44"/>
      <c r="C294" s="44"/>
      <c r="D294" s="44"/>
      <c r="E294" s="44">
        <f>IFERROR(__xludf.DUMMYFUNCTION("IFERROR(INDEX(QUERY(ENCUESTA_GESTION!$A$3:$H1000,""SELECT sum(H) WHERE B='""&amp;$D294&amp;""'   "",0),2),"""")"),0.0)</f>
        <v>0</v>
      </c>
      <c r="F294" s="44">
        <f>IFERROR(__xludf.DUMMYFUNCTION("IFERROR(INDEX(QUERY(ENCUESTA_REU!$A$3:$H1000,""SELECT sum(H) WHERE B='""&amp;$D294&amp;""'   "",0),2),"""")"),0.0)</f>
        <v>0</v>
      </c>
      <c r="G294" s="44">
        <f>IFERROR(__xludf.DUMMYFUNCTION("IFERROR(INDEX(QUERY(ENCUESTA_DER!$A$3:$H1000,""SELECT sum(H) WHERE B='""&amp;$D294&amp;""'   "",0),2),"""")"),0.0)</f>
        <v>0</v>
      </c>
      <c r="H294" s="45">
        <f t="shared" si="2"/>
        <v>0</v>
      </c>
      <c r="I294" s="45"/>
      <c r="J294" s="44"/>
      <c r="K294" s="44"/>
    </row>
    <row r="295" ht="15.75" customHeight="1">
      <c r="A295" s="44"/>
      <c r="B295" s="44"/>
      <c r="C295" s="44"/>
      <c r="D295" s="44"/>
      <c r="E295" s="44">
        <f>IFERROR(__xludf.DUMMYFUNCTION("IFERROR(INDEX(QUERY(ENCUESTA_GESTION!$A$3:$H1000,""SELECT sum(H) WHERE B='""&amp;$D295&amp;""'   "",0),2),"""")"),0.0)</f>
        <v>0</v>
      </c>
      <c r="F295" s="44">
        <f>IFERROR(__xludf.DUMMYFUNCTION("IFERROR(INDEX(QUERY(ENCUESTA_REU!$A$3:$H1000,""SELECT sum(H) WHERE B='""&amp;$D295&amp;""'   "",0),2),"""")"),0.0)</f>
        <v>0</v>
      </c>
      <c r="G295" s="44">
        <f>IFERROR(__xludf.DUMMYFUNCTION("IFERROR(INDEX(QUERY(ENCUESTA_DER!$A$3:$H1000,""SELECT sum(H) WHERE B='""&amp;$D295&amp;""'   "",0),2),"""")"),0.0)</f>
        <v>0</v>
      </c>
      <c r="H295" s="45">
        <f t="shared" si="2"/>
        <v>0</v>
      </c>
      <c r="I295" s="45"/>
      <c r="J295" s="44"/>
      <c r="K295" s="44"/>
    </row>
    <row r="296" ht="15.75" customHeight="1">
      <c r="A296" s="44"/>
      <c r="B296" s="44"/>
      <c r="C296" s="44"/>
      <c r="D296" s="44"/>
      <c r="E296" s="44">
        <f>IFERROR(__xludf.DUMMYFUNCTION("IFERROR(INDEX(QUERY(ENCUESTA_GESTION!$A$3:$H1000,""SELECT sum(H) WHERE B='""&amp;$D296&amp;""'   "",0),2),"""")"),0.0)</f>
        <v>0</v>
      </c>
      <c r="F296" s="44">
        <f>IFERROR(__xludf.DUMMYFUNCTION("IFERROR(INDEX(QUERY(ENCUESTA_REU!$A$3:$H1000,""SELECT sum(H) WHERE B='""&amp;$D296&amp;""'   "",0),2),"""")"),0.0)</f>
        <v>0</v>
      </c>
      <c r="G296" s="44">
        <f>IFERROR(__xludf.DUMMYFUNCTION("IFERROR(INDEX(QUERY(ENCUESTA_DER!$A$3:$H1000,""SELECT sum(H) WHERE B='""&amp;$D296&amp;""'   "",0),2),"""")"),0.0)</f>
        <v>0</v>
      </c>
      <c r="H296" s="45">
        <f t="shared" si="2"/>
        <v>0</v>
      </c>
      <c r="I296" s="45"/>
      <c r="J296" s="44"/>
      <c r="K296" s="44"/>
    </row>
    <row r="297" ht="15.75" customHeight="1">
      <c r="A297" s="44"/>
      <c r="B297" s="44"/>
      <c r="C297" s="44"/>
      <c r="D297" s="44"/>
      <c r="E297" s="44">
        <f>IFERROR(__xludf.DUMMYFUNCTION("IFERROR(INDEX(QUERY(ENCUESTA_GESTION!$A$3:$H1000,""SELECT sum(H) WHERE B='""&amp;$D297&amp;""'   "",0),2),"""")"),0.0)</f>
        <v>0</v>
      </c>
      <c r="F297" s="44">
        <f>IFERROR(__xludf.DUMMYFUNCTION("IFERROR(INDEX(QUERY(ENCUESTA_REU!$A$3:$H1000,""SELECT sum(H) WHERE B='""&amp;$D297&amp;""'   "",0),2),"""")"),0.0)</f>
        <v>0</v>
      </c>
      <c r="G297" s="44">
        <f>IFERROR(__xludf.DUMMYFUNCTION("IFERROR(INDEX(QUERY(ENCUESTA_DER!$A$3:$H1000,""SELECT sum(H) WHERE B='""&amp;$D297&amp;""'   "",0),2),"""")"),0.0)</f>
        <v>0</v>
      </c>
      <c r="H297" s="45">
        <f t="shared" si="2"/>
        <v>0</v>
      </c>
      <c r="I297" s="45"/>
      <c r="J297" s="44"/>
      <c r="K297" s="44"/>
    </row>
    <row r="298" ht="15.75" customHeight="1">
      <c r="A298" s="44"/>
      <c r="B298" s="44"/>
      <c r="C298" s="44"/>
      <c r="D298" s="44"/>
      <c r="E298" s="44">
        <f>IFERROR(__xludf.DUMMYFUNCTION("IFERROR(INDEX(QUERY(ENCUESTA_GESTION!$A$3:$H1000,""SELECT sum(H) WHERE B='""&amp;$D298&amp;""'   "",0),2),"""")"),0.0)</f>
        <v>0</v>
      </c>
      <c r="F298" s="44">
        <f>IFERROR(__xludf.DUMMYFUNCTION("IFERROR(INDEX(QUERY(ENCUESTA_REU!$A$3:$H1000,""SELECT sum(H) WHERE B='""&amp;$D298&amp;""'   "",0),2),"""")"),0.0)</f>
        <v>0</v>
      </c>
      <c r="G298" s="44">
        <f>IFERROR(__xludf.DUMMYFUNCTION("IFERROR(INDEX(QUERY(ENCUESTA_DER!$A$3:$H1000,""SELECT sum(H) WHERE B='""&amp;$D298&amp;""'   "",0),2),"""")"),0.0)</f>
        <v>0</v>
      </c>
      <c r="H298" s="45">
        <f t="shared" si="2"/>
        <v>0</v>
      </c>
      <c r="I298" s="45"/>
      <c r="J298" s="44"/>
      <c r="K298" s="44"/>
    </row>
    <row r="299" ht="15.75" customHeight="1">
      <c r="A299" s="44"/>
      <c r="B299" s="44"/>
      <c r="C299" s="44"/>
      <c r="D299" s="44"/>
      <c r="E299" s="44">
        <f>IFERROR(__xludf.DUMMYFUNCTION("IFERROR(INDEX(QUERY(ENCUESTA_GESTION!$A$3:$H1000,""SELECT sum(H) WHERE B='""&amp;$D299&amp;""'   "",0),2),"""")"),0.0)</f>
        <v>0</v>
      </c>
      <c r="F299" s="44">
        <f>IFERROR(__xludf.DUMMYFUNCTION("IFERROR(INDEX(QUERY(ENCUESTA_REU!$A$3:$H1000,""SELECT sum(H) WHERE B='""&amp;$D299&amp;""'   "",0),2),"""")"),0.0)</f>
        <v>0</v>
      </c>
      <c r="G299" s="44">
        <f>IFERROR(__xludf.DUMMYFUNCTION("IFERROR(INDEX(QUERY(ENCUESTA_DER!$A$3:$H1000,""SELECT sum(H) WHERE B='""&amp;$D299&amp;""'   "",0),2),"""")"),0.0)</f>
        <v>0</v>
      </c>
      <c r="H299" s="45">
        <f t="shared" si="2"/>
        <v>0</v>
      </c>
      <c r="I299" s="45"/>
      <c r="J299" s="44"/>
      <c r="K299" s="44"/>
    </row>
    <row r="300" ht="15.75" customHeight="1">
      <c r="A300" s="44"/>
      <c r="B300" s="44"/>
      <c r="C300" s="44"/>
      <c r="D300" s="44"/>
      <c r="E300" s="44">
        <f>IFERROR(__xludf.DUMMYFUNCTION("IFERROR(INDEX(QUERY(ENCUESTA_GESTION!$A$3:$H1000,""SELECT sum(H) WHERE B='""&amp;$D300&amp;""'   "",0),2),"""")"),0.0)</f>
        <v>0</v>
      </c>
      <c r="F300" s="44">
        <f>IFERROR(__xludf.DUMMYFUNCTION("IFERROR(INDEX(QUERY(ENCUESTA_REU!$A$3:$H1000,""SELECT sum(H) WHERE B='""&amp;$D300&amp;""'   "",0),2),"""")"),0.0)</f>
        <v>0</v>
      </c>
      <c r="G300" s="44">
        <f>IFERROR(__xludf.DUMMYFUNCTION("IFERROR(INDEX(QUERY(ENCUESTA_DER!$A$3:$H1000,""SELECT sum(H) WHERE B='""&amp;$D300&amp;""'   "",0),2),"""")"),0.0)</f>
        <v>0</v>
      </c>
      <c r="H300" s="45">
        <f t="shared" si="2"/>
        <v>0</v>
      </c>
      <c r="I300" s="45"/>
      <c r="J300" s="44"/>
      <c r="K300" s="44"/>
    </row>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20 D1:D123">
    <cfRule type="containsText" dxfId="4" priority="1" operator="containsText" text="POR DEFINIR">
      <formula>NOT(ISERROR(SEARCH(("POR DEFINIR"),(B20))))</formula>
    </cfRule>
  </conditionalFormatting>
  <conditionalFormatting sqref="B4:H123">
    <cfRule type="expression" dxfId="5" priority="2">
      <formula>($H4:$H123)=0</formula>
    </cfRule>
  </conditionalFormatting>
  <printOptions gridLines="1" horizontalCentered="1"/>
  <pageMargins bottom="0.75" footer="0.0" header="0.0" left="0.7" right="0.7" top="0.75"/>
  <pageSetup fitToHeight="0" cellComments="atEnd" orientation="landscape" pageOrder="overThenDown"/>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pageSetUpPr fitToPage="1"/>
  </sheetPr>
  <sheetViews>
    <sheetView showGridLines="0" workbookViewId="0">
      <pane ySplit="6.0" topLeftCell="A7" activePane="bottomLeft" state="frozen"/>
      <selection activeCell="B8" sqref="B8" pane="bottomLeft"/>
    </sheetView>
  </sheetViews>
  <sheetFormatPr customHeight="1" defaultColWidth="12.63" defaultRowHeight="15.0" outlineLevelCol="1"/>
  <cols>
    <col customWidth="1" min="1" max="1" width="3.75"/>
    <col customWidth="1" min="2" max="2" width="2.38"/>
    <col customWidth="1" min="3" max="3" width="25.63" outlineLevel="1"/>
    <col customWidth="1" min="4" max="4" width="20.25" outlineLevel="1"/>
    <col customWidth="1" min="5" max="5" width="29.75"/>
    <col customWidth="1" min="6" max="6" width="9.25"/>
    <col customWidth="1" min="7" max="7" width="8.5"/>
    <col customWidth="1" min="8" max="8" width="8.38"/>
    <col customWidth="1" min="9" max="10" width="11.25"/>
    <col customWidth="1" min="11" max="11" width="9.25"/>
    <col customWidth="1" min="12" max="12" width="10.25"/>
    <col customWidth="1" min="13" max="13" width="2.38"/>
    <col customWidth="1" min="14" max="15" width="2.0"/>
  </cols>
  <sheetData>
    <row r="1" ht="30.75" customHeight="1">
      <c r="A1" s="46"/>
      <c r="B1" s="47" t="s">
        <v>28</v>
      </c>
      <c r="C1" s="48"/>
      <c r="D1" s="48"/>
      <c r="E1" s="48"/>
      <c r="F1" s="48"/>
      <c r="G1" s="48"/>
      <c r="H1" s="48"/>
      <c r="I1" s="49" t="s">
        <v>29</v>
      </c>
      <c r="J1" s="50" t="s">
        <v>30</v>
      </c>
      <c r="K1" s="51"/>
      <c r="L1" s="48"/>
      <c r="M1" s="46"/>
      <c r="N1" s="46"/>
      <c r="O1" s="46"/>
    </row>
    <row r="2" ht="9.75" customHeight="1">
      <c r="A2" s="52"/>
      <c r="B2" s="53"/>
      <c r="C2" s="54"/>
      <c r="D2" s="54"/>
      <c r="E2" s="54"/>
      <c r="F2" s="54"/>
      <c r="G2" s="54"/>
      <c r="H2" s="54"/>
      <c r="I2" s="54"/>
      <c r="J2" s="54"/>
      <c r="K2" s="54"/>
      <c r="L2" s="54"/>
      <c r="M2" s="55"/>
      <c r="N2" s="56"/>
      <c r="O2" s="57"/>
    </row>
    <row r="3" ht="35.25" customHeight="1">
      <c r="A3" s="52"/>
      <c r="B3" s="53"/>
      <c r="C3" s="54" t="s">
        <v>31</v>
      </c>
      <c r="D3" s="58" t="s">
        <v>32</v>
      </c>
      <c r="E3" s="59"/>
      <c r="F3" s="51"/>
      <c r="G3" s="60"/>
      <c r="H3" s="61" t="s">
        <v>24</v>
      </c>
      <c r="I3" s="62" t="s">
        <v>20</v>
      </c>
      <c r="J3" s="62" t="s">
        <v>21</v>
      </c>
      <c r="K3" s="63" t="s">
        <v>27</v>
      </c>
      <c r="L3" s="64"/>
      <c r="M3" s="55"/>
      <c r="N3" s="56"/>
      <c r="O3" s="57"/>
    </row>
    <row r="4" ht="21.75" customHeight="1">
      <c r="A4" s="65"/>
      <c r="B4" s="66"/>
      <c r="C4" s="64"/>
      <c r="D4" s="64"/>
      <c r="E4" s="67" t="str">
        <f t="array" ref="E4">IF(D3="TOD@S","",CONCATENATE("Jornada:  ",XLOOKUP(D3,FUNC!E:E,FUNC!D:D)," horas"))</f>
        <v>#N/A</v>
      </c>
      <c r="F4" s="68"/>
      <c r="G4" s="69"/>
      <c r="H4" s="70" t="str">
        <f>IFERROR(__xludf.DUMMYFUNCTION("IFERROR(INDEX(QUERY(CONSO_ENCUESTAS!$A$4:$H32,""SELECT sum(G) WHERE A='""&amp;$D3&amp;""' AND B='""&amp;$H$3&amp;""' "",0),2),""-"")"),"-")</f>
        <v>-</v>
      </c>
      <c r="I4" s="70" t="str">
        <f>IFERROR(__xludf.DUMMYFUNCTION("IFERROR(INDEX(QUERY(CONSO_ENCUESTAS!$A$4:$H32,""SELECT sum(G) WHERE A='""&amp;$D3&amp;""' AND B='""&amp;$I$3&amp;""' "",0),2),""-"")"),"-")</f>
        <v>-</v>
      </c>
      <c r="J4" s="70" t="str">
        <f>IFERROR(__xludf.DUMMYFUNCTION("IFERROR(INDEX(QUERY(CONSO_ENCUESTAS!$A$4:$H32,""SELECT sum(G) WHERE A='""&amp;$D3&amp;""' AND B='""&amp;$J$3&amp;""' "",0),2),""-"")"),"-")</f>
        <v>-</v>
      </c>
      <c r="K4" s="71">
        <f>SUM(H4:J4)</f>
        <v>0</v>
      </c>
      <c r="L4" s="64"/>
      <c r="M4" s="55"/>
      <c r="N4" s="56"/>
      <c r="O4" s="57"/>
    </row>
    <row r="5" ht="9.0" customHeight="1">
      <c r="A5" s="72"/>
      <c r="B5" s="73"/>
      <c r="C5" s="74"/>
      <c r="D5" s="74"/>
      <c r="E5" s="74"/>
      <c r="F5" s="75"/>
      <c r="G5" s="75"/>
      <c r="H5" s="64"/>
      <c r="I5" s="64"/>
      <c r="J5" s="64"/>
      <c r="K5" s="64"/>
      <c r="L5" s="64"/>
      <c r="M5" s="55"/>
      <c r="N5" s="56"/>
      <c r="O5" s="57"/>
    </row>
    <row r="6" ht="30.75" customHeight="1">
      <c r="A6" s="76" t="str">
        <f>IF(J1="TODAS","","AND I="&amp;J1&amp;" ")</f>
        <v>AND I=1 </v>
      </c>
      <c r="B6" s="77"/>
      <c r="C6" s="78" t="str">
        <f>IFERROR(__xludf.DUMMYFUNCTION("QUERY(ENCUESTA_REU!B2:Q32,""SELECT B,D,E WHERE B IS NOT NULL ""&amp;A7&amp;""    ORDER BY B "",1)"),"FUNCIONARIO")</f>
        <v>FUNCIONARIO</v>
      </c>
      <c r="D6" s="79" t="str">
        <f>IFERROR(__xludf.DUMMYFUNCTION("""COMPUTED_VALUE"""),"AMBITO")</f>
        <v>AMBITO</v>
      </c>
      <c r="E6" s="80" t="str">
        <f>IFERROR(__xludf.DUMMYFUNCTION("""COMPUTED_VALUE"""),"ACTIVIDAD")</f>
        <v>ACTIVIDAD</v>
      </c>
      <c r="F6" s="81" t="s">
        <v>33</v>
      </c>
      <c r="G6" s="81" t="s">
        <v>34</v>
      </c>
      <c r="H6" s="81" t="s">
        <v>35</v>
      </c>
      <c r="I6" s="81" t="s">
        <v>36</v>
      </c>
      <c r="J6" s="82" t="s">
        <v>37</v>
      </c>
      <c r="K6" s="83" t="s">
        <v>38</v>
      </c>
      <c r="L6" s="84" t="s">
        <v>39</v>
      </c>
      <c r="M6" s="85"/>
      <c r="N6" s="86"/>
      <c r="O6" s="86"/>
    </row>
    <row r="7" ht="24.0" customHeight="1">
      <c r="A7" s="87" t="str">
        <f>IF(D3="TOD@S","","AND B='"&amp;D3&amp;"'   ")</f>
        <v>AND B='JUAN PABLO  ACEITUNO  JARA'   </v>
      </c>
      <c r="B7" s="53"/>
      <c r="C7" s="88"/>
      <c r="D7" s="88"/>
      <c r="E7" s="89"/>
      <c r="F7" s="90" t="str">
        <f t="shared" ref="F7:L7" si="1">IFERROR(XLOOKUP($E7,BD_REF_REUNIONES!$D:$D,BD_REF_REUNIONES!H:H),"")</f>
        <v/>
      </c>
      <c r="G7" s="91" t="str">
        <f t="shared" si="1"/>
        <v/>
      </c>
      <c r="H7" s="89" t="str">
        <f t="shared" si="1"/>
        <v/>
      </c>
      <c r="I7" s="92" t="str">
        <f t="shared" si="1"/>
        <v/>
      </c>
      <c r="J7" s="92" t="str">
        <f t="shared" si="1"/>
        <v/>
      </c>
      <c r="K7" s="93" t="str">
        <f t="shared" si="1"/>
        <v/>
      </c>
      <c r="L7" s="94" t="str">
        <f t="shared" si="1"/>
        <v/>
      </c>
      <c r="M7" s="55"/>
      <c r="N7" s="57"/>
      <c r="O7" s="57"/>
    </row>
    <row r="8" ht="24.0" customHeight="1">
      <c r="A8" s="87"/>
      <c r="B8" s="53"/>
      <c r="C8" s="88"/>
      <c r="D8" s="88"/>
      <c r="E8" s="89"/>
      <c r="F8" s="90" t="str">
        <f t="shared" ref="F8:L8" si="2">IFERROR(XLOOKUP($E8,BD_REF_REUNIONES!$D:$D,BD_REF_REUNIONES!H:H),"")</f>
        <v/>
      </c>
      <c r="G8" s="91" t="str">
        <f t="shared" si="2"/>
        <v/>
      </c>
      <c r="H8" s="89" t="str">
        <f t="shared" si="2"/>
        <v/>
      </c>
      <c r="I8" s="92" t="str">
        <f t="shared" si="2"/>
        <v/>
      </c>
      <c r="J8" s="92" t="str">
        <f t="shared" si="2"/>
        <v/>
      </c>
      <c r="K8" s="93" t="str">
        <f t="shared" si="2"/>
        <v/>
      </c>
      <c r="L8" s="94" t="str">
        <f t="shared" si="2"/>
        <v/>
      </c>
      <c r="M8" s="55"/>
      <c r="N8" s="57"/>
      <c r="O8" s="57"/>
    </row>
    <row r="9" ht="24.0" customHeight="1">
      <c r="A9" s="87"/>
      <c r="B9" s="53"/>
      <c r="C9" s="88"/>
      <c r="D9" s="88"/>
      <c r="E9" s="89"/>
      <c r="F9" s="90" t="str">
        <f t="shared" ref="F9:L9" si="3">IFERROR(XLOOKUP($E9,BD_REF_REUNIONES!$D:$D,BD_REF_REUNIONES!H:H),"")</f>
        <v/>
      </c>
      <c r="G9" s="91" t="str">
        <f t="shared" si="3"/>
        <v/>
      </c>
      <c r="H9" s="89" t="str">
        <f t="shared" si="3"/>
        <v/>
      </c>
      <c r="I9" s="92" t="str">
        <f t="shared" si="3"/>
        <v/>
      </c>
      <c r="J9" s="92" t="str">
        <f t="shared" si="3"/>
        <v/>
      </c>
      <c r="K9" s="93" t="str">
        <f t="shared" si="3"/>
        <v/>
      </c>
      <c r="L9" s="94" t="str">
        <f t="shared" si="3"/>
        <v/>
      </c>
      <c r="M9" s="55"/>
      <c r="N9" s="57"/>
      <c r="O9" s="57"/>
    </row>
    <row r="10" ht="24.0" customHeight="1">
      <c r="A10" s="87"/>
      <c r="B10" s="53"/>
      <c r="C10" s="88"/>
      <c r="D10" s="88"/>
      <c r="E10" s="89"/>
      <c r="F10" s="90" t="str">
        <f t="shared" ref="F10:L10" si="4">IFERROR(XLOOKUP($E10,BD_REF_REUNIONES!$D:$D,BD_REF_REUNIONES!H:H),"")</f>
        <v/>
      </c>
      <c r="G10" s="91" t="str">
        <f t="shared" si="4"/>
        <v/>
      </c>
      <c r="H10" s="89" t="str">
        <f t="shared" si="4"/>
        <v/>
      </c>
      <c r="I10" s="92" t="str">
        <f t="shared" si="4"/>
        <v/>
      </c>
      <c r="J10" s="92" t="str">
        <f t="shared" si="4"/>
        <v/>
      </c>
      <c r="K10" s="93" t="str">
        <f t="shared" si="4"/>
        <v/>
      </c>
      <c r="L10" s="94" t="str">
        <f t="shared" si="4"/>
        <v/>
      </c>
      <c r="M10" s="55"/>
      <c r="N10" s="57"/>
      <c r="O10" s="57"/>
    </row>
    <row r="11" ht="24.0" customHeight="1">
      <c r="A11" s="87"/>
      <c r="B11" s="53"/>
      <c r="C11" s="88"/>
      <c r="D11" s="88"/>
      <c r="E11" s="89"/>
      <c r="F11" s="90" t="str">
        <f t="shared" ref="F11:L11" si="5">IFERROR(XLOOKUP($E11,BD_REF_REUNIONES!$D:$D,BD_REF_REUNIONES!H:H),"")</f>
        <v/>
      </c>
      <c r="G11" s="91" t="str">
        <f t="shared" si="5"/>
        <v/>
      </c>
      <c r="H11" s="89" t="str">
        <f t="shared" si="5"/>
        <v/>
      </c>
      <c r="I11" s="92" t="str">
        <f t="shared" si="5"/>
        <v/>
      </c>
      <c r="J11" s="92" t="str">
        <f t="shared" si="5"/>
        <v/>
      </c>
      <c r="K11" s="93" t="str">
        <f t="shared" si="5"/>
        <v/>
      </c>
      <c r="L11" s="94" t="str">
        <f t="shared" si="5"/>
        <v/>
      </c>
      <c r="M11" s="55"/>
      <c r="N11" s="57"/>
      <c r="O11" s="57"/>
    </row>
    <row r="12" ht="24.0" customHeight="1">
      <c r="A12" s="87"/>
      <c r="B12" s="53"/>
      <c r="C12" s="88"/>
      <c r="D12" s="88"/>
      <c r="E12" s="89"/>
      <c r="F12" s="90" t="str">
        <f t="shared" ref="F12:L12" si="6">IFERROR(XLOOKUP($E12,BD_REF_REUNIONES!$D:$D,BD_REF_REUNIONES!H:H),"")</f>
        <v/>
      </c>
      <c r="G12" s="91" t="str">
        <f t="shared" si="6"/>
        <v/>
      </c>
      <c r="H12" s="89" t="str">
        <f t="shared" si="6"/>
        <v/>
      </c>
      <c r="I12" s="92" t="str">
        <f t="shared" si="6"/>
        <v/>
      </c>
      <c r="J12" s="92" t="str">
        <f t="shared" si="6"/>
        <v/>
      </c>
      <c r="K12" s="93" t="str">
        <f t="shared" si="6"/>
        <v/>
      </c>
      <c r="L12" s="94" t="str">
        <f t="shared" si="6"/>
        <v/>
      </c>
      <c r="M12" s="55"/>
      <c r="N12" s="57"/>
      <c r="O12" s="57"/>
    </row>
    <row r="13" ht="24.0" customHeight="1">
      <c r="A13" s="87"/>
      <c r="B13" s="53"/>
      <c r="C13" s="88"/>
      <c r="D13" s="88"/>
      <c r="E13" s="89"/>
      <c r="F13" s="90" t="str">
        <f t="shared" ref="F13:L13" si="7">IFERROR(XLOOKUP($E13,BD_REF_REUNIONES!$D:$D,BD_REF_REUNIONES!H:H),"")</f>
        <v/>
      </c>
      <c r="G13" s="91" t="str">
        <f t="shared" si="7"/>
        <v/>
      </c>
      <c r="H13" s="89" t="str">
        <f t="shared" si="7"/>
        <v/>
      </c>
      <c r="I13" s="92" t="str">
        <f t="shared" si="7"/>
        <v/>
      </c>
      <c r="J13" s="92" t="str">
        <f t="shared" si="7"/>
        <v/>
      </c>
      <c r="K13" s="93" t="str">
        <f t="shared" si="7"/>
        <v/>
      </c>
      <c r="L13" s="94" t="str">
        <f t="shared" si="7"/>
        <v/>
      </c>
      <c r="M13" s="55"/>
      <c r="N13" s="57"/>
      <c r="O13" s="57"/>
    </row>
    <row r="14" ht="24.0" customHeight="1">
      <c r="A14" s="87"/>
      <c r="B14" s="53"/>
      <c r="C14" s="88"/>
      <c r="D14" s="88"/>
      <c r="E14" s="89"/>
      <c r="F14" s="90" t="str">
        <f t="shared" ref="F14:L14" si="8">IFERROR(XLOOKUP($E14,BD_REF_REUNIONES!$D:$D,BD_REF_REUNIONES!H:H),"")</f>
        <v/>
      </c>
      <c r="G14" s="91" t="str">
        <f t="shared" si="8"/>
        <v/>
      </c>
      <c r="H14" s="89" t="str">
        <f t="shared" si="8"/>
        <v/>
      </c>
      <c r="I14" s="92" t="str">
        <f t="shared" si="8"/>
        <v/>
      </c>
      <c r="J14" s="92" t="str">
        <f t="shared" si="8"/>
        <v/>
      </c>
      <c r="K14" s="93" t="str">
        <f t="shared" si="8"/>
        <v/>
      </c>
      <c r="L14" s="94" t="str">
        <f t="shared" si="8"/>
        <v/>
      </c>
      <c r="M14" s="55"/>
      <c r="N14" s="57"/>
      <c r="O14" s="57"/>
    </row>
    <row r="15" ht="24.0" customHeight="1">
      <c r="A15" s="87"/>
      <c r="B15" s="53"/>
      <c r="C15" s="88"/>
      <c r="D15" s="88"/>
      <c r="E15" s="89"/>
      <c r="F15" s="90" t="str">
        <f t="shared" ref="F15:L15" si="9">IFERROR(XLOOKUP($E15,BD_REF_REUNIONES!$D:$D,BD_REF_REUNIONES!H:H),"")</f>
        <v/>
      </c>
      <c r="G15" s="91" t="str">
        <f t="shared" si="9"/>
        <v/>
      </c>
      <c r="H15" s="89" t="str">
        <f t="shared" si="9"/>
        <v/>
      </c>
      <c r="I15" s="92" t="str">
        <f t="shared" si="9"/>
        <v/>
      </c>
      <c r="J15" s="92" t="str">
        <f t="shared" si="9"/>
        <v/>
      </c>
      <c r="K15" s="93" t="str">
        <f t="shared" si="9"/>
        <v/>
      </c>
      <c r="L15" s="94" t="str">
        <f t="shared" si="9"/>
        <v/>
      </c>
      <c r="M15" s="55"/>
      <c r="N15" s="57"/>
      <c r="O15" s="57"/>
    </row>
    <row r="16" ht="24.0" customHeight="1">
      <c r="A16" s="87"/>
      <c r="B16" s="53"/>
      <c r="C16" s="88"/>
      <c r="D16" s="88"/>
      <c r="E16" s="89"/>
      <c r="F16" s="90" t="str">
        <f t="shared" ref="F16:L16" si="10">IFERROR(XLOOKUP($E16,BD_REF_REUNIONES!$D:$D,BD_REF_REUNIONES!H:H),"")</f>
        <v/>
      </c>
      <c r="G16" s="91" t="str">
        <f t="shared" si="10"/>
        <v/>
      </c>
      <c r="H16" s="89" t="str">
        <f t="shared" si="10"/>
        <v/>
      </c>
      <c r="I16" s="92" t="str">
        <f t="shared" si="10"/>
        <v/>
      </c>
      <c r="J16" s="92" t="str">
        <f t="shared" si="10"/>
        <v/>
      </c>
      <c r="K16" s="93" t="str">
        <f t="shared" si="10"/>
        <v/>
      </c>
      <c r="L16" s="94" t="str">
        <f t="shared" si="10"/>
        <v/>
      </c>
      <c r="M16" s="55"/>
      <c r="N16" s="57"/>
      <c r="O16" s="57"/>
    </row>
    <row r="17" ht="24.0" customHeight="1">
      <c r="A17" s="87"/>
      <c r="B17" s="53"/>
      <c r="C17" s="88"/>
      <c r="D17" s="88"/>
      <c r="E17" s="89"/>
      <c r="F17" s="90" t="str">
        <f t="shared" ref="F17:L17" si="11">IFERROR(XLOOKUP($E17,BD_REF_REUNIONES!$D:$D,BD_REF_REUNIONES!H:H),"")</f>
        <v/>
      </c>
      <c r="G17" s="91" t="str">
        <f t="shared" si="11"/>
        <v/>
      </c>
      <c r="H17" s="89" t="str">
        <f t="shared" si="11"/>
        <v/>
      </c>
      <c r="I17" s="92" t="str">
        <f t="shared" si="11"/>
        <v/>
      </c>
      <c r="J17" s="92" t="str">
        <f t="shared" si="11"/>
        <v/>
      </c>
      <c r="K17" s="93" t="str">
        <f t="shared" si="11"/>
        <v/>
      </c>
      <c r="L17" s="94" t="str">
        <f t="shared" si="11"/>
        <v/>
      </c>
      <c r="M17" s="55"/>
      <c r="N17" s="57"/>
      <c r="O17" s="57"/>
    </row>
    <row r="18" ht="24.0" customHeight="1">
      <c r="A18" s="87"/>
      <c r="B18" s="53"/>
      <c r="C18" s="88"/>
      <c r="D18" s="88"/>
      <c r="E18" s="89"/>
      <c r="F18" s="90" t="str">
        <f t="shared" ref="F18:L18" si="12">IFERROR(XLOOKUP($E18,BD_REF_REUNIONES!$D:$D,BD_REF_REUNIONES!H:H),"")</f>
        <v/>
      </c>
      <c r="G18" s="91" t="str">
        <f t="shared" si="12"/>
        <v/>
      </c>
      <c r="H18" s="89" t="str">
        <f t="shared" si="12"/>
        <v/>
      </c>
      <c r="I18" s="92" t="str">
        <f t="shared" si="12"/>
        <v/>
      </c>
      <c r="J18" s="92" t="str">
        <f t="shared" si="12"/>
        <v/>
      </c>
      <c r="K18" s="93" t="str">
        <f t="shared" si="12"/>
        <v/>
      </c>
      <c r="L18" s="94" t="str">
        <f t="shared" si="12"/>
        <v/>
      </c>
      <c r="M18" s="55"/>
      <c r="N18" s="57"/>
      <c r="O18" s="57"/>
    </row>
    <row r="19" ht="24.0" customHeight="1">
      <c r="A19" s="87"/>
      <c r="B19" s="53"/>
      <c r="C19" s="88"/>
      <c r="D19" s="88"/>
      <c r="E19" s="89"/>
      <c r="F19" s="90" t="str">
        <f t="shared" ref="F19:L19" si="13">IFERROR(XLOOKUP($E19,BD_REF_REUNIONES!$D:$D,BD_REF_REUNIONES!H:H),"")</f>
        <v/>
      </c>
      <c r="G19" s="91" t="str">
        <f t="shared" si="13"/>
        <v/>
      </c>
      <c r="H19" s="89" t="str">
        <f t="shared" si="13"/>
        <v/>
      </c>
      <c r="I19" s="92" t="str">
        <f t="shared" si="13"/>
        <v/>
      </c>
      <c r="J19" s="92" t="str">
        <f t="shared" si="13"/>
        <v/>
      </c>
      <c r="K19" s="93" t="str">
        <f t="shared" si="13"/>
        <v/>
      </c>
      <c r="L19" s="94" t="str">
        <f t="shared" si="13"/>
        <v/>
      </c>
      <c r="M19" s="55"/>
      <c r="N19" s="57"/>
      <c r="O19" s="57"/>
    </row>
    <row r="20" ht="24.0" customHeight="1">
      <c r="A20" s="87"/>
      <c r="B20" s="53"/>
      <c r="C20" s="88"/>
      <c r="D20" s="88"/>
      <c r="E20" s="89"/>
      <c r="F20" s="90" t="str">
        <f t="shared" ref="F20:L20" si="14">IFERROR(XLOOKUP($E20,BD_REF_REUNIONES!$D:$D,BD_REF_REUNIONES!H:H),"")</f>
        <v/>
      </c>
      <c r="G20" s="91" t="str">
        <f t="shared" si="14"/>
        <v/>
      </c>
      <c r="H20" s="89" t="str">
        <f t="shared" si="14"/>
        <v/>
      </c>
      <c r="I20" s="92" t="str">
        <f t="shared" si="14"/>
        <v/>
      </c>
      <c r="J20" s="92" t="str">
        <f t="shared" si="14"/>
        <v/>
      </c>
      <c r="K20" s="93" t="str">
        <f t="shared" si="14"/>
        <v/>
      </c>
      <c r="L20" s="94" t="str">
        <f t="shared" si="14"/>
        <v/>
      </c>
      <c r="M20" s="55"/>
      <c r="N20" s="57"/>
      <c r="O20" s="57"/>
    </row>
    <row r="21" ht="24.0" customHeight="1">
      <c r="A21" s="87"/>
      <c r="B21" s="53"/>
      <c r="C21" s="88"/>
      <c r="D21" s="88"/>
      <c r="E21" s="89"/>
      <c r="F21" s="90" t="str">
        <f t="shared" ref="F21:L21" si="15">IFERROR(XLOOKUP($E21,BD_REF_REUNIONES!$D:$D,BD_REF_REUNIONES!H:H),"")</f>
        <v/>
      </c>
      <c r="G21" s="91" t="str">
        <f t="shared" si="15"/>
        <v/>
      </c>
      <c r="H21" s="89" t="str">
        <f t="shared" si="15"/>
        <v/>
      </c>
      <c r="I21" s="92" t="str">
        <f t="shared" si="15"/>
        <v/>
      </c>
      <c r="J21" s="92" t="str">
        <f t="shared" si="15"/>
        <v/>
      </c>
      <c r="K21" s="93" t="str">
        <f t="shared" si="15"/>
        <v/>
      </c>
      <c r="L21" s="94" t="str">
        <f t="shared" si="15"/>
        <v/>
      </c>
      <c r="M21" s="55"/>
      <c r="N21" s="57"/>
      <c r="O21" s="57"/>
    </row>
    <row r="22" ht="24.0" customHeight="1">
      <c r="A22" s="87"/>
      <c r="B22" s="53"/>
      <c r="C22" s="88"/>
      <c r="D22" s="88"/>
      <c r="E22" s="89"/>
      <c r="F22" s="90" t="str">
        <f t="shared" ref="F22:L22" si="16">IFERROR(XLOOKUP($E22,BD_REF_REUNIONES!$D:$D,BD_REF_REUNIONES!H:H),"")</f>
        <v/>
      </c>
      <c r="G22" s="91" t="str">
        <f t="shared" si="16"/>
        <v/>
      </c>
      <c r="H22" s="89" t="str">
        <f t="shared" si="16"/>
        <v/>
      </c>
      <c r="I22" s="92" t="str">
        <f t="shared" si="16"/>
        <v/>
      </c>
      <c r="J22" s="92" t="str">
        <f t="shared" si="16"/>
        <v/>
      </c>
      <c r="K22" s="93" t="str">
        <f t="shared" si="16"/>
        <v/>
      </c>
      <c r="L22" s="94" t="str">
        <f t="shared" si="16"/>
        <v/>
      </c>
      <c r="M22" s="55"/>
      <c r="N22" s="57"/>
      <c r="O22" s="57"/>
    </row>
    <row r="23" ht="24.0" customHeight="1">
      <c r="A23" s="87"/>
      <c r="B23" s="53"/>
      <c r="C23" s="88"/>
      <c r="D23" s="88"/>
      <c r="E23" s="89"/>
      <c r="F23" s="90" t="str">
        <f t="shared" ref="F23:L23" si="17">IFERROR(XLOOKUP($E23,BD_REF_REUNIONES!$D:$D,BD_REF_REUNIONES!H:H),"")</f>
        <v/>
      </c>
      <c r="G23" s="91" t="str">
        <f t="shared" si="17"/>
        <v/>
      </c>
      <c r="H23" s="89" t="str">
        <f t="shared" si="17"/>
        <v/>
      </c>
      <c r="I23" s="92" t="str">
        <f t="shared" si="17"/>
        <v/>
      </c>
      <c r="J23" s="92" t="str">
        <f t="shared" si="17"/>
        <v/>
      </c>
      <c r="K23" s="93" t="str">
        <f t="shared" si="17"/>
        <v/>
      </c>
      <c r="L23" s="94" t="str">
        <f t="shared" si="17"/>
        <v/>
      </c>
      <c r="M23" s="55"/>
      <c r="N23" s="57"/>
      <c r="O23" s="57"/>
    </row>
    <row r="24" ht="24.0" customHeight="1">
      <c r="A24" s="87"/>
      <c r="B24" s="53"/>
      <c r="C24" s="88"/>
      <c r="D24" s="88"/>
      <c r="E24" s="89"/>
      <c r="F24" s="90" t="str">
        <f t="shared" ref="F24:L24" si="18">IFERROR(XLOOKUP($E24,BD_REF_REUNIONES!$D:$D,BD_REF_REUNIONES!H:H),"")</f>
        <v/>
      </c>
      <c r="G24" s="91" t="str">
        <f t="shared" si="18"/>
        <v/>
      </c>
      <c r="H24" s="89" t="str">
        <f t="shared" si="18"/>
        <v/>
      </c>
      <c r="I24" s="92" t="str">
        <f t="shared" si="18"/>
        <v/>
      </c>
      <c r="J24" s="92" t="str">
        <f t="shared" si="18"/>
        <v/>
      </c>
      <c r="K24" s="93" t="str">
        <f t="shared" si="18"/>
        <v/>
      </c>
      <c r="L24" s="94" t="str">
        <f t="shared" si="18"/>
        <v/>
      </c>
      <c r="M24" s="55"/>
      <c r="N24" s="57"/>
      <c r="O24" s="57"/>
    </row>
    <row r="25" ht="24.0" customHeight="1">
      <c r="A25" s="87"/>
      <c r="B25" s="53"/>
      <c r="C25" s="88"/>
      <c r="D25" s="88"/>
      <c r="E25" s="89"/>
      <c r="F25" s="90" t="str">
        <f t="shared" ref="F25:L25" si="19">IFERROR(XLOOKUP($E25,BD_REF_REUNIONES!$D:$D,BD_REF_REUNIONES!H:H),"")</f>
        <v/>
      </c>
      <c r="G25" s="91" t="str">
        <f t="shared" si="19"/>
        <v/>
      </c>
      <c r="H25" s="89" t="str">
        <f t="shared" si="19"/>
        <v/>
      </c>
      <c r="I25" s="92" t="str">
        <f t="shared" si="19"/>
        <v/>
      </c>
      <c r="J25" s="92" t="str">
        <f t="shared" si="19"/>
        <v/>
      </c>
      <c r="K25" s="93" t="str">
        <f t="shared" si="19"/>
        <v/>
      </c>
      <c r="L25" s="94" t="str">
        <f t="shared" si="19"/>
        <v/>
      </c>
      <c r="M25" s="55"/>
      <c r="N25" s="57"/>
      <c r="O25" s="57"/>
    </row>
    <row r="26" ht="24.0" customHeight="1">
      <c r="A26" s="87"/>
      <c r="B26" s="53"/>
      <c r="C26" s="88"/>
      <c r="D26" s="88"/>
      <c r="E26" s="89"/>
      <c r="F26" s="90" t="str">
        <f t="shared" ref="F26:L26" si="20">IFERROR(XLOOKUP($E26,BD_REF_REUNIONES!$D:$D,BD_REF_REUNIONES!H:H),"")</f>
        <v/>
      </c>
      <c r="G26" s="91" t="str">
        <f t="shared" si="20"/>
        <v/>
      </c>
      <c r="H26" s="89" t="str">
        <f t="shared" si="20"/>
        <v/>
      </c>
      <c r="I26" s="92" t="str">
        <f t="shared" si="20"/>
        <v/>
      </c>
      <c r="J26" s="92" t="str">
        <f t="shared" si="20"/>
        <v/>
      </c>
      <c r="K26" s="93" t="str">
        <f t="shared" si="20"/>
        <v/>
      </c>
      <c r="L26" s="94" t="str">
        <f t="shared" si="20"/>
        <v/>
      </c>
      <c r="M26" s="55"/>
      <c r="N26" s="57"/>
      <c r="O26" s="57"/>
    </row>
    <row r="27" ht="24.0" customHeight="1">
      <c r="A27" s="87"/>
      <c r="B27" s="53"/>
      <c r="C27" s="88"/>
      <c r="D27" s="88"/>
      <c r="E27" s="89"/>
      <c r="F27" s="90" t="str">
        <f t="shared" ref="F27:L27" si="21">IFERROR(XLOOKUP($E27,BD_REF_REUNIONES!$D:$D,BD_REF_REUNIONES!H:H),"")</f>
        <v/>
      </c>
      <c r="G27" s="91" t="str">
        <f t="shared" si="21"/>
        <v/>
      </c>
      <c r="H27" s="89" t="str">
        <f t="shared" si="21"/>
        <v/>
      </c>
      <c r="I27" s="92" t="str">
        <f t="shared" si="21"/>
        <v/>
      </c>
      <c r="J27" s="92" t="str">
        <f t="shared" si="21"/>
        <v/>
      </c>
      <c r="K27" s="93" t="str">
        <f t="shared" si="21"/>
        <v/>
      </c>
      <c r="L27" s="94" t="str">
        <f t="shared" si="21"/>
        <v/>
      </c>
      <c r="M27" s="55"/>
      <c r="N27" s="57"/>
      <c r="O27" s="57"/>
    </row>
    <row r="28" ht="24.0" customHeight="1">
      <c r="A28" s="87"/>
      <c r="B28" s="53"/>
      <c r="C28" s="88"/>
      <c r="D28" s="88"/>
      <c r="E28" s="89"/>
      <c r="F28" s="90" t="str">
        <f t="shared" ref="F28:L28" si="22">IFERROR(XLOOKUP($E28,BD_REF_REUNIONES!$D:$D,BD_REF_REUNIONES!H:H),"")</f>
        <v/>
      </c>
      <c r="G28" s="91" t="str">
        <f t="shared" si="22"/>
        <v/>
      </c>
      <c r="H28" s="89" t="str">
        <f t="shared" si="22"/>
        <v/>
      </c>
      <c r="I28" s="92" t="str">
        <f t="shared" si="22"/>
        <v/>
      </c>
      <c r="J28" s="92" t="str">
        <f t="shared" si="22"/>
        <v/>
      </c>
      <c r="K28" s="93" t="str">
        <f t="shared" si="22"/>
        <v/>
      </c>
      <c r="L28" s="94" t="str">
        <f t="shared" si="22"/>
        <v/>
      </c>
      <c r="M28" s="55"/>
      <c r="N28" s="57"/>
      <c r="O28" s="57"/>
    </row>
    <row r="29" ht="24.0" customHeight="1">
      <c r="A29" s="87"/>
      <c r="B29" s="53"/>
      <c r="C29" s="88"/>
      <c r="D29" s="88"/>
      <c r="E29" s="89"/>
      <c r="F29" s="90" t="str">
        <f t="shared" ref="F29:L29" si="23">IFERROR(XLOOKUP($E29,BD_REF_REUNIONES!$D:$D,BD_REF_REUNIONES!H:H),"")</f>
        <v/>
      </c>
      <c r="G29" s="91" t="str">
        <f t="shared" si="23"/>
        <v/>
      </c>
      <c r="H29" s="89" t="str">
        <f t="shared" si="23"/>
        <v/>
      </c>
      <c r="I29" s="92" t="str">
        <f t="shared" si="23"/>
        <v/>
      </c>
      <c r="J29" s="92" t="str">
        <f t="shared" si="23"/>
        <v/>
      </c>
      <c r="K29" s="93" t="str">
        <f t="shared" si="23"/>
        <v/>
      </c>
      <c r="L29" s="94" t="str">
        <f t="shared" si="23"/>
        <v/>
      </c>
      <c r="M29" s="95"/>
      <c r="N29" s="96"/>
      <c r="O29" s="96"/>
    </row>
    <row r="30" ht="24.0" customHeight="1">
      <c r="A30" s="87"/>
      <c r="B30" s="53"/>
      <c r="C30" s="88"/>
      <c r="D30" s="88"/>
      <c r="E30" s="89"/>
      <c r="F30" s="90" t="str">
        <f t="shared" ref="F30:L30" si="24">IFERROR(XLOOKUP($E30,BD_REF_REUNIONES!$D:$D,BD_REF_REUNIONES!H:H),"")</f>
        <v/>
      </c>
      <c r="G30" s="91" t="str">
        <f t="shared" si="24"/>
        <v/>
      </c>
      <c r="H30" s="89" t="str">
        <f t="shared" si="24"/>
        <v/>
      </c>
      <c r="I30" s="92" t="str">
        <f t="shared" si="24"/>
        <v/>
      </c>
      <c r="J30" s="92" t="str">
        <f t="shared" si="24"/>
        <v/>
      </c>
      <c r="K30" s="93" t="str">
        <f t="shared" si="24"/>
        <v/>
      </c>
      <c r="L30" s="94" t="str">
        <f t="shared" si="24"/>
        <v/>
      </c>
      <c r="M30" s="95"/>
      <c r="N30" s="96"/>
      <c r="O30" s="96"/>
    </row>
    <row r="31" ht="24.0" customHeight="1">
      <c r="A31" s="87"/>
      <c r="B31" s="53"/>
      <c r="C31" s="88"/>
      <c r="D31" s="88"/>
      <c r="E31" s="89"/>
      <c r="F31" s="90" t="str">
        <f t="shared" ref="F31:L31" si="25">IFERROR(XLOOKUP($E31,BD_REF_REUNIONES!$D:$D,BD_REF_REUNIONES!H:H),"")</f>
        <v/>
      </c>
      <c r="G31" s="91" t="str">
        <f t="shared" si="25"/>
        <v/>
      </c>
      <c r="H31" s="89" t="str">
        <f t="shared" si="25"/>
        <v/>
      </c>
      <c r="I31" s="92" t="str">
        <f t="shared" si="25"/>
        <v/>
      </c>
      <c r="J31" s="92" t="str">
        <f t="shared" si="25"/>
        <v/>
      </c>
      <c r="K31" s="93" t="str">
        <f t="shared" si="25"/>
        <v/>
      </c>
      <c r="L31" s="94" t="str">
        <f t="shared" si="25"/>
        <v/>
      </c>
      <c r="M31" s="95"/>
      <c r="N31" s="96"/>
      <c r="O31" s="96"/>
    </row>
    <row r="32" ht="24.0" customHeight="1">
      <c r="A32" s="87"/>
      <c r="B32" s="53"/>
      <c r="C32" s="88"/>
      <c r="D32" s="88"/>
      <c r="E32" s="89"/>
      <c r="F32" s="90" t="str">
        <f t="shared" ref="F32:L32" si="26">IFERROR(XLOOKUP($E32,BD_REF_REUNIONES!$D:$D,BD_REF_REUNIONES!H:H),"")</f>
        <v/>
      </c>
      <c r="G32" s="91" t="str">
        <f t="shared" si="26"/>
        <v/>
      </c>
      <c r="H32" s="89" t="str">
        <f t="shared" si="26"/>
        <v/>
      </c>
      <c r="I32" s="92" t="str">
        <f t="shared" si="26"/>
        <v/>
      </c>
      <c r="J32" s="92" t="str">
        <f t="shared" si="26"/>
        <v/>
      </c>
      <c r="K32" s="93" t="str">
        <f t="shared" si="26"/>
        <v/>
      </c>
      <c r="L32" s="94" t="str">
        <f t="shared" si="26"/>
        <v/>
      </c>
      <c r="M32" s="95"/>
      <c r="N32" s="96"/>
      <c r="O32" s="96"/>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J1:K1"/>
    <mergeCell ref="D3:F3"/>
  </mergeCells>
  <conditionalFormatting sqref="L7:L32">
    <cfRule type="expression" dxfId="10" priority="1">
      <formula>#REF!="SI"</formula>
    </cfRule>
  </conditionalFormatting>
  <conditionalFormatting sqref="L7:L32">
    <cfRule type="cellIs" dxfId="11" priority="2" operator="equal">
      <formula>"NO"</formula>
    </cfRule>
  </conditionalFormatting>
  <conditionalFormatting sqref="I7:J32">
    <cfRule type="containsText" dxfId="12" priority="3" operator="containsText" text="SI">
      <formula>NOT(ISERROR(SEARCH(("SI"),(I7))))</formula>
    </cfRule>
  </conditionalFormatting>
  <dataValidations>
    <dataValidation type="list" allowBlank="1" showErrorMessage="1" sqref="D3">
      <formula1>#REF!</formula1>
    </dataValidation>
    <dataValidation type="list" allowBlank="1" showErrorMessage="1" sqref="J1">
      <formula1>"TODAS,1,2,3,4,5"</formula1>
    </dataValidation>
  </dataValidations>
  <printOptions gridLines="1" horizontalCentered="1"/>
  <pageMargins bottom="0.75" footer="0.0" header="0.0" left="0.25" right="0.25" top="0.75"/>
  <pageSetup fitToWidth="0" paperSize="9" cellComments="atEnd" orientation="portrait" pageOrder="overThenDown"/>
  <drawing r:id="rId1"/>
  <tableParts count="3">
    <tablePart r:id="rId5"/>
    <tablePart r:id="rId6"/>
    <tablePart r:id="rId7"/>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showGridLines="0" workbookViewId="0"/>
  </sheetViews>
  <sheetFormatPr customHeight="1" defaultColWidth="12.63" defaultRowHeight="15.0" outlineLevelCol="2" outlineLevelRow="1"/>
  <cols>
    <col collapsed="1" customWidth="1" min="1" max="1" width="2.75"/>
    <col customWidth="1" hidden="1" min="2" max="2" width="4.88" outlineLevel="1"/>
    <col customWidth="1" hidden="1" min="3" max="3" width="5.5" outlineLevel="2"/>
    <col customWidth="1" min="4" max="4" width="36.38"/>
    <col customWidth="1" min="5" max="5" width="18.25" outlineLevel="1"/>
    <col customWidth="1" min="6" max="7" width="10.25"/>
    <col customWidth="1" min="8" max="12" width="14.0"/>
    <col customWidth="1" min="13" max="14" width="2.75"/>
  </cols>
  <sheetData>
    <row r="1" ht="20.25" customHeight="1">
      <c r="A1" s="97"/>
      <c r="B1" s="97" t="s">
        <v>40</v>
      </c>
      <c r="I1" s="98"/>
      <c r="J1" s="98"/>
      <c r="K1" s="99" t="s">
        <v>41</v>
      </c>
      <c r="L1" s="100" t="s">
        <v>42</v>
      </c>
      <c r="M1" s="101"/>
      <c r="N1" s="101"/>
    </row>
    <row r="2" ht="20.25" customHeight="1">
      <c r="A2" s="97"/>
      <c r="I2" s="98"/>
      <c r="J2" s="102"/>
      <c r="K2" s="99" t="s">
        <v>29</v>
      </c>
      <c r="L2" s="100" t="s">
        <v>43</v>
      </c>
      <c r="M2" s="101"/>
      <c r="N2" s="101"/>
    </row>
    <row r="3" ht="15.75" customHeight="1" collapsed="1">
      <c r="A3" s="64"/>
      <c r="B3" s="103"/>
      <c r="C3" s="64"/>
      <c r="D3" s="64"/>
      <c r="E3" s="64"/>
      <c r="F3" s="103"/>
      <c r="G3" s="103"/>
      <c r="H3" s="104"/>
      <c r="I3" s="104"/>
      <c r="J3" s="104"/>
      <c r="K3" s="104"/>
      <c r="L3" s="104"/>
      <c r="M3" s="64"/>
      <c r="N3" s="64"/>
    </row>
    <row r="4" ht="15.75" hidden="1" customHeight="1" outlineLevel="1">
      <c r="A4" s="64"/>
      <c r="B4" s="103"/>
      <c r="C4" s="64"/>
      <c r="D4" s="64"/>
      <c r="E4" s="64"/>
      <c r="F4" s="103"/>
      <c r="G4" s="103"/>
      <c r="H4" s="104"/>
      <c r="I4" s="104"/>
      <c r="J4" s="104" t="str">
        <f>IF(L1="Todos","",IF(L1="LUNES","AND J=1 ",IF(L1="MARTES","AND J=2 ",IF(L1="MIÉRCOLES","AND J=3 ",IF(L1="JUEVES","AND J=4 ",IF(L1="VIERNES","AND J=5 "))))))</f>
        <v/>
      </c>
      <c r="K4" s="104" t="str">
        <f>IF(L2="Todas","","AND I="&amp;L2&amp;" ")</f>
        <v/>
      </c>
      <c r="L4" s="104"/>
      <c r="M4" s="64"/>
      <c r="N4" s="64"/>
    </row>
    <row r="5" ht="27.75" customHeight="1" collapsed="1">
      <c r="A5" s="105"/>
      <c r="B5" s="106" t="s">
        <v>34</v>
      </c>
      <c r="C5" s="106" t="s">
        <v>35</v>
      </c>
      <c r="D5" s="107" t="s">
        <v>21</v>
      </c>
      <c r="E5" s="107" t="s">
        <v>44</v>
      </c>
      <c r="F5" s="107" t="s">
        <v>36</v>
      </c>
      <c r="G5" s="107" t="s">
        <v>37</v>
      </c>
      <c r="H5" s="107" t="s">
        <v>45</v>
      </c>
      <c r="I5" s="107" t="s">
        <v>46</v>
      </c>
      <c r="J5" s="107" t="s">
        <v>47</v>
      </c>
      <c r="K5" s="107" t="s">
        <v>48</v>
      </c>
      <c r="L5" s="107" t="s">
        <v>49</v>
      </c>
      <c r="M5" s="105"/>
      <c r="N5" s="105"/>
    </row>
    <row r="6" ht="15.75" hidden="1" customHeight="1" outlineLevel="1">
      <c r="A6" s="108"/>
      <c r="B6" s="109" t="str">
        <f>IFERROR(__xludf.DUMMYFUNCTION("QUERY(BD_REF_REUNIONES!A4:O84,""SELECT I,J,D,H,K,L WHERE I IS NOT NULL ""&amp;K4&amp;J4&amp;"" ORDER BY I,J,K,D,H,L"",1)"),"#REF!")</f>
        <v>#REF!</v>
      </c>
      <c r="C6" s="110"/>
      <c r="D6" s="111"/>
      <c r="E6" s="111"/>
      <c r="F6" s="112"/>
      <c r="G6" s="112"/>
      <c r="H6" s="113" t="s">
        <v>50</v>
      </c>
      <c r="I6" s="113" t="s">
        <v>51</v>
      </c>
      <c r="J6" s="113" t="s">
        <v>52</v>
      </c>
      <c r="K6" s="113" t="s">
        <v>53</v>
      </c>
      <c r="L6" s="113" t="s">
        <v>54</v>
      </c>
      <c r="M6" s="108"/>
      <c r="N6" s="108"/>
    </row>
    <row r="7" ht="37.5" customHeight="1">
      <c r="A7" s="114"/>
      <c r="B7" s="115"/>
      <c r="C7" s="116"/>
      <c r="D7" s="117"/>
      <c r="E7" s="117"/>
      <c r="F7" s="118"/>
      <c r="G7" s="119"/>
      <c r="H7" s="120" t="str">
        <f t="shared" ref="H7:H73" si="1">IF($C7=1,D7,"")</f>
        <v/>
      </c>
      <c r="I7" s="120" t="str">
        <f t="shared" ref="I7:I73" si="2">IF($C7=2,D7,"")</f>
        <v/>
      </c>
      <c r="J7" s="120" t="str">
        <f t="shared" ref="J7:J73" si="3">IF($C7=3,D7,"")</f>
        <v/>
      </c>
      <c r="K7" s="120" t="str">
        <f t="shared" ref="K7:K73" si="4">IF($C7=4,D7,"")</f>
        <v/>
      </c>
      <c r="L7" s="120" t="str">
        <f t="shared" ref="L7:L73" si="5">IF($C7=5,D7,"")</f>
        <v/>
      </c>
      <c r="M7" s="114"/>
      <c r="N7" s="114"/>
    </row>
    <row r="8" ht="37.5" customHeight="1">
      <c r="A8" s="114"/>
      <c r="B8" s="121"/>
      <c r="C8" s="122"/>
      <c r="D8" s="123"/>
      <c r="E8" s="123"/>
      <c r="F8" s="124"/>
      <c r="G8" s="125"/>
      <c r="H8" s="126" t="str">
        <f t="shared" si="1"/>
        <v/>
      </c>
      <c r="I8" s="126" t="str">
        <f t="shared" si="2"/>
        <v/>
      </c>
      <c r="J8" s="126" t="str">
        <f t="shared" si="3"/>
        <v/>
      </c>
      <c r="K8" s="126" t="str">
        <f t="shared" si="4"/>
        <v/>
      </c>
      <c r="L8" s="126" t="str">
        <f t="shared" si="5"/>
        <v/>
      </c>
      <c r="M8" s="114"/>
      <c r="N8" s="114"/>
    </row>
    <row r="9" ht="37.5" customHeight="1">
      <c r="A9" s="114"/>
      <c r="B9" s="115"/>
      <c r="C9" s="116"/>
      <c r="D9" s="117"/>
      <c r="E9" s="117"/>
      <c r="F9" s="118"/>
      <c r="G9" s="119"/>
      <c r="H9" s="120" t="str">
        <f t="shared" si="1"/>
        <v/>
      </c>
      <c r="I9" s="120" t="str">
        <f t="shared" si="2"/>
        <v/>
      </c>
      <c r="J9" s="120" t="str">
        <f t="shared" si="3"/>
        <v/>
      </c>
      <c r="K9" s="120" t="str">
        <f t="shared" si="4"/>
        <v/>
      </c>
      <c r="L9" s="120" t="str">
        <f t="shared" si="5"/>
        <v/>
      </c>
      <c r="M9" s="114"/>
      <c r="N9" s="114"/>
    </row>
    <row r="10" ht="37.5" customHeight="1">
      <c r="A10" s="114"/>
      <c r="B10" s="121"/>
      <c r="C10" s="122"/>
      <c r="D10" s="123"/>
      <c r="E10" s="123"/>
      <c r="F10" s="127"/>
      <c r="G10" s="128"/>
      <c r="H10" s="126" t="str">
        <f t="shared" si="1"/>
        <v/>
      </c>
      <c r="I10" s="126" t="str">
        <f t="shared" si="2"/>
        <v/>
      </c>
      <c r="J10" s="126" t="str">
        <f t="shared" si="3"/>
        <v/>
      </c>
      <c r="K10" s="126" t="str">
        <f t="shared" si="4"/>
        <v/>
      </c>
      <c r="L10" s="126" t="str">
        <f t="shared" si="5"/>
        <v/>
      </c>
      <c r="M10" s="114"/>
      <c r="N10" s="114"/>
    </row>
    <row r="11" ht="37.5" customHeight="1">
      <c r="A11" s="114"/>
      <c r="B11" s="115"/>
      <c r="C11" s="116"/>
      <c r="D11" s="117"/>
      <c r="E11" s="117"/>
      <c r="F11" s="129"/>
      <c r="G11" s="130"/>
      <c r="H11" s="120" t="str">
        <f t="shared" si="1"/>
        <v/>
      </c>
      <c r="I11" s="120" t="str">
        <f t="shared" si="2"/>
        <v/>
      </c>
      <c r="J11" s="120" t="str">
        <f t="shared" si="3"/>
        <v/>
      </c>
      <c r="K11" s="120" t="str">
        <f t="shared" si="4"/>
        <v/>
      </c>
      <c r="L11" s="120" t="str">
        <f t="shared" si="5"/>
        <v/>
      </c>
      <c r="M11" s="114"/>
      <c r="N11" s="114"/>
    </row>
    <row r="12" ht="37.5" customHeight="1">
      <c r="A12" s="114"/>
      <c r="B12" s="121"/>
      <c r="C12" s="122"/>
      <c r="D12" s="123"/>
      <c r="E12" s="123"/>
      <c r="F12" s="127"/>
      <c r="G12" s="128"/>
      <c r="H12" s="126" t="str">
        <f t="shared" si="1"/>
        <v/>
      </c>
      <c r="I12" s="126" t="str">
        <f t="shared" si="2"/>
        <v/>
      </c>
      <c r="J12" s="126" t="str">
        <f t="shared" si="3"/>
        <v/>
      </c>
      <c r="K12" s="126" t="str">
        <f t="shared" si="4"/>
        <v/>
      </c>
      <c r="L12" s="126" t="str">
        <f t="shared" si="5"/>
        <v/>
      </c>
      <c r="M12" s="114"/>
      <c r="N12" s="114"/>
    </row>
    <row r="13" ht="37.5" customHeight="1">
      <c r="A13" s="114"/>
      <c r="B13" s="115"/>
      <c r="C13" s="116"/>
      <c r="D13" s="117"/>
      <c r="E13" s="117"/>
      <c r="F13" s="129"/>
      <c r="G13" s="130"/>
      <c r="H13" s="120" t="str">
        <f t="shared" si="1"/>
        <v/>
      </c>
      <c r="I13" s="120" t="str">
        <f t="shared" si="2"/>
        <v/>
      </c>
      <c r="J13" s="120" t="str">
        <f t="shared" si="3"/>
        <v/>
      </c>
      <c r="K13" s="120" t="str">
        <f t="shared" si="4"/>
        <v/>
      </c>
      <c r="L13" s="120" t="str">
        <f t="shared" si="5"/>
        <v/>
      </c>
      <c r="M13" s="114"/>
      <c r="N13" s="114"/>
    </row>
    <row r="14" ht="37.5" customHeight="1">
      <c r="A14" s="114"/>
      <c r="B14" s="121"/>
      <c r="C14" s="122"/>
      <c r="D14" s="123"/>
      <c r="E14" s="123"/>
      <c r="F14" s="127"/>
      <c r="G14" s="128"/>
      <c r="H14" s="126" t="str">
        <f t="shared" si="1"/>
        <v/>
      </c>
      <c r="I14" s="126" t="str">
        <f t="shared" si="2"/>
        <v/>
      </c>
      <c r="J14" s="126" t="str">
        <f t="shared" si="3"/>
        <v/>
      </c>
      <c r="K14" s="126" t="str">
        <f t="shared" si="4"/>
        <v/>
      </c>
      <c r="L14" s="126" t="str">
        <f t="shared" si="5"/>
        <v/>
      </c>
      <c r="M14" s="114"/>
      <c r="N14" s="114"/>
    </row>
    <row r="15" ht="37.5" customHeight="1">
      <c r="A15" s="114"/>
      <c r="B15" s="115"/>
      <c r="C15" s="116"/>
      <c r="D15" s="117"/>
      <c r="E15" s="117"/>
      <c r="F15" s="129"/>
      <c r="G15" s="130"/>
      <c r="H15" s="120" t="str">
        <f t="shared" si="1"/>
        <v/>
      </c>
      <c r="I15" s="120" t="str">
        <f t="shared" si="2"/>
        <v/>
      </c>
      <c r="J15" s="120" t="str">
        <f t="shared" si="3"/>
        <v/>
      </c>
      <c r="K15" s="120" t="str">
        <f t="shared" si="4"/>
        <v/>
      </c>
      <c r="L15" s="120" t="str">
        <f t="shared" si="5"/>
        <v/>
      </c>
      <c r="M15" s="114"/>
      <c r="N15" s="114"/>
    </row>
    <row r="16" ht="37.5" customHeight="1">
      <c r="A16" s="114"/>
      <c r="B16" s="121"/>
      <c r="C16" s="122"/>
      <c r="D16" s="123"/>
      <c r="E16" s="123"/>
      <c r="F16" s="127"/>
      <c r="G16" s="128"/>
      <c r="H16" s="126" t="str">
        <f t="shared" si="1"/>
        <v/>
      </c>
      <c r="I16" s="126" t="str">
        <f t="shared" si="2"/>
        <v/>
      </c>
      <c r="J16" s="126" t="str">
        <f t="shared" si="3"/>
        <v/>
      </c>
      <c r="K16" s="126" t="str">
        <f t="shared" si="4"/>
        <v/>
      </c>
      <c r="L16" s="126" t="str">
        <f t="shared" si="5"/>
        <v/>
      </c>
      <c r="M16" s="114"/>
      <c r="N16" s="114"/>
    </row>
    <row r="17" ht="37.5" customHeight="1">
      <c r="A17" s="114"/>
      <c r="B17" s="115"/>
      <c r="C17" s="116"/>
      <c r="D17" s="117"/>
      <c r="E17" s="117"/>
      <c r="F17" s="129"/>
      <c r="G17" s="130"/>
      <c r="H17" s="120" t="str">
        <f t="shared" si="1"/>
        <v/>
      </c>
      <c r="I17" s="120" t="str">
        <f t="shared" si="2"/>
        <v/>
      </c>
      <c r="J17" s="120" t="str">
        <f t="shared" si="3"/>
        <v/>
      </c>
      <c r="K17" s="120" t="str">
        <f t="shared" si="4"/>
        <v/>
      </c>
      <c r="L17" s="120" t="str">
        <f t="shared" si="5"/>
        <v/>
      </c>
      <c r="M17" s="114"/>
      <c r="N17" s="114"/>
    </row>
    <row r="18" ht="37.5" customHeight="1">
      <c r="A18" s="114"/>
      <c r="B18" s="121"/>
      <c r="C18" s="122"/>
      <c r="D18" s="123"/>
      <c r="E18" s="123"/>
      <c r="F18" s="127"/>
      <c r="G18" s="128"/>
      <c r="H18" s="126" t="str">
        <f t="shared" si="1"/>
        <v/>
      </c>
      <c r="I18" s="126" t="str">
        <f t="shared" si="2"/>
        <v/>
      </c>
      <c r="J18" s="126" t="str">
        <f t="shared" si="3"/>
        <v/>
      </c>
      <c r="K18" s="126" t="str">
        <f t="shared" si="4"/>
        <v/>
      </c>
      <c r="L18" s="126" t="str">
        <f t="shared" si="5"/>
        <v/>
      </c>
      <c r="M18" s="114"/>
      <c r="N18" s="114"/>
    </row>
    <row r="19" ht="37.5" customHeight="1">
      <c r="A19" s="114"/>
      <c r="B19" s="115"/>
      <c r="C19" s="116"/>
      <c r="D19" s="117"/>
      <c r="E19" s="117"/>
      <c r="F19" s="129"/>
      <c r="G19" s="130"/>
      <c r="H19" s="120" t="str">
        <f t="shared" si="1"/>
        <v/>
      </c>
      <c r="I19" s="120" t="str">
        <f t="shared" si="2"/>
        <v/>
      </c>
      <c r="J19" s="120" t="str">
        <f t="shared" si="3"/>
        <v/>
      </c>
      <c r="K19" s="120" t="str">
        <f t="shared" si="4"/>
        <v/>
      </c>
      <c r="L19" s="120" t="str">
        <f t="shared" si="5"/>
        <v/>
      </c>
      <c r="M19" s="114"/>
      <c r="N19" s="114"/>
    </row>
    <row r="20" ht="37.5" customHeight="1">
      <c r="A20" s="114"/>
      <c r="B20" s="121"/>
      <c r="C20" s="122"/>
      <c r="D20" s="123"/>
      <c r="E20" s="123"/>
      <c r="F20" s="127"/>
      <c r="G20" s="128"/>
      <c r="H20" s="126" t="str">
        <f t="shared" si="1"/>
        <v/>
      </c>
      <c r="I20" s="126" t="str">
        <f t="shared" si="2"/>
        <v/>
      </c>
      <c r="J20" s="126" t="str">
        <f t="shared" si="3"/>
        <v/>
      </c>
      <c r="K20" s="126" t="str">
        <f t="shared" si="4"/>
        <v/>
      </c>
      <c r="L20" s="126" t="str">
        <f t="shared" si="5"/>
        <v/>
      </c>
      <c r="M20" s="114"/>
      <c r="N20" s="114"/>
    </row>
    <row r="21" ht="37.5" customHeight="1">
      <c r="A21" s="114"/>
      <c r="B21" s="115"/>
      <c r="C21" s="116"/>
      <c r="D21" s="117"/>
      <c r="E21" s="117"/>
      <c r="F21" s="129"/>
      <c r="G21" s="130"/>
      <c r="H21" s="120" t="str">
        <f t="shared" si="1"/>
        <v/>
      </c>
      <c r="I21" s="120" t="str">
        <f t="shared" si="2"/>
        <v/>
      </c>
      <c r="J21" s="120" t="str">
        <f t="shared" si="3"/>
        <v/>
      </c>
      <c r="K21" s="120" t="str">
        <f t="shared" si="4"/>
        <v/>
      </c>
      <c r="L21" s="120" t="str">
        <f t="shared" si="5"/>
        <v/>
      </c>
      <c r="M21" s="114"/>
      <c r="N21" s="114"/>
    </row>
    <row r="22" ht="37.5" customHeight="1">
      <c r="A22" s="114"/>
      <c r="B22" s="121"/>
      <c r="C22" s="122"/>
      <c r="D22" s="123"/>
      <c r="E22" s="123"/>
      <c r="F22" s="127"/>
      <c r="G22" s="128"/>
      <c r="H22" s="126" t="str">
        <f t="shared" si="1"/>
        <v/>
      </c>
      <c r="I22" s="126" t="str">
        <f t="shared" si="2"/>
        <v/>
      </c>
      <c r="J22" s="126" t="str">
        <f t="shared" si="3"/>
        <v/>
      </c>
      <c r="K22" s="126" t="str">
        <f t="shared" si="4"/>
        <v/>
      </c>
      <c r="L22" s="126" t="str">
        <f t="shared" si="5"/>
        <v/>
      </c>
      <c r="M22" s="114"/>
      <c r="N22" s="114"/>
    </row>
    <row r="23" ht="37.5" customHeight="1">
      <c r="A23" s="114"/>
      <c r="B23" s="115"/>
      <c r="C23" s="116"/>
      <c r="D23" s="117"/>
      <c r="E23" s="117"/>
      <c r="F23" s="129"/>
      <c r="G23" s="130"/>
      <c r="H23" s="120" t="str">
        <f t="shared" si="1"/>
        <v/>
      </c>
      <c r="I23" s="120" t="str">
        <f t="shared" si="2"/>
        <v/>
      </c>
      <c r="J23" s="120" t="str">
        <f t="shared" si="3"/>
        <v/>
      </c>
      <c r="K23" s="120" t="str">
        <f t="shared" si="4"/>
        <v/>
      </c>
      <c r="L23" s="120" t="str">
        <f t="shared" si="5"/>
        <v/>
      </c>
      <c r="M23" s="114"/>
      <c r="N23" s="114"/>
    </row>
    <row r="24" ht="37.5" customHeight="1">
      <c r="A24" s="114"/>
      <c r="B24" s="121"/>
      <c r="C24" s="122"/>
      <c r="D24" s="123"/>
      <c r="E24" s="123"/>
      <c r="F24" s="127"/>
      <c r="G24" s="128"/>
      <c r="H24" s="126" t="str">
        <f t="shared" si="1"/>
        <v/>
      </c>
      <c r="I24" s="126" t="str">
        <f t="shared" si="2"/>
        <v/>
      </c>
      <c r="J24" s="126" t="str">
        <f t="shared" si="3"/>
        <v/>
      </c>
      <c r="K24" s="126" t="str">
        <f t="shared" si="4"/>
        <v/>
      </c>
      <c r="L24" s="126" t="str">
        <f t="shared" si="5"/>
        <v/>
      </c>
      <c r="M24" s="114"/>
      <c r="N24" s="114"/>
    </row>
    <row r="25" ht="37.5" customHeight="1">
      <c r="A25" s="114"/>
      <c r="B25" s="115"/>
      <c r="C25" s="116"/>
      <c r="D25" s="117"/>
      <c r="E25" s="117"/>
      <c r="F25" s="129"/>
      <c r="G25" s="130"/>
      <c r="H25" s="120" t="str">
        <f t="shared" si="1"/>
        <v/>
      </c>
      <c r="I25" s="120" t="str">
        <f t="shared" si="2"/>
        <v/>
      </c>
      <c r="J25" s="120" t="str">
        <f t="shared" si="3"/>
        <v/>
      </c>
      <c r="K25" s="120" t="str">
        <f t="shared" si="4"/>
        <v/>
      </c>
      <c r="L25" s="120" t="str">
        <f t="shared" si="5"/>
        <v/>
      </c>
      <c r="M25" s="114"/>
      <c r="N25" s="114"/>
    </row>
    <row r="26" ht="37.5" customHeight="1">
      <c r="A26" s="114"/>
      <c r="B26" s="121"/>
      <c r="C26" s="122"/>
      <c r="D26" s="123"/>
      <c r="E26" s="123"/>
      <c r="F26" s="127"/>
      <c r="G26" s="128"/>
      <c r="H26" s="126" t="str">
        <f t="shared" si="1"/>
        <v/>
      </c>
      <c r="I26" s="126" t="str">
        <f t="shared" si="2"/>
        <v/>
      </c>
      <c r="J26" s="126" t="str">
        <f t="shared" si="3"/>
        <v/>
      </c>
      <c r="K26" s="126" t="str">
        <f t="shared" si="4"/>
        <v/>
      </c>
      <c r="L26" s="126" t="str">
        <f t="shared" si="5"/>
        <v/>
      </c>
      <c r="M26" s="114"/>
      <c r="N26" s="114"/>
    </row>
    <row r="27" ht="37.5" customHeight="1">
      <c r="A27" s="114"/>
      <c r="B27" s="115"/>
      <c r="C27" s="116"/>
      <c r="D27" s="117"/>
      <c r="E27" s="117"/>
      <c r="F27" s="129"/>
      <c r="G27" s="130"/>
      <c r="H27" s="120" t="str">
        <f t="shared" si="1"/>
        <v/>
      </c>
      <c r="I27" s="120" t="str">
        <f t="shared" si="2"/>
        <v/>
      </c>
      <c r="J27" s="120" t="str">
        <f t="shared" si="3"/>
        <v/>
      </c>
      <c r="K27" s="120" t="str">
        <f t="shared" si="4"/>
        <v/>
      </c>
      <c r="L27" s="120" t="str">
        <f t="shared" si="5"/>
        <v/>
      </c>
      <c r="M27" s="114"/>
      <c r="N27" s="114"/>
    </row>
    <row r="28" ht="37.5" customHeight="1">
      <c r="A28" s="114"/>
      <c r="B28" s="121"/>
      <c r="C28" s="122"/>
      <c r="D28" s="123"/>
      <c r="E28" s="123"/>
      <c r="F28" s="127"/>
      <c r="G28" s="128"/>
      <c r="H28" s="126" t="str">
        <f t="shared" si="1"/>
        <v/>
      </c>
      <c r="I28" s="126" t="str">
        <f t="shared" si="2"/>
        <v/>
      </c>
      <c r="J28" s="126" t="str">
        <f t="shared" si="3"/>
        <v/>
      </c>
      <c r="K28" s="126" t="str">
        <f t="shared" si="4"/>
        <v/>
      </c>
      <c r="L28" s="126" t="str">
        <f t="shared" si="5"/>
        <v/>
      </c>
      <c r="M28" s="114"/>
      <c r="N28" s="114"/>
    </row>
    <row r="29" ht="37.5" customHeight="1">
      <c r="A29" s="114"/>
      <c r="B29" s="115"/>
      <c r="C29" s="116"/>
      <c r="D29" s="117"/>
      <c r="E29" s="117"/>
      <c r="F29" s="129"/>
      <c r="G29" s="130"/>
      <c r="H29" s="120" t="str">
        <f t="shared" si="1"/>
        <v/>
      </c>
      <c r="I29" s="120" t="str">
        <f t="shared" si="2"/>
        <v/>
      </c>
      <c r="J29" s="120" t="str">
        <f t="shared" si="3"/>
        <v/>
      </c>
      <c r="K29" s="120" t="str">
        <f t="shared" si="4"/>
        <v/>
      </c>
      <c r="L29" s="120" t="str">
        <f t="shared" si="5"/>
        <v/>
      </c>
      <c r="M29" s="114"/>
      <c r="N29" s="114"/>
    </row>
    <row r="30" ht="37.5" customHeight="1">
      <c r="A30" s="114"/>
      <c r="B30" s="121"/>
      <c r="C30" s="122"/>
      <c r="D30" s="123"/>
      <c r="E30" s="123"/>
      <c r="F30" s="127"/>
      <c r="G30" s="128"/>
      <c r="H30" s="126" t="str">
        <f t="shared" si="1"/>
        <v/>
      </c>
      <c r="I30" s="126" t="str">
        <f t="shared" si="2"/>
        <v/>
      </c>
      <c r="J30" s="126" t="str">
        <f t="shared" si="3"/>
        <v/>
      </c>
      <c r="K30" s="126" t="str">
        <f t="shared" si="4"/>
        <v/>
      </c>
      <c r="L30" s="126" t="str">
        <f t="shared" si="5"/>
        <v/>
      </c>
      <c r="M30" s="114"/>
      <c r="N30" s="114"/>
    </row>
    <row r="31" ht="37.5" customHeight="1">
      <c r="A31" s="114"/>
      <c r="B31" s="115"/>
      <c r="C31" s="116"/>
      <c r="D31" s="117"/>
      <c r="E31" s="117"/>
      <c r="F31" s="129"/>
      <c r="G31" s="130"/>
      <c r="H31" s="120" t="str">
        <f t="shared" si="1"/>
        <v/>
      </c>
      <c r="I31" s="120" t="str">
        <f t="shared" si="2"/>
        <v/>
      </c>
      <c r="J31" s="120" t="str">
        <f t="shared" si="3"/>
        <v/>
      </c>
      <c r="K31" s="120" t="str">
        <f t="shared" si="4"/>
        <v/>
      </c>
      <c r="L31" s="120" t="str">
        <f t="shared" si="5"/>
        <v/>
      </c>
      <c r="M31" s="114"/>
      <c r="N31" s="114"/>
    </row>
    <row r="32" ht="37.5" customHeight="1">
      <c r="A32" s="114"/>
      <c r="B32" s="121"/>
      <c r="C32" s="122"/>
      <c r="D32" s="123"/>
      <c r="E32" s="123"/>
      <c r="F32" s="127"/>
      <c r="G32" s="128"/>
      <c r="H32" s="126" t="str">
        <f t="shared" si="1"/>
        <v/>
      </c>
      <c r="I32" s="126" t="str">
        <f t="shared" si="2"/>
        <v/>
      </c>
      <c r="J32" s="126" t="str">
        <f t="shared" si="3"/>
        <v/>
      </c>
      <c r="K32" s="126" t="str">
        <f t="shared" si="4"/>
        <v/>
      </c>
      <c r="L32" s="126" t="str">
        <f t="shared" si="5"/>
        <v/>
      </c>
      <c r="M32" s="114"/>
      <c r="N32" s="114"/>
    </row>
    <row r="33" ht="37.5" customHeight="1">
      <c r="A33" s="114"/>
      <c r="B33" s="115"/>
      <c r="C33" s="116"/>
      <c r="D33" s="117"/>
      <c r="E33" s="117"/>
      <c r="F33" s="129"/>
      <c r="G33" s="130"/>
      <c r="H33" s="120" t="str">
        <f t="shared" si="1"/>
        <v/>
      </c>
      <c r="I33" s="120" t="str">
        <f t="shared" si="2"/>
        <v/>
      </c>
      <c r="J33" s="120" t="str">
        <f t="shared" si="3"/>
        <v/>
      </c>
      <c r="K33" s="120" t="str">
        <f t="shared" si="4"/>
        <v/>
      </c>
      <c r="L33" s="120" t="str">
        <f t="shared" si="5"/>
        <v/>
      </c>
      <c r="M33" s="114"/>
      <c r="N33" s="114"/>
    </row>
    <row r="34" ht="37.5" customHeight="1">
      <c r="A34" s="114"/>
      <c r="B34" s="121"/>
      <c r="C34" s="122"/>
      <c r="D34" s="123"/>
      <c r="E34" s="123"/>
      <c r="F34" s="127"/>
      <c r="G34" s="128"/>
      <c r="H34" s="126" t="str">
        <f t="shared" si="1"/>
        <v/>
      </c>
      <c r="I34" s="126" t="str">
        <f t="shared" si="2"/>
        <v/>
      </c>
      <c r="J34" s="126" t="str">
        <f t="shared" si="3"/>
        <v/>
      </c>
      <c r="K34" s="126" t="str">
        <f t="shared" si="4"/>
        <v/>
      </c>
      <c r="L34" s="126" t="str">
        <f t="shared" si="5"/>
        <v/>
      </c>
      <c r="M34" s="114"/>
      <c r="N34" s="114"/>
    </row>
    <row r="35" ht="37.5" customHeight="1">
      <c r="A35" s="114"/>
      <c r="B35" s="115"/>
      <c r="C35" s="116"/>
      <c r="D35" s="117"/>
      <c r="E35" s="117"/>
      <c r="F35" s="129"/>
      <c r="G35" s="130"/>
      <c r="H35" s="120" t="str">
        <f t="shared" si="1"/>
        <v/>
      </c>
      <c r="I35" s="120" t="str">
        <f t="shared" si="2"/>
        <v/>
      </c>
      <c r="J35" s="120" t="str">
        <f t="shared" si="3"/>
        <v/>
      </c>
      <c r="K35" s="120" t="str">
        <f t="shared" si="4"/>
        <v/>
      </c>
      <c r="L35" s="120" t="str">
        <f t="shared" si="5"/>
        <v/>
      </c>
      <c r="M35" s="114"/>
      <c r="N35" s="114"/>
    </row>
    <row r="36" ht="37.5" customHeight="1">
      <c r="A36" s="114"/>
      <c r="B36" s="121"/>
      <c r="C36" s="122"/>
      <c r="D36" s="123"/>
      <c r="E36" s="123"/>
      <c r="F36" s="127"/>
      <c r="G36" s="128"/>
      <c r="H36" s="126" t="str">
        <f t="shared" si="1"/>
        <v/>
      </c>
      <c r="I36" s="126" t="str">
        <f t="shared" si="2"/>
        <v/>
      </c>
      <c r="J36" s="126" t="str">
        <f t="shared" si="3"/>
        <v/>
      </c>
      <c r="K36" s="126" t="str">
        <f t="shared" si="4"/>
        <v/>
      </c>
      <c r="L36" s="126" t="str">
        <f t="shared" si="5"/>
        <v/>
      </c>
      <c r="M36" s="114"/>
      <c r="N36" s="114"/>
    </row>
    <row r="37" ht="37.5" customHeight="1">
      <c r="A37" s="114"/>
      <c r="B37" s="115"/>
      <c r="C37" s="116"/>
      <c r="D37" s="117"/>
      <c r="E37" s="117"/>
      <c r="F37" s="129"/>
      <c r="G37" s="130"/>
      <c r="H37" s="120" t="str">
        <f t="shared" si="1"/>
        <v/>
      </c>
      <c r="I37" s="120" t="str">
        <f t="shared" si="2"/>
        <v/>
      </c>
      <c r="J37" s="120" t="str">
        <f t="shared" si="3"/>
        <v/>
      </c>
      <c r="K37" s="120" t="str">
        <f t="shared" si="4"/>
        <v/>
      </c>
      <c r="L37" s="120" t="str">
        <f t="shared" si="5"/>
        <v/>
      </c>
      <c r="M37" s="114"/>
      <c r="N37" s="114"/>
    </row>
    <row r="38" ht="37.5" customHeight="1">
      <c r="A38" s="114"/>
      <c r="B38" s="121"/>
      <c r="C38" s="122"/>
      <c r="D38" s="123"/>
      <c r="E38" s="123"/>
      <c r="F38" s="127"/>
      <c r="G38" s="128"/>
      <c r="H38" s="126" t="str">
        <f t="shared" si="1"/>
        <v/>
      </c>
      <c r="I38" s="126" t="str">
        <f t="shared" si="2"/>
        <v/>
      </c>
      <c r="J38" s="126" t="str">
        <f t="shared" si="3"/>
        <v/>
      </c>
      <c r="K38" s="126" t="str">
        <f t="shared" si="4"/>
        <v/>
      </c>
      <c r="L38" s="126" t="str">
        <f t="shared" si="5"/>
        <v/>
      </c>
      <c r="M38" s="114"/>
      <c r="N38" s="114"/>
    </row>
    <row r="39" ht="37.5" customHeight="1">
      <c r="A39" s="114"/>
      <c r="B39" s="115"/>
      <c r="C39" s="116"/>
      <c r="D39" s="117"/>
      <c r="E39" s="117"/>
      <c r="F39" s="129"/>
      <c r="G39" s="130"/>
      <c r="H39" s="120" t="str">
        <f t="shared" si="1"/>
        <v/>
      </c>
      <c r="I39" s="120" t="str">
        <f t="shared" si="2"/>
        <v/>
      </c>
      <c r="J39" s="120" t="str">
        <f t="shared" si="3"/>
        <v/>
      </c>
      <c r="K39" s="120" t="str">
        <f t="shared" si="4"/>
        <v/>
      </c>
      <c r="L39" s="120" t="str">
        <f t="shared" si="5"/>
        <v/>
      </c>
      <c r="M39" s="114"/>
      <c r="N39" s="114"/>
    </row>
    <row r="40" ht="37.5" customHeight="1">
      <c r="A40" s="114"/>
      <c r="B40" s="121"/>
      <c r="C40" s="122"/>
      <c r="D40" s="123"/>
      <c r="E40" s="123"/>
      <c r="F40" s="127"/>
      <c r="G40" s="128"/>
      <c r="H40" s="126" t="str">
        <f t="shared" si="1"/>
        <v/>
      </c>
      <c r="I40" s="126" t="str">
        <f t="shared" si="2"/>
        <v/>
      </c>
      <c r="J40" s="126" t="str">
        <f t="shared" si="3"/>
        <v/>
      </c>
      <c r="K40" s="126" t="str">
        <f t="shared" si="4"/>
        <v/>
      </c>
      <c r="L40" s="126" t="str">
        <f t="shared" si="5"/>
        <v/>
      </c>
      <c r="M40" s="114"/>
      <c r="N40" s="114"/>
    </row>
    <row r="41" ht="37.5" customHeight="1">
      <c r="A41" s="114"/>
      <c r="B41" s="115"/>
      <c r="C41" s="116"/>
      <c r="D41" s="117"/>
      <c r="E41" s="117"/>
      <c r="F41" s="129"/>
      <c r="G41" s="130"/>
      <c r="H41" s="120" t="str">
        <f t="shared" si="1"/>
        <v/>
      </c>
      <c r="I41" s="120" t="str">
        <f t="shared" si="2"/>
        <v/>
      </c>
      <c r="J41" s="120" t="str">
        <f t="shared" si="3"/>
        <v/>
      </c>
      <c r="K41" s="120" t="str">
        <f t="shared" si="4"/>
        <v/>
      </c>
      <c r="L41" s="120" t="str">
        <f t="shared" si="5"/>
        <v/>
      </c>
      <c r="M41" s="114"/>
      <c r="N41" s="114"/>
    </row>
    <row r="42" ht="37.5" customHeight="1">
      <c r="A42" s="114"/>
      <c r="B42" s="121"/>
      <c r="C42" s="122"/>
      <c r="D42" s="123"/>
      <c r="E42" s="123"/>
      <c r="F42" s="127"/>
      <c r="G42" s="128"/>
      <c r="H42" s="126" t="str">
        <f t="shared" si="1"/>
        <v/>
      </c>
      <c r="I42" s="126" t="str">
        <f t="shared" si="2"/>
        <v/>
      </c>
      <c r="J42" s="126" t="str">
        <f t="shared" si="3"/>
        <v/>
      </c>
      <c r="K42" s="126" t="str">
        <f t="shared" si="4"/>
        <v/>
      </c>
      <c r="L42" s="126" t="str">
        <f t="shared" si="5"/>
        <v/>
      </c>
      <c r="M42" s="114"/>
      <c r="N42" s="114"/>
    </row>
    <row r="43" ht="37.5" customHeight="1">
      <c r="A43" s="114"/>
      <c r="B43" s="115"/>
      <c r="C43" s="116"/>
      <c r="D43" s="117"/>
      <c r="E43" s="117"/>
      <c r="F43" s="129"/>
      <c r="G43" s="130"/>
      <c r="H43" s="120" t="str">
        <f t="shared" si="1"/>
        <v/>
      </c>
      <c r="I43" s="120" t="str">
        <f t="shared" si="2"/>
        <v/>
      </c>
      <c r="J43" s="120" t="str">
        <f t="shared" si="3"/>
        <v/>
      </c>
      <c r="K43" s="120" t="str">
        <f t="shared" si="4"/>
        <v/>
      </c>
      <c r="L43" s="120" t="str">
        <f t="shared" si="5"/>
        <v/>
      </c>
      <c r="M43" s="114"/>
      <c r="N43" s="114"/>
    </row>
    <row r="44" ht="37.5" customHeight="1">
      <c r="A44" s="114"/>
      <c r="B44" s="121"/>
      <c r="C44" s="122"/>
      <c r="D44" s="123"/>
      <c r="E44" s="123"/>
      <c r="F44" s="127"/>
      <c r="G44" s="128"/>
      <c r="H44" s="126" t="str">
        <f t="shared" si="1"/>
        <v/>
      </c>
      <c r="I44" s="126" t="str">
        <f t="shared" si="2"/>
        <v/>
      </c>
      <c r="J44" s="126" t="str">
        <f t="shared" si="3"/>
        <v/>
      </c>
      <c r="K44" s="126" t="str">
        <f t="shared" si="4"/>
        <v/>
      </c>
      <c r="L44" s="126" t="str">
        <f t="shared" si="5"/>
        <v/>
      </c>
      <c r="M44" s="114"/>
      <c r="N44" s="114"/>
    </row>
    <row r="45" ht="37.5" customHeight="1">
      <c r="A45" s="114"/>
      <c r="B45" s="115"/>
      <c r="C45" s="116"/>
      <c r="D45" s="117"/>
      <c r="E45" s="117"/>
      <c r="F45" s="129"/>
      <c r="G45" s="130"/>
      <c r="H45" s="120" t="str">
        <f t="shared" si="1"/>
        <v/>
      </c>
      <c r="I45" s="120" t="str">
        <f t="shared" si="2"/>
        <v/>
      </c>
      <c r="J45" s="120" t="str">
        <f t="shared" si="3"/>
        <v/>
      </c>
      <c r="K45" s="120" t="str">
        <f t="shared" si="4"/>
        <v/>
      </c>
      <c r="L45" s="120" t="str">
        <f t="shared" si="5"/>
        <v/>
      </c>
      <c r="M45" s="114"/>
      <c r="N45" s="114"/>
    </row>
    <row r="46" ht="37.5" customHeight="1">
      <c r="A46" s="114"/>
      <c r="B46" s="121"/>
      <c r="C46" s="122"/>
      <c r="D46" s="123"/>
      <c r="E46" s="123"/>
      <c r="F46" s="127"/>
      <c r="G46" s="128"/>
      <c r="H46" s="126" t="str">
        <f t="shared" si="1"/>
        <v/>
      </c>
      <c r="I46" s="126" t="str">
        <f t="shared" si="2"/>
        <v/>
      </c>
      <c r="J46" s="126" t="str">
        <f t="shared" si="3"/>
        <v/>
      </c>
      <c r="K46" s="126" t="str">
        <f t="shared" si="4"/>
        <v/>
      </c>
      <c r="L46" s="126" t="str">
        <f t="shared" si="5"/>
        <v/>
      </c>
      <c r="M46" s="114"/>
      <c r="N46" s="114"/>
    </row>
    <row r="47" ht="37.5" customHeight="1">
      <c r="A47" s="114"/>
      <c r="B47" s="115"/>
      <c r="C47" s="116"/>
      <c r="D47" s="117"/>
      <c r="E47" s="117"/>
      <c r="F47" s="129"/>
      <c r="G47" s="130"/>
      <c r="H47" s="120" t="str">
        <f t="shared" si="1"/>
        <v/>
      </c>
      <c r="I47" s="120" t="str">
        <f t="shared" si="2"/>
        <v/>
      </c>
      <c r="J47" s="120" t="str">
        <f t="shared" si="3"/>
        <v/>
      </c>
      <c r="K47" s="120" t="str">
        <f t="shared" si="4"/>
        <v/>
      </c>
      <c r="L47" s="120" t="str">
        <f t="shared" si="5"/>
        <v/>
      </c>
      <c r="M47" s="114"/>
      <c r="N47" s="114"/>
    </row>
    <row r="48" ht="37.5" customHeight="1">
      <c r="A48" s="114"/>
      <c r="B48" s="121"/>
      <c r="C48" s="122"/>
      <c r="D48" s="123"/>
      <c r="E48" s="123"/>
      <c r="F48" s="127"/>
      <c r="G48" s="128"/>
      <c r="H48" s="126" t="str">
        <f t="shared" si="1"/>
        <v/>
      </c>
      <c r="I48" s="126" t="str">
        <f t="shared" si="2"/>
        <v/>
      </c>
      <c r="J48" s="126" t="str">
        <f t="shared" si="3"/>
        <v/>
      </c>
      <c r="K48" s="126" t="str">
        <f t="shared" si="4"/>
        <v/>
      </c>
      <c r="L48" s="126" t="str">
        <f t="shared" si="5"/>
        <v/>
      </c>
      <c r="M48" s="114"/>
      <c r="N48" s="114"/>
    </row>
    <row r="49" ht="37.5" customHeight="1">
      <c r="A49" s="114"/>
      <c r="B49" s="115"/>
      <c r="C49" s="116"/>
      <c r="D49" s="117"/>
      <c r="E49" s="117"/>
      <c r="F49" s="129"/>
      <c r="G49" s="130"/>
      <c r="H49" s="120" t="str">
        <f t="shared" si="1"/>
        <v/>
      </c>
      <c r="I49" s="120" t="str">
        <f t="shared" si="2"/>
        <v/>
      </c>
      <c r="J49" s="120" t="str">
        <f t="shared" si="3"/>
        <v/>
      </c>
      <c r="K49" s="120" t="str">
        <f t="shared" si="4"/>
        <v/>
      </c>
      <c r="L49" s="120" t="str">
        <f t="shared" si="5"/>
        <v/>
      </c>
      <c r="M49" s="114"/>
      <c r="N49" s="114"/>
    </row>
    <row r="50" ht="37.5" customHeight="1">
      <c r="A50" s="114"/>
      <c r="B50" s="121"/>
      <c r="C50" s="122"/>
      <c r="D50" s="123"/>
      <c r="E50" s="123"/>
      <c r="F50" s="127"/>
      <c r="G50" s="128"/>
      <c r="H50" s="126" t="str">
        <f t="shared" si="1"/>
        <v/>
      </c>
      <c r="I50" s="126" t="str">
        <f t="shared" si="2"/>
        <v/>
      </c>
      <c r="J50" s="126" t="str">
        <f t="shared" si="3"/>
        <v/>
      </c>
      <c r="K50" s="126" t="str">
        <f t="shared" si="4"/>
        <v/>
      </c>
      <c r="L50" s="126" t="str">
        <f t="shared" si="5"/>
        <v/>
      </c>
      <c r="M50" s="114"/>
      <c r="N50" s="114"/>
    </row>
    <row r="51" ht="37.5" customHeight="1">
      <c r="A51" s="114"/>
      <c r="B51" s="115"/>
      <c r="C51" s="116"/>
      <c r="D51" s="117"/>
      <c r="E51" s="117"/>
      <c r="F51" s="129"/>
      <c r="G51" s="130"/>
      <c r="H51" s="120" t="str">
        <f t="shared" si="1"/>
        <v/>
      </c>
      <c r="I51" s="120" t="str">
        <f t="shared" si="2"/>
        <v/>
      </c>
      <c r="J51" s="120" t="str">
        <f t="shared" si="3"/>
        <v/>
      </c>
      <c r="K51" s="120" t="str">
        <f t="shared" si="4"/>
        <v/>
      </c>
      <c r="L51" s="120" t="str">
        <f t="shared" si="5"/>
        <v/>
      </c>
      <c r="M51" s="114"/>
      <c r="N51" s="114"/>
    </row>
    <row r="52" ht="37.5" customHeight="1">
      <c r="A52" s="114"/>
      <c r="B52" s="121"/>
      <c r="C52" s="122"/>
      <c r="D52" s="123"/>
      <c r="E52" s="123"/>
      <c r="F52" s="127"/>
      <c r="G52" s="128"/>
      <c r="H52" s="126" t="str">
        <f t="shared" si="1"/>
        <v/>
      </c>
      <c r="I52" s="126" t="str">
        <f t="shared" si="2"/>
        <v/>
      </c>
      <c r="J52" s="126" t="str">
        <f t="shared" si="3"/>
        <v/>
      </c>
      <c r="K52" s="126" t="str">
        <f t="shared" si="4"/>
        <v/>
      </c>
      <c r="L52" s="126" t="str">
        <f t="shared" si="5"/>
        <v/>
      </c>
      <c r="M52" s="114"/>
      <c r="N52" s="114"/>
    </row>
    <row r="53" ht="37.5" customHeight="1">
      <c r="A53" s="114"/>
      <c r="B53" s="115"/>
      <c r="C53" s="116"/>
      <c r="D53" s="117"/>
      <c r="E53" s="117"/>
      <c r="F53" s="129"/>
      <c r="G53" s="130"/>
      <c r="H53" s="120" t="str">
        <f t="shared" si="1"/>
        <v/>
      </c>
      <c r="I53" s="120" t="str">
        <f t="shared" si="2"/>
        <v/>
      </c>
      <c r="J53" s="120" t="str">
        <f t="shared" si="3"/>
        <v/>
      </c>
      <c r="K53" s="120" t="str">
        <f t="shared" si="4"/>
        <v/>
      </c>
      <c r="L53" s="120" t="str">
        <f t="shared" si="5"/>
        <v/>
      </c>
      <c r="M53" s="114"/>
      <c r="N53" s="114"/>
    </row>
    <row r="54" ht="37.5" customHeight="1">
      <c r="A54" s="114"/>
      <c r="B54" s="121"/>
      <c r="C54" s="122"/>
      <c r="D54" s="123"/>
      <c r="E54" s="123"/>
      <c r="F54" s="127"/>
      <c r="G54" s="128"/>
      <c r="H54" s="126" t="str">
        <f t="shared" si="1"/>
        <v/>
      </c>
      <c r="I54" s="126" t="str">
        <f t="shared" si="2"/>
        <v/>
      </c>
      <c r="J54" s="126" t="str">
        <f t="shared" si="3"/>
        <v/>
      </c>
      <c r="K54" s="126" t="str">
        <f t="shared" si="4"/>
        <v/>
      </c>
      <c r="L54" s="126" t="str">
        <f t="shared" si="5"/>
        <v/>
      </c>
      <c r="M54" s="114"/>
      <c r="N54" s="114"/>
    </row>
    <row r="55" ht="37.5" customHeight="1">
      <c r="A55" s="114"/>
      <c r="B55" s="115"/>
      <c r="C55" s="116"/>
      <c r="D55" s="117"/>
      <c r="E55" s="117"/>
      <c r="F55" s="129"/>
      <c r="G55" s="130"/>
      <c r="H55" s="120" t="str">
        <f t="shared" si="1"/>
        <v/>
      </c>
      <c r="I55" s="120" t="str">
        <f t="shared" si="2"/>
        <v/>
      </c>
      <c r="J55" s="120" t="str">
        <f t="shared" si="3"/>
        <v/>
      </c>
      <c r="K55" s="120" t="str">
        <f t="shared" si="4"/>
        <v/>
      </c>
      <c r="L55" s="120" t="str">
        <f t="shared" si="5"/>
        <v/>
      </c>
      <c r="M55" s="114"/>
      <c r="N55" s="114"/>
    </row>
    <row r="56" ht="37.5" customHeight="1">
      <c r="A56" s="114"/>
      <c r="B56" s="121"/>
      <c r="C56" s="122"/>
      <c r="D56" s="123"/>
      <c r="E56" s="123"/>
      <c r="F56" s="127"/>
      <c r="G56" s="128"/>
      <c r="H56" s="126" t="str">
        <f t="shared" si="1"/>
        <v/>
      </c>
      <c r="I56" s="126" t="str">
        <f t="shared" si="2"/>
        <v/>
      </c>
      <c r="J56" s="126" t="str">
        <f t="shared" si="3"/>
        <v/>
      </c>
      <c r="K56" s="126" t="str">
        <f t="shared" si="4"/>
        <v/>
      </c>
      <c r="L56" s="126" t="str">
        <f t="shared" si="5"/>
        <v/>
      </c>
      <c r="M56" s="114"/>
      <c r="N56" s="114"/>
    </row>
    <row r="57" ht="37.5" customHeight="1">
      <c r="A57" s="114"/>
      <c r="B57" s="115"/>
      <c r="C57" s="116"/>
      <c r="D57" s="117"/>
      <c r="E57" s="117"/>
      <c r="F57" s="129"/>
      <c r="G57" s="130"/>
      <c r="H57" s="120" t="str">
        <f t="shared" si="1"/>
        <v/>
      </c>
      <c r="I57" s="120" t="str">
        <f t="shared" si="2"/>
        <v/>
      </c>
      <c r="J57" s="120" t="str">
        <f t="shared" si="3"/>
        <v/>
      </c>
      <c r="K57" s="120" t="str">
        <f t="shared" si="4"/>
        <v/>
      </c>
      <c r="L57" s="120" t="str">
        <f t="shared" si="5"/>
        <v/>
      </c>
      <c r="M57" s="114"/>
      <c r="N57" s="114"/>
    </row>
    <row r="58" ht="37.5" customHeight="1">
      <c r="A58" s="114"/>
      <c r="B58" s="121"/>
      <c r="C58" s="122"/>
      <c r="D58" s="123"/>
      <c r="E58" s="123"/>
      <c r="F58" s="127"/>
      <c r="G58" s="128"/>
      <c r="H58" s="126" t="str">
        <f t="shared" si="1"/>
        <v/>
      </c>
      <c r="I58" s="126" t="str">
        <f t="shared" si="2"/>
        <v/>
      </c>
      <c r="J58" s="126" t="str">
        <f t="shared" si="3"/>
        <v/>
      </c>
      <c r="K58" s="126" t="str">
        <f t="shared" si="4"/>
        <v/>
      </c>
      <c r="L58" s="126" t="str">
        <f t="shared" si="5"/>
        <v/>
      </c>
      <c r="M58" s="114"/>
      <c r="N58" s="114"/>
    </row>
    <row r="59" ht="37.5" customHeight="1">
      <c r="A59" s="114"/>
      <c r="B59" s="115"/>
      <c r="C59" s="116"/>
      <c r="D59" s="117"/>
      <c r="E59" s="117"/>
      <c r="F59" s="129"/>
      <c r="G59" s="130"/>
      <c r="H59" s="120" t="str">
        <f t="shared" si="1"/>
        <v/>
      </c>
      <c r="I59" s="120" t="str">
        <f t="shared" si="2"/>
        <v/>
      </c>
      <c r="J59" s="120" t="str">
        <f t="shared" si="3"/>
        <v/>
      </c>
      <c r="K59" s="120" t="str">
        <f t="shared" si="4"/>
        <v/>
      </c>
      <c r="L59" s="120" t="str">
        <f t="shared" si="5"/>
        <v/>
      </c>
      <c r="M59" s="114"/>
      <c r="N59" s="114"/>
    </row>
    <row r="60" ht="37.5" customHeight="1">
      <c r="A60" s="114"/>
      <c r="B60" s="121"/>
      <c r="C60" s="122"/>
      <c r="D60" s="123"/>
      <c r="E60" s="123"/>
      <c r="F60" s="127"/>
      <c r="G60" s="128"/>
      <c r="H60" s="126" t="str">
        <f t="shared" si="1"/>
        <v/>
      </c>
      <c r="I60" s="126" t="str">
        <f t="shared" si="2"/>
        <v/>
      </c>
      <c r="J60" s="126" t="str">
        <f t="shared" si="3"/>
        <v/>
      </c>
      <c r="K60" s="126" t="str">
        <f t="shared" si="4"/>
        <v/>
      </c>
      <c r="L60" s="126" t="str">
        <f t="shared" si="5"/>
        <v/>
      </c>
      <c r="M60" s="114"/>
      <c r="N60" s="114"/>
    </row>
    <row r="61" ht="37.5" customHeight="1">
      <c r="A61" s="114"/>
      <c r="B61" s="115"/>
      <c r="C61" s="116"/>
      <c r="D61" s="117"/>
      <c r="E61" s="117"/>
      <c r="F61" s="129"/>
      <c r="G61" s="130"/>
      <c r="H61" s="120" t="str">
        <f t="shared" si="1"/>
        <v/>
      </c>
      <c r="I61" s="120" t="str">
        <f t="shared" si="2"/>
        <v/>
      </c>
      <c r="J61" s="120" t="str">
        <f t="shared" si="3"/>
        <v/>
      </c>
      <c r="K61" s="120" t="str">
        <f t="shared" si="4"/>
        <v/>
      </c>
      <c r="L61" s="120" t="str">
        <f t="shared" si="5"/>
        <v/>
      </c>
      <c r="M61" s="114"/>
      <c r="N61" s="114"/>
    </row>
    <row r="62" ht="37.5" customHeight="1">
      <c r="A62" s="114"/>
      <c r="B62" s="121"/>
      <c r="C62" s="122"/>
      <c r="D62" s="123"/>
      <c r="E62" s="123"/>
      <c r="F62" s="127"/>
      <c r="G62" s="128"/>
      <c r="H62" s="126" t="str">
        <f t="shared" si="1"/>
        <v/>
      </c>
      <c r="I62" s="126" t="str">
        <f t="shared" si="2"/>
        <v/>
      </c>
      <c r="J62" s="126" t="str">
        <f t="shared" si="3"/>
        <v/>
      </c>
      <c r="K62" s="126" t="str">
        <f t="shared" si="4"/>
        <v/>
      </c>
      <c r="L62" s="126" t="str">
        <f t="shared" si="5"/>
        <v/>
      </c>
      <c r="M62" s="114"/>
      <c r="N62" s="114"/>
    </row>
    <row r="63" ht="37.5" customHeight="1">
      <c r="A63" s="114"/>
      <c r="B63" s="115"/>
      <c r="C63" s="116"/>
      <c r="D63" s="117"/>
      <c r="E63" s="117"/>
      <c r="F63" s="129"/>
      <c r="G63" s="130"/>
      <c r="H63" s="120" t="str">
        <f t="shared" si="1"/>
        <v/>
      </c>
      <c r="I63" s="120" t="str">
        <f t="shared" si="2"/>
        <v/>
      </c>
      <c r="J63" s="120" t="str">
        <f t="shared" si="3"/>
        <v/>
      </c>
      <c r="K63" s="120" t="str">
        <f t="shared" si="4"/>
        <v/>
      </c>
      <c r="L63" s="120" t="str">
        <f t="shared" si="5"/>
        <v/>
      </c>
      <c r="M63" s="114"/>
      <c r="N63" s="114"/>
    </row>
    <row r="64" ht="37.5" customHeight="1">
      <c r="A64" s="114"/>
      <c r="B64" s="121"/>
      <c r="C64" s="122"/>
      <c r="D64" s="123"/>
      <c r="E64" s="123"/>
      <c r="F64" s="127"/>
      <c r="G64" s="128"/>
      <c r="H64" s="126" t="str">
        <f t="shared" si="1"/>
        <v/>
      </c>
      <c r="I64" s="126" t="str">
        <f t="shared" si="2"/>
        <v/>
      </c>
      <c r="J64" s="126" t="str">
        <f t="shared" si="3"/>
        <v/>
      </c>
      <c r="K64" s="126" t="str">
        <f t="shared" si="4"/>
        <v/>
      </c>
      <c r="L64" s="126" t="str">
        <f t="shared" si="5"/>
        <v/>
      </c>
      <c r="M64" s="114"/>
      <c r="N64" s="114"/>
    </row>
    <row r="65" ht="37.5" customHeight="1">
      <c r="A65" s="114"/>
      <c r="B65" s="115"/>
      <c r="C65" s="116"/>
      <c r="D65" s="117"/>
      <c r="E65" s="117"/>
      <c r="F65" s="129"/>
      <c r="G65" s="130"/>
      <c r="H65" s="120" t="str">
        <f t="shared" si="1"/>
        <v/>
      </c>
      <c r="I65" s="120" t="str">
        <f t="shared" si="2"/>
        <v/>
      </c>
      <c r="J65" s="120" t="str">
        <f t="shared" si="3"/>
        <v/>
      </c>
      <c r="K65" s="120" t="str">
        <f t="shared" si="4"/>
        <v/>
      </c>
      <c r="L65" s="120" t="str">
        <f t="shared" si="5"/>
        <v/>
      </c>
      <c r="M65" s="114"/>
      <c r="N65" s="114"/>
    </row>
    <row r="66" ht="37.5" customHeight="1">
      <c r="A66" s="114"/>
      <c r="B66" s="121"/>
      <c r="C66" s="122"/>
      <c r="D66" s="123"/>
      <c r="E66" s="123"/>
      <c r="F66" s="127"/>
      <c r="G66" s="128"/>
      <c r="H66" s="126" t="str">
        <f t="shared" si="1"/>
        <v/>
      </c>
      <c r="I66" s="126" t="str">
        <f t="shared" si="2"/>
        <v/>
      </c>
      <c r="J66" s="126" t="str">
        <f t="shared" si="3"/>
        <v/>
      </c>
      <c r="K66" s="126" t="str">
        <f t="shared" si="4"/>
        <v/>
      </c>
      <c r="L66" s="126" t="str">
        <f t="shared" si="5"/>
        <v/>
      </c>
      <c r="M66" s="114"/>
      <c r="N66" s="114"/>
    </row>
    <row r="67" ht="37.5" customHeight="1">
      <c r="A67" s="114"/>
      <c r="B67" s="115"/>
      <c r="C67" s="116"/>
      <c r="D67" s="117"/>
      <c r="E67" s="117"/>
      <c r="F67" s="129"/>
      <c r="G67" s="130"/>
      <c r="H67" s="120" t="str">
        <f t="shared" si="1"/>
        <v/>
      </c>
      <c r="I67" s="120" t="str">
        <f t="shared" si="2"/>
        <v/>
      </c>
      <c r="J67" s="120" t="str">
        <f t="shared" si="3"/>
        <v/>
      </c>
      <c r="K67" s="120" t="str">
        <f t="shared" si="4"/>
        <v/>
      </c>
      <c r="L67" s="120" t="str">
        <f t="shared" si="5"/>
        <v/>
      </c>
      <c r="M67" s="114"/>
      <c r="N67" s="114"/>
    </row>
    <row r="68" ht="37.5" customHeight="1">
      <c r="A68" s="114"/>
      <c r="B68" s="121"/>
      <c r="C68" s="122"/>
      <c r="D68" s="123"/>
      <c r="E68" s="123"/>
      <c r="F68" s="127"/>
      <c r="G68" s="128"/>
      <c r="H68" s="126" t="str">
        <f t="shared" si="1"/>
        <v/>
      </c>
      <c r="I68" s="126" t="str">
        <f t="shared" si="2"/>
        <v/>
      </c>
      <c r="J68" s="126" t="str">
        <f t="shared" si="3"/>
        <v/>
      </c>
      <c r="K68" s="126" t="str">
        <f t="shared" si="4"/>
        <v/>
      </c>
      <c r="L68" s="126" t="str">
        <f t="shared" si="5"/>
        <v/>
      </c>
      <c r="M68" s="114"/>
      <c r="N68" s="114"/>
    </row>
    <row r="69" ht="37.5" customHeight="1">
      <c r="A69" s="114"/>
      <c r="B69" s="115"/>
      <c r="C69" s="116"/>
      <c r="D69" s="117"/>
      <c r="E69" s="117"/>
      <c r="F69" s="129"/>
      <c r="G69" s="130"/>
      <c r="H69" s="120" t="str">
        <f t="shared" si="1"/>
        <v/>
      </c>
      <c r="I69" s="120" t="str">
        <f t="shared" si="2"/>
        <v/>
      </c>
      <c r="J69" s="120" t="str">
        <f t="shared" si="3"/>
        <v/>
      </c>
      <c r="K69" s="120" t="str">
        <f t="shared" si="4"/>
        <v/>
      </c>
      <c r="L69" s="120" t="str">
        <f t="shared" si="5"/>
        <v/>
      </c>
      <c r="M69" s="114"/>
      <c r="N69" s="114"/>
    </row>
    <row r="70" ht="15.75" customHeight="1">
      <c r="A70" s="131"/>
      <c r="B70" s="132"/>
      <c r="C70" s="133"/>
      <c r="D70" s="134"/>
      <c r="E70" s="134"/>
      <c r="F70" s="135"/>
      <c r="G70" s="136"/>
      <c r="H70" s="126" t="str">
        <f t="shared" si="1"/>
        <v/>
      </c>
      <c r="I70" s="126" t="str">
        <f t="shared" si="2"/>
        <v/>
      </c>
      <c r="J70" s="126" t="str">
        <f t="shared" si="3"/>
        <v/>
      </c>
      <c r="K70" s="126" t="str">
        <f t="shared" si="4"/>
        <v/>
      </c>
      <c r="L70" s="126" t="str">
        <f t="shared" si="5"/>
        <v/>
      </c>
      <c r="M70" s="131"/>
      <c r="N70" s="131"/>
    </row>
    <row r="71" ht="15.75" customHeight="1">
      <c r="A71" s="131"/>
      <c r="B71" s="137"/>
      <c r="C71" s="138"/>
      <c r="D71" s="139"/>
      <c r="E71" s="139"/>
      <c r="F71" s="140"/>
      <c r="G71" s="141"/>
      <c r="H71" s="120" t="str">
        <f t="shared" si="1"/>
        <v/>
      </c>
      <c r="I71" s="120" t="str">
        <f t="shared" si="2"/>
        <v/>
      </c>
      <c r="J71" s="120" t="str">
        <f t="shared" si="3"/>
        <v/>
      </c>
      <c r="K71" s="120" t="str">
        <f t="shared" si="4"/>
        <v/>
      </c>
      <c r="L71" s="120" t="str">
        <f t="shared" si="5"/>
        <v/>
      </c>
      <c r="M71" s="131"/>
      <c r="N71" s="131"/>
    </row>
    <row r="72" ht="15.75" customHeight="1">
      <c r="A72" s="131"/>
      <c r="B72" s="132"/>
      <c r="C72" s="133"/>
      <c r="D72" s="134"/>
      <c r="E72" s="134"/>
      <c r="F72" s="135"/>
      <c r="G72" s="136"/>
      <c r="H72" s="126" t="str">
        <f t="shared" si="1"/>
        <v/>
      </c>
      <c r="I72" s="126" t="str">
        <f t="shared" si="2"/>
        <v/>
      </c>
      <c r="J72" s="126" t="str">
        <f t="shared" si="3"/>
        <v/>
      </c>
      <c r="K72" s="126" t="str">
        <f t="shared" si="4"/>
        <v/>
      </c>
      <c r="L72" s="126" t="str">
        <f t="shared" si="5"/>
        <v/>
      </c>
      <c r="M72" s="131"/>
      <c r="N72" s="131"/>
    </row>
    <row r="73" ht="15.75" customHeight="1">
      <c r="A73" s="131"/>
      <c r="B73" s="137"/>
      <c r="C73" s="138"/>
      <c r="D73" s="139"/>
      <c r="E73" s="139"/>
      <c r="F73" s="140"/>
      <c r="G73" s="141"/>
      <c r="H73" s="120" t="str">
        <f t="shared" si="1"/>
        <v/>
      </c>
      <c r="I73" s="120" t="str">
        <f t="shared" si="2"/>
        <v/>
      </c>
      <c r="J73" s="120" t="str">
        <f t="shared" si="3"/>
        <v/>
      </c>
      <c r="K73" s="120" t="str">
        <f t="shared" si="4"/>
        <v/>
      </c>
      <c r="L73" s="120" t="str">
        <f t="shared" si="5"/>
        <v/>
      </c>
      <c r="M73" s="131"/>
      <c r="N73" s="131"/>
    </row>
    <row r="74" ht="15.75" customHeight="1">
      <c r="A74" s="131"/>
      <c r="B74" s="132"/>
      <c r="C74" s="133"/>
      <c r="D74" s="133"/>
      <c r="E74" s="133"/>
      <c r="F74" s="132"/>
      <c r="G74" s="132"/>
      <c r="H74" s="142"/>
      <c r="I74" s="142"/>
      <c r="J74" s="142"/>
      <c r="K74" s="142"/>
      <c r="L74" s="142"/>
      <c r="M74" s="131"/>
      <c r="N74" s="131"/>
    </row>
    <row r="75" ht="15.75" customHeight="1">
      <c r="A75" s="131"/>
      <c r="B75" s="137"/>
      <c r="C75" s="138"/>
      <c r="D75" s="138"/>
      <c r="E75" s="138"/>
      <c r="F75" s="137"/>
      <c r="G75" s="137"/>
      <c r="H75" s="143"/>
      <c r="I75" s="143"/>
      <c r="J75" s="143"/>
      <c r="K75" s="143"/>
      <c r="L75" s="143"/>
      <c r="M75" s="131"/>
      <c r="N75" s="131"/>
    </row>
    <row r="76" ht="15.75" customHeight="1">
      <c r="A76" s="131"/>
      <c r="B76" s="132"/>
      <c r="C76" s="133"/>
      <c r="D76" s="133"/>
      <c r="E76" s="133"/>
      <c r="F76" s="132"/>
      <c r="G76" s="132"/>
      <c r="H76" s="142"/>
      <c r="I76" s="142"/>
      <c r="J76" s="142"/>
      <c r="K76" s="142"/>
      <c r="L76" s="142"/>
      <c r="M76" s="131"/>
      <c r="N76" s="131"/>
    </row>
    <row r="77" ht="15.75" customHeight="1">
      <c r="A77" s="131"/>
      <c r="B77" s="137"/>
      <c r="C77" s="138"/>
      <c r="D77" s="138"/>
      <c r="E77" s="138"/>
      <c r="F77" s="137"/>
      <c r="G77" s="137"/>
      <c r="H77" s="143"/>
      <c r="I77" s="143"/>
      <c r="J77" s="143"/>
      <c r="K77" s="143"/>
      <c r="L77" s="143"/>
      <c r="M77" s="131"/>
      <c r="N77" s="131"/>
    </row>
    <row r="78" ht="15.75" customHeight="1">
      <c r="A78" s="131"/>
      <c r="B78" s="132"/>
      <c r="C78" s="133"/>
      <c r="D78" s="133"/>
      <c r="E78" s="133"/>
      <c r="F78" s="132"/>
      <c r="G78" s="132"/>
      <c r="H78" s="142"/>
      <c r="I78" s="142"/>
      <c r="J78" s="142"/>
      <c r="K78" s="142"/>
      <c r="L78" s="142"/>
      <c r="M78" s="131"/>
      <c r="N78" s="131"/>
    </row>
    <row r="79" ht="15.75" customHeight="1">
      <c r="A79" s="131"/>
      <c r="B79" s="137"/>
      <c r="C79" s="138"/>
      <c r="D79" s="138"/>
      <c r="E79" s="138"/>
      <c r="F79" s="137"/>
      <c r="G79" s="137"/>
      <c r="H79" s="143"/>
      <c r="I79" s="143"/>
      <c r="J79" s="143"/>
      <c r="K79" s="143"/>
      <c r="L79" s="143"/>
      <c r="M79" s="131"/>
      <c r="N79" s="131"/>
    </row>
    <row r="80" ht="15.75" customHeight="1">
      <c r="A80" s="131"/>
      <c r="B80" s="132"/>
      <c r="C80" s="133"/>
      <c r="D80" s="133"/>
      <c r="E80" s="133"/>
      <c r="F80" s="132"/>
      <c r="G80" s="132"/>
      <c r="H80" s="142"/>
      <c r="I80" s="142"/>
      <c r="J80" s="142"/>
      <c r="K80" s="142"/>
      <c r="L80" s="142"/>
      <c r="M80" s="131"/>
      <c r="N80" s="131"/>
    </row>
    <row r="81" ht="15.75" customHeight="1">
      <c r="A81" s="131"/>
      <c r="B81" s="137"/>
      <c r="C81" s="138"/>
      <c r="D81" s="138"/>
      <c r="E81" s="138"/>
      <c r="F81" s="137"/>
      <c r="G81" s="137"/>
      <c r="H81" s="143"/>
      <c r="I81" s="143"/>
      <c r="J81" s="143"/>
      <c r="K81" s="143"/>
      <c r="L81" s="143"/>
      <c r="M81" s="131"/>
      <c r="N81" s="131"/>
    </row>
    <row r="82" ht="15.75" customHeight="1">
      <c r="A82" s="131"/>
      <c r="B82" s="132"/>
      <c r="C82" s="133"/>
      <c r="D82" s="133"/>
      <c r="E82" s="133"/>
      <c r="F82" s="132"/>
      <c r="G82" s="132"/>
      <c r="H82" s="142"/>
      <c r="I82" s="142"/>
      <c r="J82" s="142"/>
      <c r="K82" s="142"/>
      <c r="L82" s="142"/>
      <c r="M82" s="131"/>
      <c r="N82" s="131"/>
    </row>
    <row r="83" ht="15.75" customHeight="1">
      <c r="A83" s="131"/>
      <c r="B83" s="137"/>
      <c r="C83" s="138"/>
      <c r="D83" s="138"/>
      <c r="E83" s="138"/>
      <c r="F83" s="137"/>
      <c r="G83" s="137"/>
      <c r="H83" s="143"/>
      <c r="I83" s="143"/>
      <c r="J83" s="143"/>
      <c r="K83" s="143"/>
      <c r="L83" s="143"/>
      <c r="M83" s="131"/>
      <c r="N83" s="131"/>
    </row>
    <row r="84" ht="15.75" customHeight="1">
      <c r="A84" s="131"/>
      <c r="B84" s="132"/>
      <c r="C84" s="133"/>
      <c r="D84" s="133"/>
      <c r="E84" s="133"/>
      <c r="F84" s="132"/>
      <c r="G84" s="132"/>
      <c r="H84" s="142"/>
      <c r="I84" s="142"/>
      <c r="J84" s="142"/>
      <c r="K84" s="142"/>
      <c r="L84" s="142"/>
      <c r="M84" s="131"/>
      <c r="N84" s="131"/>
    </row>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6:$N$65">
    <sortState ref="A6:N65">
      <sortCondition ref="F6:F65"/>
      <sortCondition ref="C6:C65"/>
      <sortCondition ref="B6:B65"/>
    </sortState>
  </autoFilter>
  <mergeCells count="1">
    <mergeCell ref="B1:H2"/>
  </mergeCells>
  <conditionalFormatting sqref="H7:L84">
    <cfRule type="notContainsBlanks" dxfId="13" priority="1">
      <formula>LEN(TRIM(H7))&gt;0</formula>
    </cfRule>
  </conditionalFormatting>
  <dataValidations>
    <dataValidation type="list" allowBlank="1" showErrorMessage="1" sqref="L1">
      <formula1>"TODOS,LUNES,MARTES,MIÉRCOLES,JUEVES,VIERNES"</formula1>
    </dataValidation>
    <dataValidation type="list" allowBlank="1" showErrorMessage="1" sqref="L2">
      <formula1>"Todas,1,2,3,4,5"</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7.75"/>
    <col customWidth="1" min="2" max="2" width="32.25"/>
    <col customWidth="1" min="3" max="3" width="20.5"/>
    <col customWidth="1" min="4" max="4" width="46.25"/>
    <col customWidth="1" min="5" max="5" width="13.25"/>
    <col customWidth="1" min="6" max="6" width="3.75"/>
  </cols>
  <sheetData>
    <row r="1" ht="15.75" customHeight="1">
      <c r="A1" s="144" t="str">
        <f>IFERROR(__xludf.DUMMYFUNCTION("QUERY(QUERY(CONSO_ENCUESTAS!A4:H1000,""SELECT B,A,C,D,COUNT(H) WHERE B IS NOT NULL  GROUP BY B,A,C,D"",1),""SELECT * WHERE Col5 &gt;=2"",1)"),"TIPO")</f>
        <v>TIPO</v>
      </c>
      <c r="B1" s="144" t="str">
        <f>IFERROR(__xludf.DUMMYFUNCTION("""COMPUTED_VALUE"""),"FUNCIONARIO")</f>
        <v>FUNCIONARIO</v>
      </c>
      <c r="C1" s="144" t="str">
        <f>IFERROR(__xludf.DUMMYFUNCTION("""COMPUTED_VALUE"""),"AMBITO")</f>
        <v>AMBITO</v>
      </c>
      <c r="D1" s="144" t="str">
        <f>IFERROR(__xludf.DUMMYFUNCTION("""COMPUTED_VALUE"""),"ACTIVIDAD")</f>
        <v>ACTIVIDAD</v>
      </c>
      <c r="E1" s="144" t="str">
        <f>IFERROR(__xludf.DUMMYFUNCTION("""COMPUTED_VALUE"""),"count  CHECK ")</f>
        <v>count  CHECK </v>
      </c>
      <c r="F1" s="145"/>
    </row>
    <row r="2" ht="15.75" customHeight="1">
      <c r="A2" s="146" t="str">
        <f>IFERROR(__xludf.DUMMYFUNCTION("""COMPUTED_VALUE"""),"GESTION")</f>
        <v>GESTION</v>
      </c>
      <c r="B2" s="146" t="str">
        <f>IFERROR(__xludf.DUMMYFUNCTION("""COMPUTED_VALUE"""),"CAROL AMBO AMPUERO")</f>
        <v>CAROL AMBO AMPUERO</v>
      </c>
      <c r="C2" s="146" t="str">
        <f>IFERROR(__xludf.DUMMYFUNCTION("""COMPUTED_VALUE"""),"PROGRAMA - TRANSVERSAL")</f>
        <v>PROGRAMA - TRANSVERSAL</v>
      </c>
      <c r="D2" s="146" t="str">
        <f>IFERROR(__xludf.DUMMYFUNCTION("""COMPUTED_VALUE"""),"ENCARGADO  PROGRAMA (3 HRS)")</f>
        <v>ENCARGADO  PROGRAMA (3 HRS)</v>
      </c>
      <c r="E2" s="146">
        <f>IFERROR(__xludf.DUMMYFUNCTION("""COMPUTED_VALUE"""),2.0)</f>
        <v>2</v>
      </c>
      <c r="F2" s="147"/>
    </row>
    <row r="3" ht="15.75" customHeight="1">
      <c r="A3" s="146" t="str">
        <f>IFERROR(__xludf.DUMMYFUNCTION("""COMPUTED_VALUE"""),"GESTION")</f>
        <v>GESTION</v>
      </c>
      <c r="B3" s="146" t="str">
        <f>IFERROR(__xludf.DUMMYFUNCTION("""COMPUTED_VALUE"""),"SORAYA CRUCES DIAZ")</f>
        <v>SORAYA CRUCES DIAZ</v>
      </c>
      <c r="C3" s="146" t="str">
        <f>IFERROR(__xludf.DUMMYFUNCTION("""COMPUTED_VALUE"""),"PROGRAMA - TRANSVERSAL")</f>
        <v>PROGRAMA - TRANSVERSAL</v>
      </c>
      <c r="D3" s="146" t="str">
        <f>IFERROR(__xludf.DUMMYFUNCTION("""COMPUTED_VALUE"""),"ENCARGADO  PROGRAMA (1 HRS)")</f>
        <v>ENCARGADO  PROGRAMA (1 HRS)</v>
      </c>
      <c r="E3" s="146">
        <f>IFERROR(__xludf.DUMMYFUNCTION("""COMPUTED_VALUE"""),2.0)</f>
        <v>2</v>
      </c>
      <c r="F3" s="147"/>
    </row>
    <row r="4" ht="15.75" customHeight="1">
      <c r="A4" s="146"/>
      <c r="B4" s="146"/>
      <c r="C4" s="146"/>
      <c r="D4" s="146"/>
      <c r="E4" s="146"/>
      <c r="F4" s="147"/>
    </row>
    <row r="5" ht="15.75" customHeight="1">
      <c r="A5" s="146"/>
      <c r="B5" s="146"/>
      <c r="C5" s="146"/>
      <c r="D5" s="146"/>
      <c r="E5" s="146"/>
      <c r="F5" s="147"/>
    </row>
    <row r="6" ht="15.75" customHeight="1">
      <c r="A6" s="146"/>
      <c r="B6" s="146"/>
      <c r="C6" s="146"/>
      <c r="D6" s="146"/>
      <c r="E6" s="146"/>
      <c r="F6" s="147"/>
    </row>
    <row r="7" ht="15.75" customHeight="1">
      <c r="A7" s="146"/>
      <c r="B7" s="146"/>
      <c r="C7" s="146"/>
      <c r="D7" s="146"/>
      <c r="E7" s="146"/>
      <c r="F7" s="147"/>
    </row>
    <row r="8" ht="15.75" customHeight="1">
      <c r="A8" s="146"/>
      <c r="B8" s="146"/>
      <c r="C8" s="146"/>
      <c r="D8" s="146"/>
      <c r="E8" s="146"/>
      <c r="F8" s="147"/>
    </row>
    <row r="9" ht="15.75" customHeight="1">
      <c r="A9" s="146"/>
      <c r="B9" s="146"/>
      <c r="C9" s="146"/>
      <c r="D9" s="146"/>
      <c r="E9" s="146"/>
      <c r="F9" s="147"/>
    </row>
    <row r="10" ht="15.75" customHeight="1">
      <c r="A10" s="146"/>
      <c r="B10" s="146"/>
      <c r="C10" s="146"/>
      <c r="D10" s="146"/>
      <c r="E10" s="146"/>
      <c r="F10" s="147"/>
    </row>
    <row r="11" ht="15.75" customHeight="1">
      <c r="A11" s="146"/>
      <c r="B11" s="146"/>
      <c r="C11" s="146"/>
      <c r="D11" s="146"/>
      <c r="E11" s="146"/>
      <c r="F11" s="147"/>
    </row>
    <row r="12" ht="15.75" customHeight="1">
      <c r="A12" s="146"/>
      <c r="B12" s="146"/>
      <c r="C12" s="146"/>
      <c r="D12" s="146"/>
      <c r="E12" s="146"/>
      <c r="F12" s="147"/>
    </row>
    <row r="13" ht="15.75" customHeight="1">
      <c r="A13" s="146"/>
      <c r="B13" s="146"/>
      <c r="C13" s="146"/>
      <c r="D13" s="146"/>
      <c r="E13" s="146"/>
      <c r="F13" s="147"/>
    </row>
    <row r="14" ht="15.75" customHeight="1">
      <c r="A14" s="146"/>
      <c r="B14" s="146"/>
      <c r="C14" s="146"/>
      <c r="D14" s="146"/>
      <c r="E14" s="146"/>
      <c r="F14" s="147"/>
    </row>
    <row r="15" ht="15.75" customHeight="1">
      <c r="A15" s="146"/>
      <c r="B15" s="146"/>
      <c r="C15" s="146"/>
      <c r="D15" s="146"/>
      <c r="E15" s="146"/>
      <c r="F15" s="147"/>
    </row>
    <row r="16" ht="15.75" customHeight="1">
      <c r="A16" s="146"/>
      <c r="B16" s="146"/>
      <c r="C16" s="146"/>
      <c r="D16" s="146"/>
      <c r="E16" s="146"/>
      <c r="F16" s="147"/>
    </row>
    <row r="17" ht="15.75" customHeight="1">
      <c r="A17" s="146"/>
      <c r="B17" s="146"/>
      <c r="C17" s="146"/>
      <c r="D17" s="146"/>
      <c r="E17" s="146"/>
      <c r="F17" s="147"/>
    </row>
    <row r="18" ht="15.75" customHeight="1">
      <c r="A18" s="146"/>
      <c r="B18" s="146"/>
      <c r="C18" s="146"/>
      <c r="D18" s="146"/>
      <c r="E18" s="146"/>
      <c r="F18" s="147"/>
    </row>
    <row r="19" ht="15.75" customHeight="1">
      <c r="A19" s="146"/>
      <c r="B19" s="146"/>
      <c r="C19" s="146"/>
      <c r="D19" s="146"/>
      <c r="E19" s="146"/>
      <c r="F19" s="147"/>
    </row>
    <row r="20" ht="15.75" customHeight="1">
      <c r="A20" s="146"/>
      <c r="B20" s="146"/>
      <c r="C20" s="146"/>
      <c r="D20" s="146"/>
      <c r="E20" s="146"/>
      <c r="F20" s="147"/>
    </row>
    <row r="21" ht="15.75" customHeight="1">
      <c r="A21" s="146"/>
      <c r="B21" s="146"/>
      <c r="C21" s="146"/>
      <c r="D21" s="146"/>
      <c r="E21" s="146"/>
      <c r="F21" s="147"/>
    </row>
    <row r="22" ht="15.75" customHeight="1">
      <c r="A22" s="146"/>
      <c r="B22" s="146"/>
      <c r="C22" s="146"/>
      <c r="D22" s="146"/>
      <c r="E22" s="146"/>
      <c r="F22" s="147"/>
    </row>
    <row r="23" ht="15.75" customHeight="1">
      <c r="A23" s="146"/>
      <c r="B23" s="146"/>
      <c r="C23" s="146"/>
      <c r="D23" s="146"/>
      <c r="E23" s="146"/>
      <c r="F23" s="147"/>
    </row>
    <row r="24" ht="15.75" customHeight="1">
      <c r="A24" s="146"/>
      <c r="B24" s="146"/>
      <c r="C24" s="146"/>
      <c r="D24" s="146"/>
      <c r="E24" s="146"/>
      <c r="F24" s="147"/>
    </row>
    <row r="25" ht="15.75" customHeight="1">
      <c r="A25" s="146"/>
      <c r="B25" s="146"/>
      <c r="C25" s="146"/>
      <c r="D25" s="146"/>
      <c r="E25" s="146"/>
      <c r="F25" s="147"/>
    </row>
    <row r="26" ht="15.75" customHeight="1">
      <c r="A26" s="146"/>
      <c r="B26" s="146"/>
      <c r="C26" s="146"/>
      <c r="D26" s="146"/>
      <c r="E26" s="146"/>
      <c r="F26" s="147"/>
    </row>
    <row r="27" ht="15.75" customHeight="1">
      <c r="A27" s="146"/>
      <c r="B27" s="146"/>
      <c r="C27" s="146"/>
      <c r="D27" s="146"/>
      <c r="E27" s="146"/>
      <c r="F27" s="147"/>
    </row>
    <row r="28" ht="15.75" customHeight="1">
      <c r="A28" s="146"/>
      <c r="B28" s="146"/>
      <c r="C28" s="146"/>
      <c r="D28" s="146"/>
      <c r="E28" s="146"/>
      <c r="F28" s="147"/>
    </row>
    <row r="29" ht="15.75" customHeight="1">
      <c r="A29" s="146"/>
      <c r="B29" s="146"/>
      <c r="C29" s="146"/>
      <c r="D29" s="146"/>
      <c r="E29" s="146"/>
      <c r="F29" s="147"/>
    </row>
    <row r="30" ht="15.75" customHeight="1">
      <c r="A30" s="146"/>
      <c r="B30" s="146"/>
      <c r="C30" s="146"/>
      <c r="D30" s="146"/>
      <c r="E30" s="146"/>
      <c r="F30" s="147"/>
    </row>
    <row r="31" ht="15.75" customHeight="1">
      <c r="A31" s="146"/>
      <c r="B31" s="146"/>
      <c r="C31" s="146"/>
      <c r="D31" s="146"/>
      <c r="E31" s="146"/>
      <c r="F31" s="147"/>
    </row>
    <row r="32" ht="15.75" customHeight="1">
      <c r="A32" s="146"/>
      <c r="B32" s="146"/>
      <c r="C32" s="146"/>
      <c r="D32" s="146"/>
      <c r="E32" s="146"/>
      <c r="F32" s="147"/>
    </row>
    <row r="33" ht="15.75" customHeight="1">
      <c r="A33" s="146"/>
      <c r="B33" s="146"/>
      <c r="C33" s="146"/>
      <c r="D33" s="146"/>
      <c r="E33" s="146"/>
      <c r="F33" s="147"/>
    </row>
    <row r="34" ht="15.75" customHeight="1">
      <c r="A34" s="146"/>
      <c r="B34" s="146"/>
      <c r="C34" s="146"/>
      <c r="D34" s="146"/>
      <c r="E34" s="146"/>
      <c r="F34" s="147"/>
    </row>
    <row r="35" ht="15.75" customHeight="1">
      <c r="A35" s="146"/>
      <c r="B35" s="146"/>
      <c r="C35" s="146"/>
      <c r="D35" s="146"/>
      <c r="E35" s="146"/>
      <c r="F35" s="147"/>
    </row>
    <row r="36" ht="15.75" customHeight="1">
      <c r="A36" s="146"/>
      <c r="B36" s="146"/>
      <c r="C36" s="146"/>
      <c r="D36" s="146"/>
      <c r="E36" s="146"/>
      <c r="F36" s="147"/>
    </row>
    <row r="37" ht="15.75" customHeight="1">
      <c r="A37" s="146"/>
      <c r="B37" s="146"/>
      <c r="C37" s="146"/>
      <c r="D37" s="146"/>
      <c r="E37" s="146"/>
      <c r="F37" s="147"/>
    </row>
    <row r="38" ht="15.75" customHeight="1">
      <c r="A38" s="146"/>
      <c r="B38" s="146"/>
      <c r="C38" s="146"/>
      <c r="D38" s="146"/>
      <c r="E38" s="146"/>
      <c r="F38" s="147"/>
    </row>
    <row r="39" ht="15.75" customHeight="1">
      <c r="A39" s="146"/>
      <c r="B39" s="146"/>
      <c r="C39" s="146"/>
      <c r="D39" s="146"/>
      <c r="E39" s="146"/>
      <c r="F39" s="147"/>
    </row>
    <row r="40" ht="15.75" customHeight="1">
      <c r="A40" s="146"/>
      <c r="B40" s="146"/>
      <c r="C40" s="146"/>
      <c r="D40" s="146"/>
      <c r="E40" s="146"/>
      <c r="F40" s="147"/>
    </row>
    <row r="41" ht="15.75" customHeight="1">
      <c r="A41" s="146"/>
      <c r="B41" s="146"/>
      <c r="C41" s="146"/>
      <c r="D41" s="146"/>
      <c r="E41" s="146"/>
      <c r="F41" s="147"/>
    </row>
    <row r="42" ht="15.75" customHeight="1">
      <c r="A42" s="146"/>
      <c r="B42" s="146"/>
      <c r="C42" s="146"/>
      <c r="D42" s="146"/>
      <c r="E42" s="146"/>
      <c r="F42" s="147"/>
    </row>
    <row r="43" ht="15.75" customHeight="1">
      <c r="A43" s="146"/>
      <c r="B43" s="146"/>
      <c r="C43" s="146"/>
      <c r="D43" s="146"/>
      <c r="E43" s="146"/>
      <c r="F43" s="147"/>
    </row>
    <row r="44" ht="15.75" customHeight="1">
      <c r="A44" s="146"/>
      <c r="B44" s="146"/>
      <c r="C44" s="146"/>
      <c r="D44" s="146"/>
      <c r="E44" s="146"/>
      <c r="F44" s="147"/>
    </row>
    <row r="45" ht="15.75" customHeight="1">
      <c r="A45" s="146"/>
      <c r="B45" s="146"/>
      <c r="C45" s="146"/>
      <c r="D45" s="146"/>
      <c r="E45" s="146"/>
      <c r="F45" s="147"/>
    </row>
    <row r="46" ht="15.75" customHeight="1">
      <c r="A46" s="146"/>
      <c r="B46" s="146"/>
      <c r="C46" s="146"/>
      <c r="D46" s="146"/>
      <c r="E46" s="146"/>
      <c r="F46" s="147"/>
    </row>
    <row r="47" ht="15.75" customHeight="1">
      <c r="A47" s="146"/>
      <c r="B47" s="146"/>
      <c r="C47" s="146"/>
      <c r="D47" s="146"/>
      <c r="E47" s="146"/>
      <c r="F47" s="147"/>
    </row>
    <row r="48" ht="15.75" customHeight="1">
      <c r="A48" s="146"/>
      <c r="B48" s="146"/>
      <c r="C48" s="146"/>
      <c r="D48" s="146"/>
      <c r="E48" s="146"/>
      <c r="F48" s="147"/>
    </row>
    <row r="49" ht="15.75" customHeight="1">
      <c r="A49" s="146"/>
      <c r="B49" s="146"/>
      <c r="C49" s="146"/>
      <c r="D49" s="146"/>
      <c r="E49" s="146"/>
      <c r="F49" s="147"/>
    </row>
    <row r="50" ht="15.75" customHeight="1">
      <c r="A50" s="146"/>
      <c r="B50" s="146"/>
      <c r="C50" s="146"/>
      <c r="D50" s="146"/>
      <c r="E50" s="146"/>
      <c r="F50" s="147"/>
    </row>
    <row r="51" ht="15.75" customHeight="1">
      <c r="A51" s="146"/>
      <c r="B51" s="146"/>
      <c r="C51" s="146"/>
      <c r="D51" s="146"/>
      <c r="E51" s="146"/>
      <c r="F51" s="147"/>
    </row>
    <row r="52" ht="15.75" customHeight="1">
      <c r="A52" s="146"/>
      <c r="B52" s="146"/>
      <c r="C52" s="146"/>
      <c r="D52" s="146"/>
      <c r="E52" s="146"/>
      <c r="F52" s="147"/>
    </row>
    <row r="53" ht="15.75" customHeight="1">
      <c r="A53" s="146"/>
      <c r="B53" s="146"/>
      <c r="C53" s="146"/>
      <c r="D53" s="146"/>
      <c r="E53" s="146"/>
      <c r="F53" s="147"/>
    </row>
    <row r="54" ht="15.75" customHeight="1">
      <c r="A54" s="146"/>
      <c r="B54" s="146"/>
      <c r="C54" s="146"/>
      <c r="D54" s="146"/>
      <c r="E54" s="146"/>
      <c r="F54" s="147"/>
    </row>
    <row r="55" ht="15.75" customHeight="1">
      <c r="A55" s="146"/>
      <c r="B55" s="146"/>
      <c r="C55" s="146"/>
      <c r="D55" s="146"/>
      <c r="E55" s="146"/>
      <c r="F55" s="147"/>
    </row>
    <row r="56" ht="15.75" customHeight="1">
      <c r="A56" s="146"/>
      <c r="B56" s="146"/>
      <c r="C56" s="146"/>
      <c r="D56" s="146"/>
      <c r="E56" s="146"/>
      <c r="F56" s="147"/>
    </row>
    <row r="57" ht="15.75" customHeight="1">
      <c r="A57" s="146"/>
      <c r="B57" s="146"/>
      <c r="C57" s="146"/>
      <c r="D57" s="146"/>
      <c r="E57" s="146"/>
      <c r="F57" s="147"/>
    </row>
    <row r="58" ht="15.75" customHeight="1">
      <c r="A58" s="146"/>
      <c r="B58" s="146"/>
      <c r="C58" s="146"/>
      <c r="D58" s="146"/>
      <c r="E58" s="146"/>
      <c r="F58" s="147"/>
    </row>
    <row r="59" ht="15.75" customHeight="1">
      <c r="A59" s="146"/>
      <c r="B59" s="146"/>
      <c r="C59" s="146"/>
      <c r="D59" s="146"/>
      <c r="E59" s="146"/>
      <c r="F59" s="147"/>
    </row>
    <row r="60" ht="15.75" customHeight="1">
      <c r="A60" s="146"/>
      <c r="B60" s="146"/>
      <c r="C60" s="146"/>
      <c r="D60" s="146"/>
      <c r="E60" s="146"/>
      <c r="F60" s="147"/>
    </row>
    <row r="61" ht="15.75" customHeight="1">
      <c r="A61" s="146"/>
      <c r="B61" s="146"/>
      <c r="C61" s="146"/>
      <c r="D61" s="146"/>
      <c r="E61" s="146"/>
      <c r="F61" s="147"/>
    </row>
    <row r="62" ht="15.75" customHeight="1">
      <c r="A62" s="146"/>
      <c r="B62" s="146"/>
      <c r="C62" s="146"/>
      <c r="D62" s="146"/>
      <c r="E62" s="146"/>
      <c r="F62" s="147"/>
    </row>
    <row r="63" ht="15.75" customHeight="1">
      <c r="A63" s="146"/>
      <c r="B63" s="146"/>
      <c r="C63" s="146"/>
      <c r="D63" s="146"/>
      <c r="E63" s="146"/>
      <c r="F63" s="147"/>
    </row>
    <row r="64" ht="15.75" customHeight="1">
      <c r="A64" s="146"/>
      <c r="B64" s="146"/>
      <c r="C64" s="146"/>
      <c r="D64" s="146"/>
      <c r="E64" s="146"/>
      <c r="F64" s="147"/>
    </row>
    <row r="65" ht="15.75" customHeight="1">
      <c r="A65" s="146"/>
      <c r="B65" s="146"/>
      <c r="C65" s="146"/>
      <c r="D65" s="146"/>
      <c r="E65" s="146"/>
      <c r="F65" s="147"/>
    </row>
    <row r="66" ht="15.75" customHeight="1">
      <c r="A66" s="146"/>
      <c r="B66" s="146"/>
      <c r="C66" s="146"/>
      <c r="D66" s="146"/>
      <c r="E66" s="146"/>
      <c r="F66" s="147"/>
    </row>
    <row r="67" ht="15.75" customHeight="1">
      <c r="A67" s="146"/>
      <c r="B67" s="146"/>
      <c r="C67" s="146"/>
      <c r="D67" s="146"/>
      <c r="E67" s="146"/>
      <c r="F67" s="147"/>
    </row>
    <row r="68" ht="15.75" customHeight="1">
      <c r="A68" s="146"/>
      <c r="B68" s="146"/>
      <c r="C68" s="146"/>
      <c r="D68" s="146"/>
      <c r="E68" s="146"/>
      <c r="F68" s="147"/>
    </row>
    <row r="69" ht="15.75" customHeight="1">
      <c r="A69" s="146"/>
      <c r="B69" s="146"/>
      <c r="C69" s="146"/>
      <c r="D69" s="146"/>
      <c r="E69" s="146"/>
      <c r="F69" s="147"/>
    </row>
    <row r="70" ht="15.75" customHeight="1">
      <c r="A70" s="146"/>
      <c r="B70" s="146"/>
      <c r="C70" s="146"/>
      <c r="D70" s="146"/>
      <c r="E70" s="146"/>
      <c r="F70" s="147"/>
    </row>
    <row r="71" ht="15.75" customHeight="1">
      <c r="A71" s="146"/>
      <c r="B71" s="146"/>
      <c r="C71" s="146"/>
      <c r="D71" s="146"/>
      <c r="E71" s="146"/>
      <c r="F71" s="147"/>
    </row>
    <row r="72" ht="15.75" customHeight="1">
      <c r="A72" s="146"/>
      <c r="B72" s="146"/>
      <c r="C72" s="146"/>
      <c r="D72" s="146"/>
      <c r="E72" s="146"/>
      <c r="F72" s="147"/>
    </row>
    <row r="73" ht="15.75" customHeight="1">
      <c r="A73" s="146"/>
      <c r="B73" s="146"/>
      <c r="C73" s="146"/>
      <c r="D73" s="146"/>
      <c r="E73" s="146"/>
      <c r="F73" s="147"/>
    </row>
    <row r="74" ht="15.75" customHeight="1">
      <c r="A74" s="146"/>
      <c r="B74" s="146"/>
      <c r="C74" s="146"/>
      <c r="D74" s="146"/>
      <c r="E74" s="146"/>
      <c r="F74" s="147"/>
    </row>
    <row r="75" ht="15.75" customHeight="1">
      <c r="A75" s="146"/>
      <c r="B75" s="146"/>
      <c r="C75" s="146"/>
      <c r="D75" s="146"/>
      <c r="E75" s="146"/>
      <c r="F75" s="147"/>
    </row>
    <row r="76" ht="15.75" customHeight="1">
      <c r="A76" s="146"/>
      <c r="B76" s="146"/>
      <c r="C76" s="146"/>
      <c r="D76" s="146"/>
      <c r="E76" s="146"/>
      <c r="F76" s="147"/>
    </row>
    <row r="77" ht="15.75" customHeight="1">
      <c r="A77" s="146"/>
      <c r="B77" s="146"/>
      <c r="C77" s="146"/>
      <c r="D77" s="146"/>
      <c r="E77" s="146"/>
      <c r="F77" s="147"/>
    </row>
    <row r="78" ht="15.75" customHeight="1">
      <c r="A78" s="146"/>
      <c r="B78" s="146"/>
      <c r="C78" s="146"/>
      <c r="D78" s="146"/>
      <c r="E78" s="146"/>
      <c r="F78" s="147"/>
    </row>
    <row r="79" ht="15.75" customHeight="1">
      <c r="A79" s="146"/>
      <c r="B79" s="146"/>
      <c r="C79" s="146"/>
      <c r="D79" s="146"/>
      <c r="E79" s="146"/>
      <c r="F79" s="147"/>
    </row>
    <row r="80" ht="15.75" customHeight="1">
      <c r="A80" s="146"/>
      <c r="B80" s="146"/>
      <c r="C80" s="146"/>
      <c r="D80" s="146"/>
      <c r="E80" s="146"/>
      <c r="F80" s="147"/>
    </row>
    <row r="81" ht="15.75" customHeight="1">
      <c r="A81" s="146"/>
      <c r="B81" s="146"/>
      <c r="C81" s="146"/>
      <c r="D81" s="146"/>
      <c r="E81" s="146"/>
      <c r="F81" s="147"/>
    </row>
    <row r="82" ht="15.75" customHeight="1">
      <c r="A82" s="146"/>
      <c r="B82" s="146"/>
      <c r="C82" s="146"/>
      <c r="D82" s="146"/>
      <c r="E82" s="146"/>
      <c r="F82" s="147"/>
    </row>
    <row r="83" ht="15.75" customHeight="1">
      <c r="A83" s="146"/>
      <c r="B83" s="146"/>
      <c r="C83" s="146"/>
      <c r="D83" s="146"/>
      <c r="E83" s="146"/>
      <c r="F83" s="147"/>
    </row>
    <row r="84" ht="15.75" customHeight="1">
      <c r="A84" s="146"/>
      <c r="B84" s="146"/>
      <c r="C84" s="146"/>
      <c r="D84" s="146"/>
      <c r="E84" s="146"/>
      <c r="F84" s="147"/>
    </row>
    <row r="85" ht="15.75" customHeight="1">
      <c r="A85" s="146"/>
      <c r="B85" s="146"/>
      <c r="C85" s="146"/>
      <c r="D85" s="146"/>
      <c r="E85" s="146"/>
      <c r="F85" s="147"/>
    </row>
    <row r="86" ht="15.75" customHeight="1">
      <c r="A86" s="146"/>
      <c r="B86" s="146"/>
      <c r="C86" s="146"/>
      <c r="D86" s="146"/>
      <c r="E86" s="146"/>
      <c r="F86" s="147"/>
    </row>
    <row r="87" ht="15.75" customHeight="1">
      <c r="A87" s="146"/>
      <c r="B87" s="146"/>
      <c r="C87" s="146"/>
      <c r="D87" s="146"/>
      <c r="E87" s="146"/>
      <c r="F87" s="147"/>
    </row>
    <row r="88" ht="15.75" customHeight="1">
      <c r="A88" s="146"/>
      <c r="B88" s="146"/>
      <c r="C88" s="146"/>
      <c r="D88" s="146"/>
      <c r="E88" s="146"/>
      <c r="F88" s="147"/>
    </row>
    <row r="89" ht="15.75" customHeight="1">
      <c r="A89" s="146"/>
      <c r="B89" s="146"/>
      <c r="C89" s="146"/>
      <c r="D89" s="146"/>
      <c r="E89" s="146"/>
      <c r="F89" s="147"/>
    </row>
    <row r="90" ht="15.75" customHeight="1">
      <c r="A90" s="146"/>
      <c r="B90" s="146"/>
      <c r="C90" s="146"/>
      <c r="D90" s="146"/>
      <c r="E90" s="146"/>
      <c r="F90" s="147"/>
    </row>
    <row r="91" ht="15.75" customHeight="1">
      <c r="A91" s="146"/>
      <c r="B91" s="146"/>
      <c r="C91" s="146"/>
      <c r="D91" s="146"/>
      <c r="E91" s="146"/>
      <c r="F91" s="147"/>
    </row>
    <row r="92" ht="15.75" customHeight="1">
      <c r="A92" s="146"/>
      <c r="B92" s="146"/>
      <c r="C92" s="146"/>
      <c r="D92" s="146"/>
      <c r="E92" s="146"/>
      <c r="F92" s="147"/>
    </row>
    <row r="93" ht="15.75" customHeight="1">
      <c r="A93" s="146"/>
      <c r="B93" s="146"/>
      <c r="C93" s="146"/>
      <c r="D93" s="146"/>
      <c r="E93" s="146"/>
      <c r="F93" s="147"/>
    </row>
    <row r="94" ht="15.75" customHeight="1">
      <c r="A94" s="146"/>
      <c r="B94" s="146"/>
      <c r="C94" s="146"/>
      <c r="D94" s="146"/>
      <c r="E94" s="146"/>
      <c r="F94" s="147"/>
    </row>
    <row r="95" ht="15.75" customHeight="1">
      <c r="A95" s="146"/>
      <c r="B95" s="146"/>
      <c r="C95" s="146"/>
      <c r="D95" s="146"/>
      <c r="E95" s="146"/>
      <c r="F95" s="147"/>
    </row>
    <row r="96" ht="15.75" customHeight="1">
      <c r="A96" s="146"/>
      <c r="B96" s="146"/>
      <c r="C96" s="146"/>
      <c r="D96" s="146"/>
      <c r="E96" s="146"/>
      <c r="F96" s="147"/>
    </row>
    <row r="97" ht="15.75" customHeight="1">
      <c r="A97" s="146"/>
      <c r="B97" s="146"/>
      <c r="C97" s="146"/>
      <c r="D97" s="146"/>
      <c r="E97" s="146"/>
      <c r="F97" s="147"/>
    </row>
    <row r="98" ht="15.75" customHeight="1">
      <c r="A98" s="146"/>
      <c r="B98" s="146"/>
      <c r="C98" s="146"/>
      <c r="D98" s="146"/>
      <c r="E98" s="146"/>
      <c r="F98" s="147"/>
    </row>
    <row r="99" ht="15.75" customHeight="1">
      <c r="A99" s="146"/>
      <c r="B99" s="146"/>
      <c r="C99" s="146"/>
      <c r="D99" s="146"/>
      <c r="E99" s="146"/>
      <c r="F99" s="147"/>
    </row>
    <row r="100" ht="15.75" customHeight="1">
      <c r="A100" s="146"/>
      <c r="B100" s="146"/>
      <c r="C100" s="146"/>
      <c r="D100" s="146"/>
      <c r="E100" s="146"/>
      <c r="F100" s="147"/>
    </row>
    <row r="101" ht="15.75" customHeight="1">
      <c r="A101" s="146"/>
      <c r="B101" s="146"/>
      <c r="C101" s="146"/>
      <c r="D101" s="146"/>
      <c r="E101" s="146"/>
      <c r="F101" s="147"/>
    </row>
    <row r="102" ht="15.75" customHeight="1">
      <c r="A102" s="146"/>
      <c r="B102" s="146"/>
      <c r="C102" s="146"/>
      <c r="D102" s="146"/>
      <c r="E102" s="146"/>
      <c r="F102" s="147"/>
    </row>
    <row r="103" ht="15.75" customHeight="1">
      <c r="A103" s="146"/>
      <c r="B103" s="146"/>
      <c r="C103" s="146"/>
      <c r="D103" s="146"/>
      <c r="E103" s="146"/>
      <c r="F103" s="147"/>
    </row>
    <row r="104" ht="15.75" customHeight="1">
      <c r="A104" s="146"/>
      <c r="B104" s="146"/>
      <c r="C104" s="146"/>
      <c r="D104" s="146"/>
      <c r="E104" s="146"/>
      <c r="F104" s="147"/>
    </row>
    <row r="105" ht="15.75" customHeight="1">
      <c r="A105" s="146"/>
      <c r="B105" s="146"/>
      <c r="C105" s="146"/>
      <c r="D105" s="146"/>
      <c r="E105" s="146"/>
      <c r="F105" s="147"/>
    </row>
    <row r="106" ht="15.75" customHeight="1">
      <c r="A106" s="146"/>
      <c r="B106" s="146"/>
      <c r="C106" s="146"/>
      <c r="D106" s="146"/>
      <c r="E106" s="146"/>
      <c r="F106" s="147"/>
    </row>
    <row r="107" ht="15.75" customHeight="1">
      <c r="A107" s="146"/>
      <c r="B107" s="146"/>
      <c r="C107" s="146"/>
      <c r="D107" s="146"/>
      <c r="E107" s="146"/>
      <c r="F107" s="147"/>
    </row>
    <row r="108" ht="15.75" customHeight="1">
      <c r="A108" s="146"/>
      <c r="B108" s="146"/>
      <c r="C108" s="146"/>
      <c r="D108" s="146"/>
      <c r="E108" s="146"/>
      <c r="F108" s="147"/>
    </row>
    <row r="109" ht="15.75" customHeight="1">
      <c r="A109" s="146"/>
      <c r="B109" s="146"/>
      <c r="C109" s="146"/>
      <c r="D109" s="146"/>
      <c r="E109" s="146"/>
      <c r="F109" s="147"/>
    </row>
    <row r="110" ht="15.75" customHeight="1">
      <c r="A110" s="146"/>
      <c r="B110" s="146"/>
      <c r="C110" s="146"/>
      <c r="D110" s="146"/>
      <c r="E110" s="146"/>
      <c r="F110" s="147"/>
    </row>
    <row r="111" ht="15.75" customHeight="1">
      <c r="A111" s="146"/>
      <c r="B111" s="146"/>
      <c r="C111" s="146"/>
      <c r="D111" s="146"/>
      <c r="E111" s="146"/>
      <c r="F111" s="147"/>
    </row>
    <row r="112" ht="15.75" customHeight="1">
      <c r="A112" s="146"/>
      <c r="B112" s="146"/>
      <c r="C112" s="146"/>
      <c r="D112" s="146"/>
      <c r="E112" s="146"/>
      <c r="F112" s="147"/>
    </row>
    <row r="113" ht="15.75" customHeight="1">
      <c r="A113" s="146"/>
      <c r="B113" s="146"/>
      <c r="C113" s="146"/>
      <c r="D113" s="146"/>
      <c r="E113" s="146"/>
      <c r="F113" s="147"/>
    </row>
    <row r="114" ht="15.75" customHeight="1">
      <c r="A114" s="146"/>
      <c r="B114" s="146"/>
      <c r="C114" s="146"/>
      <c r="D114" s="146"/>
      <c r="E114" s="146"/>
      <c r="F114" s="147"/>
    </row>
    <row r="115" ht="15.75" customHeight="1">
      <c r="A115" s="146"/>
      <c r="B115" s="146"/>
      <c r="C115" s="146"/>
      <c r="D115" s="146"/>
      <c r="E115" s="146"/>
      <c r="F115" s="147"/>
    </row>
    <row r="116" ht="15.75" customHeight="1">
      <c r="A116" s="146"/>
      <c r="B116" s="146"/>
      <c r="C116" s="146"/>
      <c r="D116" s="146"/>
      <c r="E116" s="146"/>
      <c r="F116" s="147"/>
    </row>
    <row r="117" ht="15.75" customHeight="1">
      <c r="A117" s="146"/>
      <c r="B117" s="146"/>
      <c r="C117" s="146"/>
      <c r="D117" s="146"/>
      <c r="E117" s="146"/>
      <c r="F117" s="147"/>
    </row>
    <row r="118" ht="15.75" customHeight="1">
      <c r="A118" s="146"/>
      <c r="B118" s="146"/>
      <c r="C118" s="146"/>
      <c r="D118" s="146"/>
      <c r="E118" s="146"/>
      <c r="F118" s="147"/>
    </row>
    <row r="119" ht="15.75" customHeight="1">
      <c r="A119" s="146"/>
      <c r="B119" s="146"/>
      <c r="C119" s="146"/>
      <c r="D119" s="146"/>
      <c r="E119" s="146"/>
      <c r="F119" s="147"/>
    </row>
    <row r="120" ht="15.75" customHeight="1">
      <c r="A120" s="146"/>
      <c r="B120" s="146"/>
      <c r="C120" s="146"/>
      <c r="D120" s="146"/>
      <c r="E120" s="146"/>
      <c r="F120" s="147"/>
    </row>
    <row r="121" ht="15.75" customHeight="1">
      <c r="A121" s="146"/>
      <c r="B121" s="146"/>
      <c r="C121" s="146"/>
      <c r="D121" s="146"/>
      <c r="E121" s="146"/>
      <c r="F121" s="147"/>
    </row>
    <row r="122" ht="15.75" customHeight="1">
      <c r="A122" s="146"/>
      <c r="B122" s="146"/>
      <c r="C122" s="146"/>
      <c r="D122" s="146"/>
      <c r="E122" s="146"/>
      <c r="F122" s="147"/>
    </row>
    <row r="123" ht="15.75" customHeight="1">
      <c r="A123" s="146"/>
      <c r="B123" s="146"/>
      <c r="C123" s="146"/>
      <c r="D123" s="146"/>
      <c r="E123" s="146"/>
      <c r="F123" s="147"/>
    </row>
    <row r="124" ht="15.75" customHeight="1">
      <c r="A124" s="146"/>
      <c r="B124" s="146"/>
      <c r="C124" s="146"/>
      <c r="D124" s="146"/>
      <c r="E124" s="146"/>
      <c r="F124" s="147"/>
    </row>
    <row r="125" ht="15.75" customHeight="1">
      <c r="A125" s="146"/>
      <c r="B125" s="146"/>
      <c r="C125" s="146"/>
      <c r="D125" s="146"/>
      <c r="E125" s="146"/>
      <c r="F125" s="147"/>
    </row>
    <row r="126" ht="15.75" customHeight="1">
      <c r="A126" s="146"/>
      <c r="B126" s="146"/>
      <c r="C126" s="146"/>
      <c r="D126" s="146"/>
      <c r="E126" s="146"/>
      <c r="F126" s="147"/>
    </row>
    <row r="127" ht="15.75" customHeight="1">
      <c r="A127" s="146"/>
      <c r="B127" s="146"/>
      <c r="C127" s="146"/>
      <c r="D127" s="146"/>
      <c r="E127" s="146"/>
      <c r="F127" s="147"/>
    </row>
    <row r="128" ht="15.75" customHeight="1">
      <c r="A128" s="146"/>
      <c r="B128" s="146"/>
      <c r="C128" s="146"/>
      <c r="D128" s="146"/>
      <c r="E128" s="146"/>
      <c r="F128" s="147"/>
    </row>
    <row r="129" ht="15.75" customHeight="1">
      <c r="A129" s="146"/>
      <c r="B129" s="146"/>
      <c r="C129" s="146"/>
      <c r="D129" s="146"/>
      <c r="E129" s="146"/>
      <c r="F129" s="147"/>
    </row>
    <row r="130" ht="15.75" customHeight="1">
      <c r="A130" s="146"/>
      <c r="B130" s="146"/>
      <c r="C130" s="146"/>
      <c r="D130" s="146"/>
      <c r="E130" s="146"/>
      <c r="F130" s="147"/>
    </row>
    <row r="131" ht="15.75" customHeight="1">
      <c r="A131" s="146"/>
      <c r="B131" s="146"/>
      <c r="C131" s="146"/>
      <c r="D131" s="146"/>
      <c r="E131" s="146"/>
      <c r="F131" s="147"/>
    </row>
    <row r="132" ht="15.75" customHeight="1">
      <c r="A132" s="146"/>
      <c r="B132" s="146"/>
      <c r="C132" s="146"/>
      <c r="D132" s="146"/>
      <c r="E132" s="146"/>
      <c r="F132" s="147"/>
    </row>
    <row r="133" ht="15.75" customHeight="1">
      <c r="A133" s="146"/>
      <c r="B133" s="146"/>
      <c r="C133" s="146"/>
      <c r="D133" s="146"/>
      <c r="E133" s="146"/>
      <c r="F133" s="147"/>
    </row>
    <row r="134" ht="15.75" customHeight="1">
      <c r="A134" s="146"/>
      <c r="B134" s="146"/>
      <c r="C134" s="146"/>
      <c r="D134" s="146"/>
      <c r="E134" s="146"/>
      <c r="F134" s="147"/>
    </row>
    <row r="135" ht="15.75" customHeight="1">
      <c r="A135" s="146"/>
      <c r="B135" s="146"/>
      <c r="C135" s="146"/>
      <c r="D135" s="146"/>
      <c r="E135" s="146"/>
      <c r="F135" s="147"/>
    </row>
    <row r="136" ht="15.75" customHeight="1">
      <c r="A136" s="146"/>
      <c r="B136" s="146"/>
      <c r="C136" s="146"/>
      <c r="D136" s="146"/>
      <c r="E136" s="146"/>
      <c r="F136" s="147"/>
    </row>
    <row r="137" ht="15.75" customHeight="1">
      <c r="A137" s="146"/>
      <c r="B137" s="146"/>
      <c r="C137" s="146"/>
      <c r="D137" s="146"/>
      <c r="E137" s="146"/>
      <c r="F137" s="147"/>
    </row>
    <row r="138" ht="15.75" customHeight="1">
      <c r="A138" s="146"/>
      <c r="B138" s="146"/>
      <c r="C138" s="146"/>
      <c r="D138" s="146"/>
      <c r="E138" s="146"/>
      <c r="F138" s="147"/>
    </row>
    <row r="139" ht="15.75" customHeight="1">
      <c r="A139" s="146"/>
      <c r="B139" s="146"/>
      <c r="C139" s="146"/>
      <c r="D139" s="146"/>
      <c r="E139" s="146"/>
      <c r="F139" s="147"/>
    </row>
    <row r="140" ht="15.75" customHeight="1">
      <c r="A140" s="146"/>
      <c r="B140" s="146"/>
      <c r="C140" s="146"/>
      <c r="D140" s="146"/>
      <c r="E140" s="146"/>
      <c r="F140" s="147"/>
    </row>
    <row r="141" ht="15.75" customHeight="1">
      <c r="A141" s="146"/>
      <c r="B141" s="146"/>
      <c r="C141" s="146"/>
      <c r="D141" s="146"/>
      <c r="E141" s="146"/>
      <c r="F141" s="147"/>
    </row>
    <row r="142" ht="15.75" customHeight="1">
      <c r="A142" s="146"/>
      <c r="B142" s="146"/>
      <c r="C142" s="146"/>
      <c r="D142" s="146"/>
      <c r="E142" s="146"/>
      <c r="F142" s="147"/>
    </row>
    <row r="143" ht="15.75" customHeight="1">
      <c r="A143" s="146"/>
      <c r="B143" s="146"/>
      <c r="C143" s="146"/>
      <c r="D143" s="146"/>
      <c r="E143" s="146"/>
      <c r="F143" s="147"/>
    </row>
    <row r="144" ht="15.75" customHeight="1">
      <c r="A144" s="146"/>
      <c r="B144" s="146"/>
      <c r="C144" s="146"/>
      <c r="D144" s="146"/>
      <c r="E144" s="146"/>
      <c r="F144" s="147"/>
    </row>
    <row r="145" ht="15.75" customHeight="1">
      <c r="A145" s="146"/>
      <c r="B145" s="146"/>
      <c r="C145" s="146"/>
      <c r="D145" s="146"/>
      <c r="E145" s="146"/>
      <c r="F145" s="147"/>
    </row>
    <row r="146" ht="15.75" customHeight="1">
      <c r="A146" s="146"/>
      <c r="B146" s="146"/>
      <c r="C146" s="146"/>
      <c r="D146" s="146"/>
      <c r="E146" s="146"/>
      <c r="F146" s="147"/>
    </row>
    <row r="147" ht="15.75" customHeight="1">
      <c r="A147" s="146"/>
      <c r="B147" s="146"/>
      <c r="C147" s="146"/>
      <c r="D147" s="146"/>
      <c r="E147" s="146"/>
      <c r="F147" s="147"/>
    </row>
    <row r="148" ht="15.75" customHeight="1">
      <c r="A148" s="146"/>
      <c r="B148" s="146"/>
      <c r="C148" s="146"/>
      <c r="D148" s="146"/>
      <c r="E148" s="146"/>
      <c r="F148" s="147"/>
    </row>
    <row r="149" ht="15.75" customHeight="1">
      <c r="A149" s="146"/>
      <c r="B149" s="146"/>
      <c r="C149" s="146"/>
      <c r="D149" s="146"/>
      <c r="E149" s="146"/>
      <c r="F149" s="147"/>
    </row>
    <row r="150" ht="15.75" customHeight="1">
      <c r="A150" s="146"/>
      <c r="B150" s="146"/>
      <c r="C150" s="146"/>
      <c r="D150" s="146"/>
      <c r="E150" s="146"/>
      <c r="F150" s="147"/>
    </row>
    <row r="151" ht="15.75" customHeight="1">
      <c r="A151" s="146"/>
      <c r="B151" s="146"/>
      <c r="C151" s="146"/>
      <c r="D151" s="146"/>
      <c r="E151" s="146"/>
      <c r="F151" s="147"/>
    </row>
    <row r="152" ht="15.75" customHeight="1">
      <c r="A152" s="146"/>
      <c r="B152" s="146"/>
      <c r="C152" s="146"/>
      <c r="D152" s="146"/>
      <c r="E152" s="146"/>
      <c r="F152" s="147"/>
    </row>
    <row r="153" ht="15.75" customHeight="1">
      <c r="A153" s="146"/>
      <c r="B153" s="146"/>
      <c r="C153" s="146"/>
      <c r="D153" s="146"/>
      <c r="E153" s="146"/>
      <c r="F153" s="147"/>
    </row>
    <row r="154" ht="15.75" customHeight="1">
      <c r="A154" s="146"/>
      <c r="B154" s="146"/>
      <c r="C154" s="146"/>
      <c r="D154" s="146"/>
      <c r="E154" s="146"/>
      <c r="F154" s="147"/>
    </row>
    <row r="155" ht="15.75" customHeight="1">
      <c r="A155" s="146"/>
      <c r="B155" s="146"/>
      <c r="C155" s="146"/>
      <c r="D155" s="146"/>
      <c r="E155" s="146"/>
      <c r="F155" s="147"/>
    </row>
    <row r="156" ht="15.75" customHeight="1">
      <c r="A156" s="146"/>
      <c r="B156" s="146"/>
      <c r="C156" s="146"/>
      <c r="D156" s="146"/>
      <c r="E156" s="146"/>
      <c r="F156" s="147"/>
    </row>
    <row r="157" ht="15.75" customHeight="1">
      <c r="A157" s="146"/>
      <c r="B157" s="146"/>
      <c r="C157" s="146"/>
      <c r="D157" s="146"/>
      <c r="E157" s="146"/>
      <c r="F157" s="147"/>
    </row>
    <row r="158" ht="15.75" customHeight="1">
      <c r="A158" s="146"/>
      <c r="B158" s="146"/>
      <c r="C158" s="146"/>
      <c r="D158" s="146"/>
      <c r="E158" s="146"/>
      <c r="F158" s="147"/>
    </row>
    <row r="159" ht="15.75" customHeight="1">
      <c r="A159" s="146"/>
      <c r="B159" s="146"/>
      <c r="C159" s="146"/>
      <c r="D159" s="146"/>
      <c r="E159" s="146"/>
      <c r="F159" s="147"/>
    </row>
    <row r="160" ht="15.75" customHeight="1">
      <c r="A160" s="146"/>
      <c r="B160" s="146"/>
      <c r="C160" s="146"/>
      <c r="D160" s="146"/>
      <c r="E160" s="146"/>
      <c r="F160" s="147"/>
    </row>
    <row r="161" ht="15.75" customHeight="1">
      <c r="A161" s="146"/>
      <c r="B161" s="146"/>
      <c r="C161" s="146"/>
      <c r="D161" s="146"/>
      <c r="E161" s="146"/>
      <c r="F161" s="147"/>
    </row>
    <row r="162" ht="15.75" customHeight="1">
      <c r="A162" s="146"/>
      <c r="B162" s="146"/>
      <c r="C162" s="146"/>
      <c r="D162" s="146"/>
      <c r="E162" s="146"/>
      <c r="F162" s="147"/>
    </row>
    <row r="163" ht="15.75" customHeight="1">
      <c r="A163" s="146"/>
      <c r="B163" s="146"/>
      <c r="C163" s="146"/>
      <c r="D163" s="146"/>
      <c r="E163" s="146"/>
      <c r="F163" s="147"/>
    </row>
    <row r="164" ht="15.75" customHeight="1">
      <c r="A164" s="146"/>
      <c r="B164" s="146"/>
      <c r="C164" s="146"/>
      <c r="D164" s="146"/>
      <c r="E164" s="146"/>
      <c r="F164" s="147"/>
    </row>
    <row r="165" ht="15.75" customHeight="1">
      <c r="A165" s="146"/>
      <c r="B165" s="146"/>
      <c r="C165" s="146"/>
      <c r="D165" s="146"/>
      <c r="E165" s="146"/>
      <c r="F165" s="147"/>
    </row>
    <row r="166" ht="15.75" customHeight="1">
      <c r="A166" s="146"/>
      <c r="B166" s="146"/>
      <c r="C166" s="146"/>
      <c r="D166" s="146"/>
      <c r="E166" s="146"/>
      <c r="F166" s="147"/>
    </row>
    <row r="167" ht="15.75" customHeight="1">
      <c r="A167" s="146"/>
      <c r="B167" s="146"/>
      <c r="C167" s="146"/>
      <c r="D167" s="146"/>
      <c r="E167" s="146"/>
      <c r="F167" s="147"/>
    </row>
    <row r="168" ht="15.75" customHeight="1">
      <c r="A168" s="146"/>
      <c r="B168" s="146"/>
      <c r="C168" s="146"/>
      <c r="D168" s="146"/>
      <c r="E168" s="146"/>
      <c r="F168" s="147"/>
    </row>
    <row r="169" ht="15.75" customHeight="1">
      <c r="A169" s="146"/>
      <c r="B169" s="146"/>
      <c r="C169" s="146"/>
      <c r="D169" s="146"/>
      <c r="E169" s="146"/>
      <c r="F169" s="147"/>
    </row>
    <row r="170" ht="15.75" customHeight="1">
      <c r="A170" s="146"/>
      <c r="B170" s="146"/>
      <c r="C170" s="146"/>
      <c r="D170" s="146"/>
      <c r="E170" s="146"/>
      <c r="F170" s="147"/>
    </row>
    <row r="171" ht="15.75" customHeight="1">
      <c r="A171" s="146"/>
      <c r="B171" s="146"/>
      <c r="C171" s="146"/>
      <c r="D171" s="146"/>
      <c r="E171" s="146"/>
      <c r="F171" s="147"/>
    </row>
    <row r="172" ht="15.75" customHeight="1">
      <c r="A172" s="146"/>
      <c r="B172" s="146"/>
      <c r="C172" s="146"/>
      <c r="D172" s="146"/>
      <c r="E172" s="146"/>
      <c r="F172" s="147"/>
    </row>
    <row r="173" ht="15.75" customHeight="1">
      <c r="A173" s="146"/>
      <c r="B173" s="146"/>
      <c r="C173" s="146"/>
      <c r="D173" s="146"/>
      <c r="E173" s="146"/>
      <c r="F173" s="147"/>
    </row>
    <row r="174" ht="15.75" customHeight="1">
      <c r="A174" s="146"/>
      <c r="B174" s="146"/>
      <c r="C174" s="146"/>
      <c r="D174" s="146"/>
      <c r="E174" s="146"/>
      <c r="F174" s="147"/>
    </row>
    <row r="175" ht="15.75" customHeight="1">
      <c r="A175" s="146"/>
      <c r="B175" s="146"/>
      <c r="C175" s="146"/>
      <c r="D175" s="146"/>
      <c r="E175" s="146"/>
      <c r="F175" s="147"/>
    </row>
    <row r="176" ht="15.75" customHeight="1">
      <c r="A176" s="146"/>
      <c r="B176" s="146"/>
      <c r="C176" s="146"/>
      <c r="D176" s="146"/>
      <c r="E176" s="146"/>
      <c r="F176" s="147"/>
    </row>
    <row r="177" ht="15.75" customHeight="1">
      <c r="A177" s="146"/>
      <c r="B177" s="146"/>
      <c r="C177" s="146"/>
      <c r="D177" s="146"/>
      <c r="E177" s="146"/>
      <c r="F177" s="147"/>
    </row>
    <row r="178" ht="15.75" customHeight="1">
      <c r="A178" s="146"/>
      <c r="B178" s="146"/>
      <c r="C178" s="146"/>
      <c r="D178" s="146"/>
      <c r="E178" s="146"/>
      <c r="F178" s="147"/>
    </row>
    <row r="179" ht="15.75" customHeight="1">
      <c r="A179" s="146"/>
      <c r="B179" s="146"/>
      <c r="C179" s="146"/>
      <c r="D179" s="146"/>
      <c r="E179" s="146"/>
      <c r="F179" s="147"/>
    </row>
    <row r="180" ht="15.75" customHeight="1">
      <c r="A180" s="146"/>
      <c r="B180" s="146"/>
      <c r="C180" s="146"/>
      <c r="D180" s="146"/>
      <c r="E180" s="146"/>
      <c r="F180" s="147"/>
    </row>
    <row r="181" ht="15.75" customHeight="1">
      <c r="A181" s="146"/>
      <c r="B181" s="146"/>
      <c r="C181" s="146"/>
      <c r="D181" s="146"/>
      <c r="E181" s="146"/>
      <c r="F181" s="147"/>
    </row>
    <row r="182" ht="15.75" customHeight="1">
      <c r="A182" s="146"/>
      <c r="B182" s="146"/>
      <c r="C182" s="146"/>
      <c r="D182" s="146"/>
      <c r="E182" s="146"/>
      <c r="F182" s="147"/>
    </row>
    <row r="183" ht="15.75" customHeight="1">
      <c r="A183" s="146"/>
      <c r="B183" s="146"/>
      <c r="C183" s="146"/>
      <c r="D183" s="146"/>
      <c r="E183" s="146"/>
      <c r="F183" s="147"/>
    </row>
    <row r="184" ht="15.75" customHeight="1">
      <c r="A184" s="146"/>
      <c r="B184" s="146"/>
      <c r="C184" s="146"/>
      <c r="D184" s="146"/>
      <c r="E184" s="146"/>
      <c r="F184" s="147"/>
    </row>
    <row r="185" ht="15.75" customHeight="1">
      <c r="A185" s="146"/>
      <c r="B185" s="146"/>
      <c r="C185" s="146"/>
      <c r="D185" s="146"/>
      <c r="E185" s="146"/>
      <c r="F185" s="147"/>
    </row>
    <row r="186" ht="15.75" customHeight="1">
      <c r="A186" s="146"/>
      <c r="B186" s="146"/>
      <c r="C186" s="146"/>
      <c r="D186" s="146"/>
      <c r="E186" s="146"/>
      <c r="F186" s="147"/>
    </row>
    <row r="187" ht="15.75" customHeight="1">
      <c r="A187" s="146"/>
      <c r="B187" s="146"/>
      <c r="C187" s="146"/>
      <c r="D187" s="146"/>
      <c r="E187" s="146"/>
      <c r="F187" s="147"/>
    </row>
    <row r="188" ht="15.75" customHeight="1">
      <c r="A188" s="146"/>
      <c r="B188" s="146"/>
      <c r="C188" s="146"/>
      <c r="D188" s="146"/>
      <c r="E188" s="146"/>
      <c r="F188" s="147"/>
    </row>
    <row r="189" ht="15.75" customHeight="1">
      <c r="A189" s="146"/>
      <c r="B189" s="146"/>
      <c r="C189" s="146"/>
      <c r="D189" s="146"/>
      <c r="E189" s="146"/>
      <c r="F189" s="147"/>
    </row>
    <row r="190" ht="15.75" customHeight="1">
      <c r="A190" s="146"/>
      <c r="B190" s="146"/>
      <c r="C190" s="146"/>
      <c r="D190" s="146"/>
      <c r="E190" s="146"/>
      <c r="F190" s="147"/>
    </row>
    <row r="191" ht="15.75" customHeight="1">
      <c r="A191" s="146"/>
      <c r="B191" s="146"/>
      <c r="C191" s="146"/>
      <c r="D191" s="146"/>
      <c r="E191" s="146"/>
      <c r="F191" s="147"/>
    </row>
    <row r="192" ht="15.75" customHeight="1">
      <c r="A192" s="146"/>
      <c r="B192" s="146"/>
      <c r="C192" s="146"/>
      <c r="D192" s="146"/>
      <c r="E192" s="146"/>
      <c r="F192" s="147"/>
    </row>
    <row r="193" ht="15.75" customHeight="1">
      <c r="A193" s="146"/>
      <c r="B193" s="146"/>
      <c r="C193" s="146"/>
      <c r="D193" s="146"/>
      <c r="E193" s="146"/>
      <c r="F193" s="147"/>
    </row>
    <row r="194" ht="15.75" customHeight="1">
      <c r="A194" s="146"/>
      <c r="B194" s="146"/>
      <c r="C194" s="146"/>
      <c r="D194" s="146"/>
      <c r="E194" s="146"/>
      <c r="F194" s="147"/>
    </row>
    <row r="195" ht="15.75" customHeight="1">
      <c r="A195" s="146"/>
      <c r="B195" s="146"/>
      <c r="C195" s="146"/>
      <c r="D195" s="146"/>
      <c r="E195" s="146"/>
      <c r="F195" s="147"/>
    </row>
    <row r="196" ht="15.75" customHeight="1">
      <c r="A196" s="146"/>
      <c r="B196" s="146"/>
      <c r="C196" s="146"/>
      <c r="D196" s="146"/>
      <c r="E196" s="146"/>
      <c r="F196" s="147"/>
    </row>
    <row r="197" ht="15.75" customHeight="1">
      <c r="A197" s="146"/>
      <c r="B197" s="146"/>
      <c r="C197" s="146"/>
      <c r="D197" s="146"/>
      <c r="E197" s="146"/>
      <c r="F197" s="147"/>
    </row>
    <row r="198" ht="15.75" customHeight="1">
      <c r="A198" s="146"/>
      <c r="B198" s="146"/>
      <c r="C198" s="146"/>
      <c r="D198" s="146"/>
      <c r="E198" s="146"/>
      <c r="F198" s="147"/>
    </row>
    <row r="199" ht="15.75" customHeight="1">
      <c r="A199" s="146"/>
      <c r="B199" s="146"/>
      <c r="C199" s="146"/>
      <c r="D199" s="146"/>
      <c r="E199" s="146"/>
      <c r="F199" s="147"/>
    </row>
    <row r="200" ht="15.75" customHeight="1">
      <c r="A200" s="146"/>
      <c r="B200" s="146"/>
      <c r="C200" s="146"/>
      <c r="D200" s="146"/>
      <c r="E200" s="146"/>
      <c r="F200" s="147"/>
    </row>
    <row r="201" ht="15.75" customHeight="1">
      <c r="A201" s="146"/>
      <c r="B201" s="146"/>
      <c r="C201" s="146"/>
      <c r="D201" s="146"/>
      <c r="E201" s="146"/>
      <c r="F201" s="147"/>
    </row>
    <row r="202" ht="15.75" customHeight="1">
      <c r="A202" s="146"/>
      <c r="B202" s="146"/>
      <c r="C202" s="146"/>
      <c r="D202" s="146"/>
      <c r="E202" s="146"/>
      <c r="F202" s="147"/>
    </row>
    <row r="203" ht="15.75" customHeight="1">
      <c r="A203" s="146"/>
      <c r="B203" s="146"/>
      <c r="C203" s="146"/>
      <c r="D203" s="146"/>
      <c r="E203" s="146"/>
      <c r="F203" s="147"/>
    </row>
    <row r="204" ht="15.75" customHeight="1">
      <c r="A204" s="146"/>
      <c r="B204" s="146"/>
      <c r="C204" s="146"/>
      <c r="D204" s="146"/>
      <c r="E204" s="146"/>
      <c r="F204" s="147"/>
    </row>
    <row r="205" ht="15.75" customHeight="1">
      <c r="A205" s="146"/>
      <c r="B205" s="146"/>
      <c r="C205" s="146"/>
      <c r="D205" s="146"/>
      <c r="E205" s="146"/>
      <c r="F205" s="147"/>
    </row>
    <row r="206" ht="15.75" customHeight="1">
      <c r="A206" s="146"/>
      <c r="B206" s="146"/>
      <c r="C206" s="146"/>
      <c r="D206" s="146"/>
      <c r="E206" s="146"/>
      <c r="F206" s="147"/>
    </row>
    <row r="207" ht="15.75" customHeight="1">
      <c r="A207" s="146"/>
      <c r="B207" s="146"/>
      <c r="C207" s="146"/>
      <c r="D207" s="146"/>
      <c r="E207" s="146"/>
      <c r="F207" s="147"/>
    </row>
    <row r="208" ht="15.75" customHeight="1">
      <c r="A208" s="146"/>
      <c r="B208" s="146"/>
      <c r="C208" s="146"/>
      <c r="D208" s="146"/>
      <c r="E208" s="146"/>
      <c r="F208" s="147"/>
    </row>
    <row r="209" ht="15.75" customHeight="1">
      <c r="A209" s="146"/>
      <c r="B209" s="146"/>
      <c r="C209" s="146"/>
      <c r="D209" s="146"/>
      <c r="E209" s="146"/>
      <c r="F209" s="147"/>
    </row>
    <row r="210" ht="15.75" customHeight="1">
      <c r="A210" s="146"/>
      <c r="B210" s="146"/>
      <c r="C210" s="146"/>
      <c r="D210" s="146"/>
      <c r="E210" s="146"/>
      <c r="F210" s="147"/>
    </row>
    <row r="211" ht="15.75" customHeight="1">
      <c r="A211" s="146"/>
      <c r="B211" s="146"/>
      <c r="C211" s="146"/>
      <c r="D211" s="146"/>
      <c r="E211" s="146"/>
      <c r="F211" s="147"/>
    </row>
    <row r="212" ht="15.75" customHeight="1">
      <c r="A212" s="146"/>
      <c r="B212" s="146"/>
      <c r="C212" s="146"/>
      <c r="D212" s="146"/>
      <c r="E212" s="146"/>
      <c r="F212" s="147"/>
    </row>
    <row r="213" ht="15.75" customHeight="1">
      <c r="A213" s="146"/>
      <c r="B213" s="146"/>
      <c r="C213" s="146"/>
      <c r="D213" s="146"/>
      <c r="E213" s="146"/>
      <c r="F213" s="147"/>
    </row>
    <row r="214" ht="15.75" customHeight="1">
      <c r="A214" s="146"/>
      <c r="B214" s="146"/>
      <c r="C214" s="146"/>
      <c r="D214" s="146"/>
      <c r="E214" s="146"/>
      <c r="F214" s="147"/>
    </row>
    <row r="215" ht="15.75" customHeight="1">
      <c r="A215" s="146"/>
      <c r="B215" s="146"/>
      <c r="C215" s="146"/>
      <c r="D215" s="146"/>
      <c r="E215" s="146"/>
      <c r="F215" s="147"/>
    </row>
    <row r="216" ht="15.75" customHeight="1">
      <c r="A216" s="146"/>
      <c r="B216" s="146"/>
      <c r="C216" s="146"/>
      <c r="D216" s="146"/>
      <c r="E216" s="146"/>
      <c r="F216" s="147"/>
    </row>
    <row r="217" ht="15.75" customHeight="1">
      <c r="A217" s="146"/>
      <c r="B217" s="146"/>
      <c r="C217" s="146"/>
      <c r="D217" s="146"/>
      <c r="E217" s="146"/>
      <c r="F217" s="147"/>
    </row>
    <row r="218" ht="15.75" customHeight="1">
      <c r="A218" s="146"/>
      <c r="B218" s="146"/>
      <c r="C218" s="146"/>
      <c r="D218" s="146"/>
      <c r="E218" s="146"/>
      <c r="F218" s="147"/>
    </row>
    <row r="219" ht="15.75" customHeight="1">
      <c r="A219" s="146"/>
      <c r="B219" s="146"/>
      <c r="C219" s="146"/>
      <c r="D219" s="146"/>
      <c r="E219" s="146"/>
      <c r="F219" s="147"/>
    </row>
    <row r="220" ht="15.75" customHeight="1">
      <c r="A220" s="146"/>
      <c r="B220" s="146"/>
      <c r="C220" s="146"/>
      <c r="D220" s="146"/>
      <c r="E220" s="146"/>
      <c r="F220" s="14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7.75"/>
    <col customWidth="1" min="2" max="2" width="32.25"/>
    <col customWidth="1" min="3" max="3" width="20.5"/>
    <col customWidth="1" min="4" max="4" width="46.25"/>
    <col customWidth="1" min="5" max="5" width="13.25"/>
    <col customWidth="1" min="6" max="6" width="3.75"/>
  </cols>
  <sheetData>
    <row r="1" ht="15.75" customHeight="1">
      <c r="A1" s="144" t="str">
        <f>IFERROR(__xludf.DUMMYFUNCTION("QUERY(QUERY(CONSO_ENCUESTAS!A4:I1032,""SELECT B,A,C,D,I,COUNT(H) WHERE B IS NOT NULL  GROUP BY B,A,C,D,I"",1),""SELECT * WHERE Col5 matches '.*NO.*'"",1)"),"TIPO")</f>
        <v>TIPO</v>
      </c>
      <c r="B1" s="144" t="str">
        <f>IFERROR(__xludf.DUMMYFUNCTION("""COMPUTED_VALUE"""),"FUNCIONARIO")</f>
        <v>FUNCIONARIO</v>
      </c>
      <c r="C1" s="144" t="str">
        <f>IFERROR(__xludf.DUMMYFUNCTION("""COMPUTED_VALUE"""),"AMBITO")</f>
        <v>AMBITO</v>
      </c>
      <c r="D1" s="144" t="str">
        <f>IFERROR(__xludf.DUMMYFUNCTION("""COMPUTED_VALUE"""),"ACTIVIDAD")</f>
        <v>ACTIVIDAD</v>
      </c>
      <c r="E1" s="144" t="str">
        <f>IFERROR(__xludf.DUMMYFUNCTION("""COMPUTED_VALUE""")," ESTADO ")</f>
        <v> ESTADO </v>
      </c>
      <c r="F1" s="145" t="str">
        <f>IFERROR(__xludf.DUMMYFUNCTION("""COMPUTED_VALUE"""),"count  CHECK ")</f>
        <v>count  CHECK </v>
      </c>
    </row>
    <row r="2" ht="15.75" customHeight="1">
      <c r="A2" s="146"/>
      <c r="B2" s="146"/>
      <c r="C2" s="146"/>
      <c r="D2" s="146"/>
      <c r="E2" s="146"/>
      <c r="F2" s="147"/>
    </row>
    <row r="3" ht="15.75" customHeight="1">
      <c r="A3" s="146"/>
      <c r="B3" s="146"/>
      <c r="C3" s="146"/>
      <c r="D3" s="146"/>
      <c r="E3" s="146"/>
      <c r="F3" s="147"/>
    </row>
    <row r="4" ht="15.75" customHeight="1">
      <c r="A4" s="146"/>
      <c r="B4" s="146"/>
      <c r="C4" s="146"/>
      <c r="D4" s="146"/>
      <c r="E4" s="146"/>
      <c r="F4" s="147"/>
    </row>
    <row r="5" ht="15.75" customHeight="1">
      <c r="A5" s="146"/>
      <c r="B5" s="146"/>
      <c r="C5" s="146"/>
      <c r="D5" s="146"/>
      <c r="E5" s="146"/>
      <c r="F5" s="147"/>
    </row>
    <row r="6" ht="15.75" customHeight="1">
      <c r="A6" s="146"/>
      <c r="B6" s="146"/>
      <c r="C6" s="146"/>
      <c r="D6" s="146"/>
      <c r="E6" s="146"/>
      <c r="F6" s="147"/>
    </row>
    <row r="7" ht="15.75" customHeight="1">
      <c r="A7" s="146"/>
      <c r="B7" s="146"/>
      <c r="C7" s="146"/>
      <c r="D7" s="146"/>
      <c r="E7" s="146"/>
      <c r="F7" s="147"/>
    </row>
    <row r="8" ht="15.75" customHeight="1">
      <c r="A8" s="146"/>
      <c r="B8" s="146"/>
      <c r="C8" s="146"/>
      <c r="D8" s="146"/>
      <c r="E8" s="146"/>
      <c r="F8" s="147"/>
    </row>
    <row r="9" ht="15.75" customHeight="1">
      <c r="A9" s="146"/>
      <c r="B9" s="146"/>
      <c r="C9" s="146"/>
      <c r="D9" s="146"/>
      <c r="E9" s="146"/>
      <c r="F9" s="147"/>
    </row>
    <row r="10" ht="15.75" customHeight="1">
      <c r="A10" s="146"/>
      <c r="B10" s="146"/>
      <c r="C10" s="146"/>
      <c r="D10" s="146"/>
      <c r="E10" s="146"/>
      <c r="F10" s="147"/>
    </row>
    <row r="11" ht="15.75" customHeight="1">
      <c r="A11" s="146"/>
      <c r="B11" s="146"/>
      <c r="C11" s="146"/>
      <c r="D11" s="146"/>
      <c r="E11" s="146"/>
      <c r="F11" s="147"/>
    </row>
    <row r="12" ht="15.75" customHeight="1">
      <c r="A12" s="146"/>
      <c r="B12" s="146"/>
      <c r="C12" s="146"/>
      <c r="D12" s="146"/>
      <c r="E12" s="146"/>
      <c r="F12" s="147"/>
    </row>
    <row r="13" ht="15.75" customHeight="1">
      <c r="A13" s="146"/>
      <c r="B13" s="146"/>
      <c r="C13" s="146"/>
      <c r="D13" s="146"/>
      <c r="E13" s="146"/>
      <c r="F13" s="147"/>
    </row>
    <row r="14" ht="15.75" customHeight="1">
      <c r="A14" s="146"/>
      <c r="B14" s="146"/>
      <c r="C14" s="146"/>
      <c r="D14" s="146"/>
      <c r="E14" s="146"/>
      <c r="F14" s="147"/>
    </row>
    <row r="15" ht="15.75" customHeight="1">
      <c r="A15" s="146"/>
      <c r="B15" s="146"/>
      <c r="C15" s="146"/>
      <c r="D15" s="146"/>
      <c r="E15" s="146"/>
      <c r="F15" s="147"/>
    </row>
    <row r="16" ht="15.75" customHeight="1">
      <c r="A16" s="146"/>
      <c r="B16" s="146"/>
      <c r="C16" s="146"/>
      <c r="D16" s="146"/>
      <c r="E16" s="146"/>
      <c r="F16" s="147"/>
    </row>
    <row r="17" ht="15.75" customHeight="1">
      <c r="A17" s="146"/>
      <c r="B17" s="146"/>
      <c r="C17" s="146"/>
      <c r="D17" s="146"/>
      <c r="E17" s="146"/>
      <c r="F17" s="147"/>
    </row>
    <row r="18" ht="15.75" customHeight="1">
      <c r="A18" s="146"/>
      <c r="B18" s="146"/>
      <c r="C18" s="146"/>
      <c r="D18" s="146"/>
      <c r="E18" s="146"/>
      <c r="F18" s="147"/>
    </row>
    <row r="19" ht="15.75" customHeight="1">
      <c r="A19" s="146"/>
      <c r="B19" s="146"/>
      <c r="C19" s="146"/>
      <c r="D19" s="146"/>
      <c r="E19" s="146"/>
      <c r="F19" s="147"/>
    </row>
    <row r="20" ht="15.75" customHeight="1">
      <c r="A20" s="146"/>
      <c r="B20" s="146"/>
      <c r="C20" s="146"/>
      <c r="D20" s="146"/>
      <c r="E20" s="146"/>
      <c r="F20" s="147"/>
    </row>
    <row r="21" ht="15.75" customHeight="1">
      <c r="A21" s="146"/>
      <c r="B21" s="146"/>
      <c r="C21" s="146"/>
      <c r="D21" s="146"/>
      <c r="E21" s="146"/>
      <c r="F21" s="147"/>
    </row>
    <row r="22" ht="15.75" customHeight="1">
      <c r="A22" s="146"/>
      <c r="B22" s="146"/>
      <c r="C22" s="146"/>
      <c r="D22" s="146"/>
      <c r="E22" s="146"/>
      <c r="F22" s="147"/>
    </row>
    <row r="23" ht="15.75" customHeight="1">
      <c r="A23" s="146"/>
      <c r="B23" s="146"/>
      <c r="C23" s="146"/>
      <c r="D23" s="146"/>
      <c r="E23" s="146"/>
      <c r="F23" s="147"/>
    </row>
    <row r="24" ht="15.75" customHeight="1">
      <c r="A24" s="146"/>
      <c r="B24" s="146"/>
      <c r="C24" s="146"/>
      <c r="D24" s="146"/>
      <c r="E24" s="146"/>
      <c r="F24" s="147"/>
    </row>
    <row r="25" ht="15.75" customHeight="1">
      <c r="A25" s="146"/>
      <c r="B25" s="146"/>
      <c r="C25" s="146"/>
      <c r="D25" s="146"/>
      <c r="E25" s="146"/>
      <c r="F25" s="147"/>
    </row>
    <row r="26" ht="15.75" customHeight="1">
      <c r="A26" s="146"/>
      <c r="B26" s="146"/>
      <c r="C26" s="146"/>
      <c r="D26" s="146"/>
      <c r="E26" s="146"/>
      <c r="F26" s="147"/>
    </row>
    <row r="27" ht="15.75" customHeight="1">
      <c r="A27" s="146"/>
      <c r="B27" s="146"/>
      <c r="C27" s="146"/>
      <c r="D27" s="146"/>
      <c r="E27" s="146"/>
      <c r="F27" s="147"/>
    </row>
    <row r="28" ht="15.75" customHeight="1">
      <c r="A28" s="146"/>
      <c r="B28" s="146"/>
      <c r="C28" s="146"/>
      <c r="D28" s="146"/>
      <c r="E28" s="146"/>
      <c r="F28" s="147"/>
    </row>
    <row r="29" ht="15.75" customHeight="1">
      <c r="A29" s="146"/>
      <c r="B29" s="146"/>
      <c r="C29" s="146"/>
      <c r="D29" s="146"/>
      <c r="E29" s="146"/>
      <c r="F29" s="147"/>
    </row>
    <row r="30" ht="15.75" customHeight="1">
      <c r="A30" s="146"/>
      <c r="B30" s="146"/>
      <c r="C30" s="146"/>
      <c r="D30" s="146"/>
      <c r="E30" s="146"/>
      <c r="F30" s="147"/>
    </row>
    <row r="31" ht="15.75" customHeight="1">
      <c r="A31" s="146"/>
      <c r="B31" s="146"/>
      <c r="C31" s="146"/>
      <c r="D31" s="146"/>
      <c r="E31" s="146"/>
      <c r="F31" s="147"/>
    </row>
    <row r="32" ht="15.75" customHeight="1">
      <c r="A32" s="146"/>
      <c r="B32" s="146"/>
      <c r="C32" s="146"/>
      <c r="D32" s="146"/>
      <c r="E32" s="146"/>
      <c r="F32" s="147"/>
    </row>
    <row r="33" ht="15.75" customHeight="1">
      <c r="A33" s="146"/>
      <c r="B33" s="146"/>
      <c r="C33" s="146"/>
      <c r="D33" s="146"/>
      <c r="E33" s="146"/>
      <c r="F33" s="147"/>
    </row>
    <row r="34" ht="15.75" customHeight="1">
      <c r="A34" s="146"/>
      <c r="B34" s="146"/>
      <c r="C34" s="146"/>
      <c r="D34" s="146"/>
      <c r="E34" s="146"/>
      <c r="F34" s="147"/>
    </row>
    <row r="35" ht="15.75" customHeight="1">
      <c r="A35" s="146"/>
      <c r="B35" s="146"/>
      <c r="C35" s="146"/>
      <c r="D35" s="146"/>
      <c r="E35" s="146"/>
      <c r="F35" s="147"/>
    </row>
    <row r="36" ht="15.75" customHeight="1">
      <c r="A36" s="146"/>
      <c r="B36" s="146"/>
      <c r="C36" s="146"/>
      <c r="D36" s="146"/>
      <c r="E36" s="146"/>
      <c r="F36" s="147"/>
    </row>
    <row r="37" ht="15.75" customHeight="1">
      <c r="A37" s="146"/>
      <c r="B37" s="146"/>
      <c r="C37" s="146"/>
      <c r="D37" s="146"/>
      <c r="E37" s="146"/>
      <c r="F37" s="147"/>
    </row>
    <row r="38" ht="15.75" customHeight="1">
      <c r="A38" s="146"/>
      <c r="B38" s="146"/>
      <c r="C38" s="146"/>
      <c r="D38" s="146"/>
      <c r="E38" s="146"/>
      <c r="F38" s="147"/>
    </row>
    <row r="39" ht="15.75" customHeight="1">
      <c r="A39" s="146"/>
      <c r="B39" s="146"/>
      <c r="C39" s="146"/>
      <c r="D39" s="146"/>
      <c r="E39" s="146"/>
      <c r="F39" s="147"/>
    </row>
    <row r="40" ht="15.75" customHeight="1">
      <c r="A40" s="146"/>
      <c r="B40" s="146"/>
      <c r="C40" s="146"/>
      <c r="D40" s="146"/>
      <c r="E40" s="146"/>
      <c r="F40" s="147"/>
    </row>
    <row r="41" ht="15.75" customHeight="1">
      <c r="A41" s="146"/>
      <c r="B41" s="146"/>
      <c r="C41" s="146"/>
      <c r="D41" s="146"/>
      <c r="E41" s="146"/>
      <c r="F41" s="147"/>
    </row>
    <row r="42" ht="15.75" customHeight="1">
      <c r="A42" s="146"/>
      <c r="B42" s="146"/>
      <c r="C42" s="146"/>
      <c r="D42" s="146"/>
      <c r="E42" s="146"/>
      <c r="F42" s="147"/>
    </row>
    <row r="43" ht="15.75" customHeight="1">
      <c r="A43" s="146"/>
      <c r="B43" s="146"/>
      <c r="C43" s="146"/>
      <c r="D43" s="146"/>
      <c r="E43" s="146"/>
      <c r="F43" s="147"/>
    </row>
    <row r="44" ht="15.75" customHeight="1">
      <c r="A44" s="146"/>
      <c r="B44" s="146"/>
      <c r="C44" s="146"/>
      <c r="D44" s="146"/>
      <c r="E44" s="146"/>
      <c r="F44" s="147"/>
    </row>
    <row r="45" ht="15.75" customHeight="1">
      <c r="A45" s="146"/>
      <c r="B45" s="146"/>
      <c r="C45" s="146"/>
      <c r="D45" s="146"/>
      <c r="E45" s="146"/>
      <c r="F45" s="147"/>
    </row>
    <row r="46" ht="15.75" customHeight="1">
      <c r="A46" s="146"/>
      <c r="B46" s="146"/>
      <c r="C46" s="146"/>
      <c r="D46" s="146"/>
      <c r="E46" s="146"/>
      <c r="F46" s="147"/>
    </row>
    <row r="47" ht="15.75" customHeight="1">
      <c r="A47" s="146"/>
      <c r="B47" s="146"/>
      <c r="C47" s="146"/>
      <c r="D47" s="146"/>
      <c r="E47" s="146"/>
      <c r="F47" s="147"/>
    </row>
    <row r="48" ht="15.75" customHeight="1">
      <c r="A48" s="146"/>
      <c r="B48" s="146"/>
      <c r="C48" s="146"/>
      <c r="D48" s="146"/>
      <c r="E48" s="146"/>
      <c r="F48" s="147"/>
    </row>
    <row r="49" ht="15.75" customHeight="1">
      <c r="A49" s="146"/>
      <c r="B49" s="146"/>
      <c r="C49" s="146"/>
      <c r="D49" s="146"/>
      <c r="E49" s="146"/>
      <c r="F49" s="147"/>
    </row>
    <row r="50" ht="15.75" customHeight="1">
      <c r="A50" s="146"/>
      <c r="B50" s="146"/>
      <c r="C50" s="146"/>
      <c r="D50" s="146"/>
      <c r="E50" s="146"/>
      <c r="F50" s="147"/>
    </row>
    <row r="51" ht="15.75" customHeight="1">
      <c r="A51" s="146"/>
      <c r="B51" s="146"/>
      <c r="C51" s="146"/>
      <c r="D51" s="146"/>
      <c r="E51" s="146"/>
      <c r="F51" s="147"/>
    </row>
    <row r="52" ht="15.75" customHeight="1">
      <c r="A52" s="146"/>
      <c r="B52" s="146"/>
      <c r="C52" s="146"/>
      <c r="D52" s="146"/>
      <c r="E52" s="146"/>
      <c r="F52" s="147"/>
    </row>
    <row r="53" ht="15.75" customHeight="1">
      <c r="A53" s="146"/>
      <c r="B53" s="146"/>
      <c r="C53" s="146"/>
      <c r="D53" s="146"/>
      <c r="E53" s="146"/>
      <c r="F53" s="147"/>
    </row>
    <row r="54" ht="15.75" customHeight="1">
      <c r="A54" s="146"/>
      <c r="B54" s="146"/>
      <c r="C54" s="146"/>
      <c r="D54" s="146"/>
      <c r="E54" s="146"/>
      <c r="F54" s="147"/>
    </row>
    <row r="55" ht="15.75" customHeight="1">
      <c r="A55" s="146"/>
      <c r="B55" s="146"/>
      <c r="C55" s="146"/>
      <c r="D55" s="146"/>
      <c r="E55" s="146"/>
      <c r="F55" s="147"/>
    </row>
    <row r="56" ht="15.75" customHeight="1">
      <c r="A56" s="146"/>
      <c r="B56" s="146"/>
      <c r="C56" s="146"/>
      <c r="D56" s="146"/>
      <c r="E56" s="146"/>
      <c r="F56" s="147"/>
    </row>
    <row r="57" ht="15.75" customHeight="1">
      <c r="A57" s="146"/>
      <c r="B57" s="146"/>
      <c r="C57" s="146"/>
      <c r="D57" s="146"/>
      <c r="E57" s="146"/>
      <c r="F57" s="147"/>
    </row>
    <row r="58" ht="15.75" customHeight="1">
      <c r="A58" s="146"/>
      <c r="B58" s="146"/>
      <c r="C58" s="146"/>
      <c r="D58" s="146"/>
      <c r="E58" s="146"/>
      <c r="F58" s="147"/>
    </row>
    <row r="59" ht="15.75" customHeight="1">
      <c r="A59" s="146"/>
      <c r="B59" s="146"/>
      <c r="C59" s="146"/>
      <c r="D59" s="146"/>
      <c r="E59" s="146"/>
      <c r="F59" s="147"/>
    </row>
    <row r="60" ht="15.75" customHeight="1">
      <c r="A60" s="146"/>
      <c r="B60" s="146"/>
      <c r="C60" s="146"/>
      <c r="D60" s="146"/>
      <c r="E60" s="146"/>
      <c r="F60" s="147"/>
    </row>
    <row r="61" ht="15.75" customHeight="1">
      <c r="A61" s="146"/>
      <c r="B61" s="146"/>
      <c r="C61" s="146"/>
      <c r="D61" s="146"/>
      <c r="E61" s="146"/>
      <c r="F61" s="147"/>
    </row>
    <row r="62" ht="15.75" customHeight="1">
      <c r="A62" s="146"/>
      <c r="B62" s="146"/>
      <c r="C62" s="146"/>
      <c r="D62" s="146"/>
      <c r="E62" s="146"/>
      <c r="F62" s="147"/>
    </row>
    <row r="63" ht="15.75" customHeight="1">
      <c r="A63" s="146"/>
      <c r="B63" s="146"/>
      <c r="C63" s="146"/>
      <c r="D63" s="146"/>
      <c r="E63" s="146"/>
      <c r="F63" s="147"/>
    </row>
    <row r="64" ht="15.75" customHeight="1">
      <c r="A64" s="146"/>
      <c r="B64" s="146"/>
      <c r="C64" s="146"/>
      <c r="D64" s="146"/>
      <c r="E64" s="146"/>
      <c r="F64" s="147"/>
    </row>
    <row r="65" ht="15.75" customHeight="1">
      <c r="A65" s="146"/>
      <c r="B65" s="146"/>
      <c r="C65" s="146"/>
      <c r="D65" s="146"/>
      <c r="E65" s="146"/>
      <c r="F65" s="147"/>
    </row>
    <row r="66" ht="15.75" customHeight="1">
      <c r="A66" s="146"/>
      <c r="B66" s="146"/>
      <c r="C66" s="146"/>
      <c r="D66" s="146"/>
      <c r="E66" s="146"/>
      <c r="F66" s="147"/>
    </row>
    <row r="67" ht="15.75" customHeight="1">
      <c r="A67" s="146"/>
      <c r="B67" s="146"/>
      <c r="C67" s="146"/>
      <c r="D67" s="146"/>
      <c r="E67" s="146"/>
      <c r="F67" s="147"/>
    </row>
    <row r="68" ht="15.75" customHeight="1">
      <c r="A68" s="146"/>
      <c r="B68" s="146"/>
      <c r="C68" s="146"/>
      <c r="D68" s="146"/>
      <c r="E68" s="146"/>
      <c r="F68" s="147"/>
    </row>
    <row r="69" ht="15.75" customHeight="1">
      <c r="A69" s="146"/>
      <c r="B69" s="146"/>
      <c r="C69" s="146"/>
      <c r="D69" s="146"/>
      <c r="E69" s="146"/>
      <c r="F69" s="147"/>
    </row>
    <row r="70" ht="15.75" customHeight="1">
      <c r="A70" s="146"/>
      <c r="B70" s="146"/>
      <c r="C70" s="146"/>
      <c r="D70" s="146"/>
      <c r="E70" s="146"/>
      <c r="F70" s="147"/>
    </row>
    <row r="71" ht="15.75" customHeight="1">
      <c r="A71" s="146"/>
      <c r="B71" s="146"/>
      <c r="C71" s="146"/>
      <c r="D71" s="146"/>
      <c r="E71" s="146"/>
      <c r="F71" s="147"/>
    </row>
    <row r="72" ht="15.75" customHeight="1">
      <c r="A72" s="146"/>
      <c r="B72" s="146"/>
      <c r="C72" s="146"/>
      <c r="D72" s="146"/>
      <c r="E72" s="146"/>
      <c r="F72" s="147"/>
    </row>
    <row r="73" ht="15.75" customHeight="1">
      <c r="A73" s="146"/>
      <c r="B73" s="146"/>
      <c r="C73" s="146"/>
      <c r="D73" s="146"/>
      <c r="E73" s="146"/>
      <c r="F73" s="147"/>
    </row>
    <row r="74" ht="15.75" customHeight="1">
      <c r="A74" s="146"/>
      <c r="B74" s="146"/>
      <c r="C74" s="146"/>
      <c r="D74" s="146"/>
      <c r="E74" s="146"/>
      <c r="F74" s="147"/>
    </row>
    <row r="75" ht="15.75" customHeight="1">
      <c r="A75" s="146"/>
      <c r="B75" s="146"/>
      <c r="C75" s="146"/>
      <c r="D75" s="146"/>
      <c r="E75" s="146"/>
      <c r="F75" s="147"/>
    </row>
    <row r="76" ht="15.75" customHeight="1">
      <c r="A76" s="146"/>
      <c r="B76" s="146"/>
      <c r="C76" s="146"/>
      <c r="D76" s="146"/>
      <c r="E76" s="146"/>
      <c r="F76" s="147"/>
    </row>
    <row r="77" ht="15.75" customHeight="1">
      <c r="A77" s="146"/>
      <c r="B77" s="146"/>
      <c r="C77" s="146"/>
      <c r="D77" s="146"/>
      <c r="E77" s="146"/>
      <c r="F77" s="147"/>
    </row>
    <row r="78" ht="15.75" customHeight="1">
      <c r="A78" s="146"/>
      <c r="B78" s="146"/>
      <c r="C78" s="146"/>
      <c r="D78" s="146"/>
      <c r="E78" s="146"/>
      <c r="F78" s="147"/>
    </row>
    <row r="79" ht="15.75" customHeight="1">
      <c r="A79" s="146"/>
      <c r="B79" s="146"/>
      <c r="C79" s="146"/>
      <c r="D79" s="146"/>
      <c r="E79" s="146"/>
      <c r="F79" s="147"/>
    </row>
    <row r="80" ht="15.75" customHeight="1">
      <c r="A80" s="146"/>
      <c r="B80" s="146"/>
      <c r="C80" s="146"/>
      <c r="D80" s="146"/>
      <c r="E80" s="146"/>
      <c r="F80" s="147"/>
    </row>
    <row r="81" ht="15.75" customHeight="1">
      <c r="A81" s="146"/>
      <c r="B81" s="146"/>
      <c r="C81" s="146"/>
      <c r="D81" s="146"/>
      <c r="E81" s="146"/>
      <c r="F81" s="147"/>
    </row>
    <row r="82" ht="15.75" customHeight="1">
      <c r="A82" s="146"/>
      <c r="B82" s="146"/>
      <c r="C82" s="146"/>
      <c r="D82" s="146"/>
      <c r="E82" s="146"/>
      <c r="F82" s="147"/>
    </row>
    <row r="83" ht="15.75" customHeight="1">
      <c r="A83" s="146"/>
      <c r="B83" s="146"/>
      <c r="C83" s="146"/>
      <c r="D83" s="146"/>
      <c r="E83" s="146"/>
      <c r="F83" s="147"/>
    </row>
    <row r="84" ht="15.75" customHeight="1">
      <c r="A84" s="146"/>
      <c r="B84" s="146"/>
      <c r="C84" s="146"/>
      <c r="D84" s="146"/>
      <c r="E84" s="146"/>
      <c r="F84" s="147"/>
    </row>
    <row r="85" ht="15.75" customHeight="1">
      <c r="A85" s="146"/>
      <c r="B85" s="146"/>
      <c r="C85" s="146"/>
      <c r="D85" s="146"/>
      <c r="E85" s="146"/>
      <c r="F85" s="147"/>
    </row>
    <row r="86" ht="15.75" customHeight="1">
      <c r="A86" s="146"/>
      <c r="B86" s="146"/>
      <c r="C86" s="146"/>
      <c r="D86" s="146"/>
      <c r="E86" s="146"/>
      <c r="F86" s="147"/>
    </row>
    <row r="87" ht="15.75" customHeight="1">
      <c r="A87" s="146"/>
      <c r="B87" s="146"/>
      <c r="C87" s="146"/>
      <c r="D87" s="146"/>
      <c r="E87" s="146"/>
      <c r="F87" s="147"/>
    </row>
    <row r="88" ht="15.75" customHeight="1">
      <c r="A88" s="146"/>
      <c r="B88" s="146"/>
      <c r="C88" s="146"/>
      <c r="D88" s="146"/>
      <c r="E88" s="146"/>
      <c r="F88" s="147"/>
    </row>
    <row r="89" ht="15.75" customHeight="1">
      <c r="A89" s="146"/>
      <c r="B89" s="146"/>
      <c r="C89" s="146"/>
      <c r="D89" s="146"/>
      <c r="E89" s="146"/>
      <c r="F89" s="147"/>
    </row>
    <row r="90" ht="15.75" customHeight="1">
      <c r="A90" s="146"/>
      <c r="B90" s="146"/>
      <c r="C90" s="146"/>
      <c r="D90" s="146"/>
      <c r="E90" s="146"/>
      <c r="F90" s="147"/>
    </row>
    <row r="91" ht="15.75" customHeight="1">
      <c r="A91" s="146"/>
      <c r="B91" s="146"/>
      <c r="C91" s="146"/>
      <c r="D91" s="146"/>
      <c r="E91" s="146"/>
      <c r="F91" s="147"/>
    </row>
    <row r="92" ht="15.75" customHeight="1">
      <c r="A92" s="146"/>
      <c r="B92" s="146"/>
      <c r="C92" s="146"/>
      <c r="D92" s="146"/>
      <c r="E92" s="146"/>
      <c r="F92" s="147"/>
    </row>
    <row r="93" ht="15.75" customHeight="1">
      <c r="A93" s="146"/>
      <c r="B93" s="146"/>
      <c r="C93" s="146"/>
      <c r="D93" s="146"/>
      <c r="E93" s="146"/>
      <c r="F93" s="147"/>
    </row>
    <row r="94" ht="15.75" customHeight="1">
      <c r="A94" s="146"/>
      <c r="B94" s="146"/>
      <c r="C94" s="146"/>
      <c r="D94" s="146"/>
      <c r="E94" s="146"/>
      <c r="F94" s="147"/>
    </row>
    <row r="95" ht="15.75" customHeight="1">
      <c r="A95" s="146"/>
      <c r="B95" s="146"/>
      <c r="C95" s="146"/>
      <c r="D95" s="146"/>
      <c r="E95" s="146"/>
      <c r="F95" s="147"/>
    </row>
    <row r="96" ht="15.75" customHeight="1">
      <c r="A96" s="146"/>
      <c r="B96" s="146"/>
      <c r="C96" s="146"/>
      <c r="D96" s="146"/>
      <c r="E96" s="146"/>
      <c r="F96" s="147"/>
    </row>
    <row r="97" ht="15.75" customHeight="1">
      <c r="A97" s="146"/>
      <c r="B97" s="146"/>
      <c r="C97" s="146"/>
      <c r="D97" s="146"/>
      <c r="E97" s="146"/>
      <c r="F97" s="147"/>
    </row>
    <row r="98" ht="15.75" customHeight="1">
      <c r="A98" s="146"/>
      <c r="B98" s="146"/>
      <c r="C98" s="146"/>
      <c r="D98" s="146"/>
      <c r="E98" s="146"/>
      <c r="F98" s="147"/>
    </row>
    <row r="99" ht="15.75" customHeight="1">
      <c r="A99" s="146"/>
      <c r="B99" s="146"/>
      <c r="C99" s="146"/>
      <c r="D99" s="146"/>
      <c r="E99" s="146"/>
      <c r="F99" s="147"/>
    </row>
    <row r="100" ht="15.75" customHeight="1">
      <c r="A100" s="146"/>
      <c r="B100" s="146"/>
      <c r="C100" s="146"/>
      <c r="D100" s="146"/>
      <c r="E100" s="146"/>
      <c r="F100" s="147"/>
    </row>
    <row r="101" ht="15.75" customHeight="1">
      <c r="A101" s="146"/>
      <c r="B101" s="146"/>
      <c r="C101" s="146"/>
      <c r="D101" s="146"/>
      <c r="E101" s="146"/>
      <c r="F101" s="147"/>
    </row>
    <row r="102" ht="15.75" customHeight="1">
      <c r="A102" s="146"/>
      <c r="B102" s="146"/>
      <c r="C102" s="146"/>
      <c r="D102" s="146"/>
      <c r="E102" s="146"/>
      <c r="F102" s="147"/>
    </row>
    <row r="103" ht="15.75" customHeight="1">
      <c r="A103" s="146"/>
      <c r="B103" s="146"/>
      <c r="C103" s="146"/>
      <c r="D103" s="146"/>
      <c r="E103" s="146"/>
      <c r="F103" s="147"/>
    </row>
    <row r="104" ht="15.75" customHeight="1">
      <c r="A104" s="146"/>
      <c r="B104" s="146"/>
      <c r="C104" s="146"/>
      <c r="D104" s="146"/>
      <c r="E104" s="146"/>
      <c r="F104" s="147"/>
    </row>
    <row r="105" ht="15.75" customHeight="1">
      <c r="A105" s="146"/>
      <c r="B105" s="146"/>
      <c r="C105" s="146"/>
      <c r="D105" s="146"/>
      <c r="E105" s="146"/>
      <c r="F105" s="147"/>
    </row>
    <row r="106" ht="15.75" customHeight="1">
      <c r="A106" s="146"/>
      <c r="B106" s="146"/>
      <c r="C106" s="146"/>
      <c r="D106" s="146"/>
      <c r="E106" s="146"/>
      <c r="F106" s="147"/>
    </row>
    <row r="107" ht="15.75" customHeight="1">
      <c r="A107" s="146"/>
      <c r="B107" s="146"/>
      <c r="C107" s="146"/>
      <c r="D107" s="146"/>
      <c r="E107" s="146"/>
      <c r="F107" s="147"/>
    </row>
    <row r="108" ht="15.75" customHeight="1">
      <c r="A108" s="146"/>
      <c r="B108" s="146"/>
      <c r="C108" s="146"/>
      <c r="D108" s="146"/>
      <c r="E108" s="146"/>
      <c r="F108" s="147"/>
    </row>
    <row r="109" ht="15.75" customHeight="1">
      <c r="A109" s="146"/>
      <c r="B109" s="146"/>
      <c r="C109" s="146"/>
      <c r="D109" s="146"/>
      <c r="E109" s="146"/>
      <c r="F109" s="147"/>
    </row>
    <row r="110" ht="15.75" customHeight="1">
      <c r="A110" s="146"/>
      <c r="B110" s="146"/>
      <c r="C110" s="146"/>
      <c r="D110" s="146"/>
      <c r="E110" s="146"/>
      <c r="F110" s="147"/>
    </row>
    <row r="111" ht="15.75" customHeight="1">
      <c r="A111" s="146"/>
      <c r="B111" s="146"/>
      <c r="C111" s="146"/>
      <c r="D111" s="146"/>
      <c r="E111" s="146"/>
      <c r="F111" s="147"/>
    </row>
    <row r="112" ht="15.75" customHeight="1">
      <c r="A112" s="146"/>
      <c r="B112" s="146"/>
      <c r="C112" s="146"/>
      <c r="D112" s="146"/>
      <c r="E112" s="146"/>
      <c r="F112" s="147"/>
    </row>
    <row r="113" ht="15.75" customHeight="1">
      <c r="A113" s="146"/>
      <c r="B113" s="146"/>
      <c r="C113" s="146"/>
      <c r="D113" s="146"/>
      <c r="E113" s="146"/>
      <c r="F113" s="147"/>
    </row>
    <row r="114" ht="15.75" customHeight="1">
      <c r="A114" s="146"/>
      <c r="B114" s="146"/>
      <c r="C114" s="146"/>
      <c r="D114" s="146"/>
      <c r="E114" s="146"/>
      <c r="F114" s="147"/>
    </row>
    <row r="115" ht="15.75" customHeight="1">
      <c r="A115" s="146"/>
      <c r="B115" s="146"/>
      <c r="C115" s="146"/>
      <c r="D115" s="146"/>
      <c r="E115" s="146"/>
      <c r="F115" s="147"/>
    </row>
    <row r="116" ht="15.75" customHeight="1">
      <c r="A116" s="146"/>
      <c r="B116" s="146"/>
      <c r="C116" s="146"/>
      <c r="D116" s="146"/>
      <c r="E116" s="146"/>
      <c r="F116" s="147"/>
    </row>
    <row r="117" ht="15.75" customHeight="1">
      <c r="A117" s="146"/>
      <c r="B117" s="146"/>
      <c r="C117" s="146"/>
      <c r="D117" s="146"/>
      <c r="E117" s="146"/>
      <c r="F117" s="147"/>
    </row>
    <row r="118" ht="15.75" customHeight="1">
      <c r="A118" s="146"/>
      <c r="B118" s="146"/>
      <c r="C118" s="146"/>
      <c r="D118" s="146"/>
      <c r="E118" s="146"/>
      <c r="F118" s="147"/>
    </row>
    <row r="119" ht="15.75" customHeight="1">
      <c r="A119" s="146"/>
      <c r="B119" s="146"/>
      <c r="C119" s="146"/>
      <c r="D119" s="146"/>
      <c r="E119" s="146"/>
      <c r="F119" s="147"/>
    </row>
    <row r="120" ht="15.75" customHeight="1">
      <c r="A120" s="146"/>
      <c r="B120" s="146"/>
      <c r="C120" s="146"/>
      <c r="D120" s="146"/>
      <c r="E120" s="146"/>
      <c r="F120" s="147"/>
    </row>
    <row r="121" ht="15.75" customHeight="1">
      <c r="A121" s="146"/>
      <c r="B121" s="146"/>
      <c r="C121" s="146"/>
      <c r="D121" s="146"/>
      <c r="E121" s="146"/>
      <c r="F121" s="147"/>
    </row>
    <row r="122" ht="15.75" customHeight="1">
      <c r="A122" s="146"/>
      <c r="B122" s="146"/>
      <c r="C122" s="146"/>
      <c r="D122" s="146"/>
      <c r="E122" s="146"/>
      <c r="F122" s="147"/>
    </row>
    <row r="123" ht="15.75" customHeight="1">
      <c r="A123" s="146"/>
      <c r="B123" s="146"/>
      <c r="C123" s="146"/>
      <c r="D123" s="146"/>
      <c r="E123" s="146"/>
      <c r="F123" s="147"/>
    </row>
    <row r="124" ht="15.75" customHeight="1">
      <c r="A124" s="146"/>
      <c r="B124" s="146"/>
      <c r="C124" s="146"/>
      <c r="D124" s="146"/>
      <c r="E124" s="146"/>
      <c r="F124" s="147"/>
    </row>
    <row r="125" ht="15.75" customHeight="1">
      <c r="A125" s="146"/>
      <c r="B125" s="146"/>
      <c r="C125" s="146"/>
      <c r="D125" s="146"/>
      <c r="E125" s="146"/>
      <c r="F125" s="147"/>
    </row>
    <row r="126" ht="15.75" customHeight="1">
      <c r="A126" s="146"/>
      <c r="B126" s="146"/>
      <c r="C126" s="146"/>
      <c r="D126" s="146"/>
      <c r="E126" s="146"/>
      <c r="F126" s="147"/>
    </row>
    <row r="127" ht="15.75" customHeight="1">
      <c r="A127" s="146"/>
      <c r="B127" s="146"/>
      <c r="C127" s="146"/>
      <c r="D127" s="146"/>
      <c r="E127" s="146"/>
      <c r="F127" s="147"/>
    </row>
    <row r="128" ht="15.75" customHeight="1">
      <c r="A128" s="146"/>
      <c r="B128" s="146"/>
      <c r="C128" s="146"/>
      <c r="D128" s="146"/>
      <c r="E128" s="146"/>
      <c r="F128" s="147"/>
    </row>
    <row r="129" ht="15.75" customHeight="1">
      <c r="A129" s="146"/>
      <c r="B129" s="146"/>
      <c r="C129" s="146"/>
      <c r="D129" s="146"/>
      <c r="E129" s="146"/>
      <c r="F129" s="147"/>
    </row>
    <row r="130" ht="15.75" customHeight="1">
      <c r="A130" s="146"/>
      <c r="B130" s="146"/>
      <c r="C130" s="146"/>
      <c r="D130" s="146"/>
      <c r="E130" s="146"/>
      <c r="F130" s="147"/>
    </row>
    <row r="131" ht="15.75" customHeight="1">
      <c r="A131" s="146"/>
      <c r="B131" s="146"/>
      <c r="C131" s="146"/>
      <c r="D131" s="146"/>
      <c r="E131" s="146"/>
      <c r="F131" s="147"/>
    </row>
    <row r="132" ht="15.75" customHeight="1">
      <c r="A132" s="146"/>
      <c r="B132" s="146"/>
      <c r="C132" s="146"/>
      <c r="D132" s="146"/>
      <c r="E132" s="146"/>
      <c r="F132" s="147"/>
    </row>
    <row r="133" ht="15.75" customHeight="1">
      <c r="A133" s="146"/>
      <c r="B133" s="146"/>
      <c r="C133" s="146"/>
      <c r="D133" s="146"/>
      <c r="E133" s="146"/>
      <c r="F133" s="147"/>
    </row>
    <row r="134" ht="15.75" customHeight="1">
      <c r="A134" s="146"/>
      <c r="B134" s="146"/>
      <c r="C134" s="146"/>
      <c r="D134" s="146"/>
      <c r="E134" s="146"/>
      <c r="F134" s="147"/>
    </row>
    <row r="135" ht="15.75" customHeight="1">
      <c r="A135" s="146"/>
      <c r="B135" s="146"/>
      <c r="C135" s="146"/>
      <c r="D135" s="146"/>
      <c r="E135" s="146"/>
      <c r="F135" s="147"/>
    </row>
    <row r="136" ht="15.75" customHeight="1">
      <c r="A136" s="146"/>
      <c r="B136" s="146"/>
      <c r="C136" s="146"/>
      <c r="D136" s="146"/>
      <c r="E136" s="146"/>
      <c r="F136" s="147"/>
    </row>
    <row r="137" ht="15.75" customHeight="1">
      <c r="A137" s="146"/>
      <c r="B137" s="146"/>
      <c r="C137" s="146"/>
      <c r="D137" s="146"/>
      <c r="E137" s="146"/>
      <c r="F137" s="147"/>
    </row>
    <row r="138" ht="15.75" customHeight="1">
      <c r="A138" s="146"/>
      <c r="B138" s="146"/>
      <c r="C138" s="146"/>
      <c r="D138" s="146"/>
      <c r="E138" s="146"/>
      <c r="F138" s="147"/>
    </row>
    <row r="139" ht="15.75" customHeight="1">
      <c r="A139" s="146"/>
      <c r="B139" s="146"/>
      <c r="C139" s="146"/>
      <c r="D139" s="146"/>
      <c r="E139" s="146"/>
      <c r="F139" s="147"/>
    </row>
    <row r="140" ht="15.75" customHeight="1">
      <c r="A140" s="146"/>
      <c r="B140" s="146"/>
      <c r="C140" s="146"/>
      <c r="D140" s="146"/>
      <c r="E140" s="146"/>
      <c r="F140" s="147"/>
    </row>
    <row r="141" ht="15.75" customHeight="1">
      <c r="A141" s="146"/>
      <c r="B141" s="146"/>
      <c r="C141" s="146"/>
      <c r="D141" s="146"/>
      <c r="E141" s="146"/>
      <c r="F141" s="147"/>
    </row>
    <row r="142" ht="15.75" customHeight="1">
      <c r="A142" s="146"/>
      <c r="B142" s="146"/>
      <c r="C142" s="146"/>
      <c r="D142" s="146"/>
      <c r="E142" s="146"/>
      <c r="F142" s="147"/>
    </row>
    <row r="143" ht="15.75" customHeight="1">
      <c r="A143" s="146"/>
      <c r="B143" s="146"/>
      <c r="C143" s="146"/>
      <c r="D143" s="146"/>
      <c r="E143" s="146"/>
      <c r="F143" s="147"/>
    </row>
    <row r="144" ht="15.75" customHeight="1">
      <c r="A144" s="146"/>
      <c r="B144" s="146"/>
      <c r="C144" s="146"/>
      <c r="D144" s="146"/>
      <c r="E144" s="146"/>
      <c r="F144" s="147"/>
    </row>
    <row r="145" ht="15.75" customHeight="1">
      <c r="A145" s="146"/>
      <c r="B145" s="146"/>
      <c r="C145" s="146"/>
      <c r="D145" s="146"/>
      <c r="E145" s="146"/>
      <c r="F145" s="147"/>
    </row>
    <row r="146" ht="15.75" customHeight="1">
      <c r="A146" s="146"/>
      <c r="B146" s="146"/>
      <c r="C146" s="146"/>
      <c r="D146" s="146"/>
      <c r="E146" s="146"/>
      <c r="F146" s="147"/>
    </row>
    <row r="147" ht="15.75" customHeight="1">
      <c r="A147" s="146"/>
      <c r="B147" s="146"/>
      <c r="C147" s="146"/>
      <c r="D147" s="146"/>
      <c r="E147" s="146"/>
      <c r="F147" s="147"/>
    </row>
    <row r="148" ht="15.75" customHeight="1">
      <c r="A148" s="146"/>
      <c r="B148" s="146"/>
      <c r="C148" s="146"/>
      <c r="D148" s="146"/>
      <c r="E148" s="146"/>
      <c r="F148" s="147"/>
    </row>
    <row r="149" ht="15.75" customHeight="1">
      <c r="A149" s="146"/>
      <c r="B149" s="146"/>
      <c r="C149" s="146"/>
      <c r="D149" s="146"/>
      <c r="E149" s="146"/>
      <c r="F149" s="147"/>
    </row>
    <row r="150" ht="15.75" customHeight="1">
      <c r="A150" s="146"/>
      <c r="B150" s="146"/>
      <c r="C150" s="146"/>
      <c r="D150" s="146"/>
      <c r="E150" s="146"/>
      <c r="F150" s="147"/>
    </row>
    <row r="151" ht="15.75" customHeight="1">
      <c r="A151" s="146"/>
      <c r="B151" s="146"/>
      <c r="C151" s="146"/>
      <c r="D151" s="146"/>
      <c r="E151" s="146"/>
      <c r="F151" s="147"/>
    </row>
    <row r="152" ht="15.75" customHeight="1">
      <c r="A152" s="146"/>
      <c r="B152" s="146"/>
      <c r="C152" s="146"/>
      <c r="D152" s="146"/>
      <c r="E152" s="146"/>
      <c r="F152" s="147"/>
    </row>
    <row r="153" ht="15.75" customHeight="1">
      <c r="A153" s="146"/>
      <c r="B153" s="146"/>
      <c r="C153" s="146"/>
      <c r="D153" s="146"/>
      <c r="E153" s="146"/>
      <c r="F153" s="147"/>
    </row>
    <row r="154" ht="15.75" customHeight="1">
      <c r="A154" s="146"/>
      <c r="B154" s="146"/>
      <c r="C154" s="146"/>
      <c r="D154" s="146"/>
      <c r="E154" s="146"/>
      <c r="F154" s="147"/>
    </row>
    <row r="155" ht="15.75" customHeight="1">
      <c r="A155" s="146"/>
      <c r="B155" s="146"/>
      <c r="C155" s="146"/>
      <c r="D155" s="146"/>
      <c r="E155" s="146"/>
      <c r="F155" s="147"/>
    </row>
    <row r="156" ht="15.75" customHeight="1">
      <c r="A156" s="146"/>
      <c r="B156" s="146"/>
      <c r="C156" s="146"/>
      <c r="D156" s="146"/>
      <c r="E156" s="146"/>
      <c r="F156" s="147"/>
    </row>
    <row r="157" ht="15.75" customHeight="1">
      <c r="A157" s="146"/>
      <c r="B157" s="146"/>
      <c r="C157" s="146"/>
      <c r="D157" s="146"/>
      <c r="E157" s="146"/>
      <c r="F157" s="147"/>
    </row>
    <row r="158" ht="15.75" customHeight="1">
      <c r="A158" s="146"/>
      <c r="B158" s="146"/>
      <c r="C158" s="146"/>
      <c r="D158" s="146"/>
      <c r="E158" s="146"/>
      <c r="F158" s="147"/>
    </row>
    <row r="159" ht="15.75" customHeight="1">
      <c r="A159" s="146"/>
      <c r="B159" s="146"/>
      <c r="C159" s="146"/>
      <c r="D159" s="146"/>
      <c r="E159" s="146"/>
      <c r="F159" s="147"/>
    </row>
    <row r="160" ht="15.75" customHeight="1">
      <c r="A160" s="146"/>
      <c r="B160" s="146"/>
      <c r="C160" s="146"/>
      <c r="D160" s="146"/>
      <c r="E160" s="146"/>
      <c r="F160" s="147"/>
    </row>
    <row r="161" ht="15.75" customHeight="1">
      <c r="A161" s="146"/>
      <c r="B161" s="146"/>
      <c r="C161" s="146"/>
      <c r="D161" s="146"/>
      <c r="E161" s="146"/>
      <c r="F161" s="147"/>
    </row>
    <row r="162" ht="15.75" customHeight="1">
      <c r="A162" s="146"/>
      <c r="B162" s="146"/>
      <c r="C162" s="146"/>
      <c r="D162" s="146"/>
      <c r="E162" s="146"/>
      <c r="F162" s="147"/>
    </row>
    <row r="163" ht="15.75" customHeight="1">
      <c r="A163" s="146"/>
      <c r="B163" s="146"/>
      <c r="C163" s="146"/>
      <c r="D163" s="146"/>
      <c r="E163" s="146"/>
      <c r="F163" s="147"/>
    </row>
    <row r="164" ht="15.75" customHeight="1">
      <c r="A164" s="146"/>
      <c r="B164" s="146"/>
      <c r="C164" s="146"/>
      <c r="D164" s="146"/>
      <c r="E164" s="146"/>
      <c r="F164" s="147"/>
    </row>
    <row r="165" ht="15.75" customHeight="1">
      <c r="A165" s="146"/>
      <c r="B165" s="146"/>
      <c r="C165" s="146"/>
      <c r="D165" s="146"/>
      <c r="E165" s="146"/>
      <c r="F165" s="147"/>
    </row>
    <row r="166" ht="15.75" customHeight="1">
      <c r="A166" s="146"/>
      <c r="B166" s="146"/>
      <c r="C166" s="146"/>
      <c r="D166" s="146"/>
      <c r="E166" s="146"/>
      <c r="F166" s="147"/>
    </row>
    <row r="167" ht="15.75" customHeight="1">
      <c r="A167" s="146"/>
      <c r="B167" s="146"/>
      <c r="C167" s="146"/>
      <c r="D167" s="146"/>
      <c r="E167" s="146"/>
      <c r="F167" s="147"/>
    </row>
    <row r="168" ht="15.75" customHeight="1">
      <c r="A168" s="146"/>
      <c r="B168" s="146"/>
      <c r="C168" s="146"/>
      <c r="D168" s="146"/>
      <c r="E168" s="146"/>
      <c r="F168" s="147"/>
    </row>
    <row r="169" ht="15.75" customHeight="1">
      <c r="A169" s="146"/>
      <c r="B169" s="146"/>
      <c r="C169" s="146"/>
      <c r="D169" s="146"/>
      <c r="E169" s="146"/>
      <c r="F169" s="147"/>
    </row>
    <row r="170" ht="15.75" customHeight="1">
      <c r="A170" s="146"/>
      <c r="B170" s="146"/>
      <c r="C170" s="146"/>
      <c r="D170" s="146"/>
      <c r="E170" s="146"/>
      <c r="F170" s="147"/>
    </row>
    <row r="171" ht="15.75" customHeight="1">
      <c r="A171" s="146"/>
      <c r="B171" s="146"/>
      <c r="C171" s="146"/>
      <c r="D171" s="146"/>
      <c r="E171" s="146"/>
      <c r="F171" s="147"/>
    </row>
    <row r="172" ht="15.75" customHeight="1">
      <c r="A172" s="146"/>
      <c r="B172" s="146"/>
      <c r="C172" s="146"/>
      <c r="D172" s="146"/>
      <c r="E172" s="146"/>
      <c r="F172" s="147"/>
    </row>
    <row r="173" ht="15.75" customHeight="1">
      <c r="A173" s="146"/>
      <c r="B173" s="146"/>
      <c r="C173" s="146"/>
      <c r="D173" s="146"/>
      <c r="E173" s="146"/>
      <c r="F173" s="147"/>
    </row>
    <row r="174" ht="15.75" customHeight="1">
      <c r="A174" s="146"/>
      <c r="B174" s="146"/>
      <c r="C174" s="146"/>
      <c r="D174" s="146"/>
      <c r="E174" s="146"/>
      <c r="F174" s="147"/>
    </row>
    <row r="175" ht="15.75" customHeight="1">
      <c r="A175" s="146"/>
      <c r="B175" s="146"/>
      <c r="C175" s="146"/>
      <c r="D175" s="146"/>
      <c r="E175" s="146"/>
      <c r="F175" s="147"/>
    </row>
    <row r="176" ht="15.75" customHeight="1">
      <c r="A176" s="146"/>
      <c r="B176" s="146"/>
      <c r="C176" s="146"/>
      <c r="D176" s="146"/>
      <c r="E176" s="146"/>
      <c r="F176" s="147"/>
    </row>
    <row r="177" ht="15.75" customHeight="1">
      <c r="A177" s="146"/>
      <c r="B177" s="146"/>
      <c r="C177" s="146"/>
      <c r="D177" s="146"/>
      <c r="E177" s="146"/>
      <c r="F177" s="147"/>
    </row>
    <row r="178" ht="15.75" customHeight="1">
      <c r="A178" s="146"/>
      <c r="B178" s="146"/>
      <c r="C178" s="146"/>
      <c r="D178" s="146"/>
      <c r="E178" s="146"/>
      <c r="F178" s="147"/>
    </row>
    <row r="179" ht="15.75" customHeight="1">
      <c r="A179" s="146"/>
      <c r="B179" s="146"/>
      <c r="C179" s="146"/>
      <c r="D179" s="146"/>
      <c r="E179" s="146"/>
      <c r="F179" s="147"/>
    </row>
    <row r="180" ht="15.75" customHeight="1">
      <c r="A180" s="146"/>
      <c r="B180" s="146"/>
      <c r="C180" s="146"/>
      <c r="D180" s="146"/>
      <c r="E180" s="146"/>
      <c r="F180" s="147"/>
    </row>
    <row r="181" ht="15.75" customHeight="1">
      <c r="A181" s="146"/>
      <c r="B181" s="146"/>
      <c r="C181" s="146"/>
      <c r="D181" s="146"/>
      <c r="E181" s="146"/>
      <c r="F181" s="147"/>
    </row>
    <row r="182" ht="15.75" customHeight="1">
      <c r="A182" s="146"/>
      <c r="B182" s="146"/>
      <c r="C182" s="146"/>
      <c r="D182" s="146"/>
      <c r="E182" s="146"/>
      <c r="F182" s="147"/>
    </row>
    <row r="183" ht="15.75" customHeight="1">
      <c r="A183" s="146"/>
      <c r="B183" s="146"/>
      <c r="C183" s="146"/>
      <c r="D183" s="146"/>
      <c r="E183" s="146"/>
      <c r="F183" s="147"/>
    </row>
    <row r="184" ht="15.75" customHeight="1">
      <c r="A184" s="146"/>
      <c r="B184" s="146"/>
      <c r="C184" s="146"/>
      <c r="D184" s="146"/>
      <c r="E184" s="146"/>
      <c r="F184" s="147"/>
    </row>
    <row r="185" ht="15.75" customHeight="1">
      <c r="A185" s="146"/>
      <c r="B185" s="146"/>
      <c r="C185" s="146"/>
      <c r="D185" s="146"/>
      <c r="E185" s="146"/>
      <c r="F185" s="147"/>
    </row>
    <row r="186" ht="15.75" customHeight="1">
      <c r="A186" s="146"/>
      <c r="B186" s="146"/>
      <c r="C186" s="146"/>
      <c r="D186" s="146"/>
      <c r="E186" s="146"/>
      <c r="F186" s="147"/>
    </row>
    <row r="187" ht="15.75" customHeight="1">
      <c r="A187" s="146"/>
      <c r="B187" s="146"/>
      <c r="C187" s="146"/>
      <c r="D187" s="146"/>
      <c r="E187" s="146"/>
      <c r="F187" s="147"/>
    </row>
    <row r="188" ht="15.75" customHeight="1">
      <c r="A188" s="146"/>
      <c r="B188" s="146"/>
      <c r="C188" s="146"/>
      <c r="D188" s="146"/>
      <c r="E188" s="146"/>
      <c r="F188" s="147"/>
    </row>
    <row r="189" ht="15.75" customHeight="1">
      <c r="A189" s="146"/>
      <c r="B189" s="146"/>
      <c r="C189" s="146"/>
      <c r="D189" s="146"/>
      <c r="E189" s="146"/>
      <c r="F189" s="147"/>
    </row>
    <row r="190" ht="15.75" customHeight="1">
      <c r="A190" s="146"/>
      <c r="B190" s="146"/>
      <c r="C190" s="146"/>
      <c r="D190" s="146"/>
      <c r="E190" s="146"/>
      <c r="F190" s="147"/>
    </row>
    <row r="191" ht="15.75" customHeight="1">
      <c r="A191" s="146"/>
      <c r="B191" s="146"/>
      <c r="C191" s="146"/>
      <c r="D191" s="146"/>
      <c r="E191" s="146"/>
      <c r="F191" s="147"/>
    </row>
    <row r="192" ht="15.75" customHeight="1">
      <c r="A192" s="146"/>
      <c r="B192" s="146"/>
      <c r="C192" s="146"/>
      <c r="D192" s="146"/>
      <c r="E192" s="146"/>
      <c r="F192" s="147"/>
    </row>
    <row r="193" ht="15.75" customHeight="1">
      <c r="A193" s="146"/>
      <c r="B193" s="146"/>
      <c r="C193" s="146"/>
      <c r="D193" s="146"/>
      <c r="E193" s="146"/>
      <c r="F193" s="147"/>
    </row>
    <row r="194" ht="15.75" customHeight="1">
      <c r="A194" s="146"/>
      <c r="B194" s="146"/>
      <c r="C194" s="146"/>
      <c r="D194" s="146"/>
      <c r="E194" s="146"/>
      <c r="F194" s="147"/>
    </row>
    <row r="195" ht="15.75" customHeight="1">
      <c r="A195" s="146"/>
      <c r="B195" s="146"/>
      <c r="C195" s="146"/>
      <c r="D195" s="146"/>
      <c r="E195" s="146"/>
      <c r="F195" s="147"/>
    </row>
    <row r="196" ht="15.75" customHeight="1">
      <c r="A196" s="146"/>
      <c r="B196" s="146"/>
      <c r="C196" s="146"/>
      <c r="D196" s="146"/>
      <c r="E196" s="146"/>
      <c r="F196" s="147"/>
    </row>
    <row r="197" ht="15.75" customHeight="1">
      <c r="A197" s="146"/>
      <c r="B197" s="146"/>
      <c r="C197" s="146"/>
      <c r="D197" s="146"/>
      <c r="E197" s="146"/>
      <c r="F197" s="147"/>
    </row>
    <row r="198" ht="15.75" customHeight="1">
      <c r="A198" s="146"/>
      <c r="B198" s="146"/>
      <c r="C198" s="146"/>
      <c r="D198" s="146"/>
      <c r="E198" s="146"/>
      <c r="F198" s="147"/>
    </row>
    <row r="199" ht="15.75" customHeight="1">
      <c r="A199" s="146"/>
      <c r="B199" s="146"/>
      <c r="C199" s="146"/>
      <c r="D199" s="146"/>
      <c r="E199" s="146"/>
      <c r="F199" s="147"/>
    </row>
    <row r="200" ht="15.75" customHeight="1">
      <c r="A200" s="146"/>
      <c r="B200" s="146"/>
      <c r="C200" s="146"/>
      <c r="D200" s="146"/>
      <c r="E200" s="146"/>
      <c r="F200" s="147"/>
    </row>
    <row r="201" ht="15.75" customHeight="1">
      <c r="A201" s="146"/>
      <c r="B201" s="146"/>
      <c r="C201" s="146"/>
      <c r="D201" s="146"/>
      <c r="E201" s="146"/>
      <c r="F201" s="147"/>
    </row>
    <row r="202" ht="15.75" customHeight="1">
      <c r="A202" s="146"/>
      <c r="B202" s="146"/>
      <c r="C202" s="146"/>
      <c r="D202" s="146"/>
      <c r="E202" s="146"/>
      <c r="F202" s="147"/>
    </row>
    <row r="203" ht="15.75" customHeight="1">
      <c r="A203" s="146"/>
      <c r="B203" s="146"/>
      <c r="C203" s="146"/>
      <c r="D203" s="146"/>
      <c r="E203" s="146"/>
      <c r="F203" s="147"/>
    </row>
    <row r="204" ht="15.75" customHeight="1">
      <c r="A204" s="146"/>
      <c r="B204" s="146"/>
      <c r="C204" s="146"/>
      <c r="D204" s="146"/>
      <c r="E204" s="146"/>
      <c r="F204" s="147"/>
    </row>
    <row r="205" ht="15.75" customHeight="1">
      <c r="A205" s="146"/>
      <c r="B205" s="146"/>
      <c r="C205" s="146"/>
      <c r="D205" s="146"/>
      <c r="E205" s="146"/>
      <c r="F205" s="147"/>
    </row>
    <row r="206" ht="15.75" customHeight="1">
      <c r="A206" s="146"/>
      <c r="B206" s="146"/>
      <c r="C206" s="146"/>
      <c r="D206" s="146"/>
      <c r="E206" s="146"/>
      <c r="F206" s="147"/>
    </row>
    <row r="207" ht="15.75" customHeight="1">
      <c r="A207" s="146"/>
      <c r="B207" s="146"/>
      <c r="C207" s="146"/>
      <c r="D207" s="146"/>
      <c r="E207" s="146"/>
      <c r="F207" s="147"/>
    </row>
    <row r="208" ht="15.75" customHeight="1">
      <c r="A208" s="146"/>
      <c r="B208" s="146"/>
      <c r="C208" s="146"/>
      <c r="D208" s="146"/>
      <c r="E208" s="146"/>
      <c r="F208" s="147"/>
    </row>
    <row r="209" ht="15.75" customHeight="1">
      <c r="A209" s="146"/>
      <c r="B209" s="146"/>
      <c r="C209" s="146"/>
      <c r="D209" s="146"/>
      <c r="E209" s="146"/>
      <c r="F209" s="147"/>
    </row>
    <row r="210" ht="15.75" customHeight="1">
      <c r="A210" s="146"/>
      <c r="B210" s="146"/>
      <c r="C210" s="146"/>
      <c r="D210" s="146"/>
      <c r="E210" s="146"/>
      <c r="F210" s="147"/>
    </row>
    <row r="211" ht="15.75" customHeight="1">
      <c r="A211" s="146"/>
      <c r="B211" s="146"/>
      <c r="C211" s="146"/>
      <c r="D211" s="146"/>
      <c r="E211" s="146"/>
      <c r="F211" s="147"/>
    </row>
    <row r="212" ht="15.75" customHeight="1">
      <c r="A212" s="146"/>
      <c r="B212" s="146"/>
      <c r="C212" s="146"/>
      <c r="D212" s="146"/>
      <c r="E212" s="146"/>
      <c r="F212" s="147"/>
    </row>
    <row r="213" ht="15.75" customHeight="1">
      <c r="A213" s="146"/>
      <c r="B213" s="146"/>
      <c r="C213" s="146"/>
      <c r="D213" s="146"/>
      <c r="E213" s="146"/>
      <c r="F213" s="147"/>
    </row>
    <row r="214" ht="15.75" customHeight="1">
      <c r="A214" s="146"/>
      <c r="B214" s="146"/>
      <c r="C214" s="146"/>
      <c r="D214" s="146"/>
      <c r="E214" s="146"/>
      <c r="F214" s="147"/>
    </row>
    <row r="215" ht="15.75" customHeight="1">
      <c r="A215" s="146"/>
      <c r="B215" s="146"/>
      <c r="C215" s="146"/>
      <c r="D215" s="146"/>
      <c r="E215" s="146"/>
      <c r="F215" s="147"/>
    </row>
    <row r="216" ht="15.75" customHeight="1">
      <c r="A216" s="146"/>
      <c r="B216" s="146"/>
      <c r="C216" s="146"/>
      <c r="D216" s="146"/>
      <c r="E216" s="146"/>
      <c r="F216" s="147"/>
    </row>
    <row r="217" ht="15.75" customHeight="1">
      <c r="A217" s="146"/>
      <c r="B217" s="146"/>
      <c r="C217" s="146"/>
      <c r="D217" s="146"/>
      <c r="E217" s="146"/>
      <c r="F217" s="147"/>
    </row>
    <row r="218" ht="15.75" customHeight="1">
      <c r="A218" s="146"/>
      <c r="B218" s="146"/>
      <c r="C218" s="146"/>
      <c r="D218" s="146"/>
      <c r="E218" s="146"/>
      <c r="F218" s="147"/>
    </row>
    <row r="219" ht="15.75" customHeight="1">
      <c r="A219" s="146"/>
      <c r="B219" s="146"/>
      <c r="C219" s="146"/>
      <c r="D219" s="146"/>
      <c r="E219" s="146"/>
      <c r="F219" s="147"/>
    </row>
    <row r="220" ht="15.75" customHeight="1">
      <c r="A220" s="146"/>
      <c r="B220" s="146"/>
      <c r="C220" s="146"/>
      <c r="D220" s="146"/>
      <c r="E220" s="146"/>
      <c r="F220" s="14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showGridLines="0" workbookViewId="0">
      <pane xSplit="9.0" ySplit="6.0" topLeftCell="J7" activePane="bottomRight" state="frozen"/>
      <selection activeCell="J1" sqref="J1" pane="topRight"/>
      <selection activeCell="A7" sqref="A7" pane="bottomLeft"/>
      <selection activeCell="J7" sqref="J7" pane="bottomRight"/>
    </sheetView>
  </sheetViews>
  <sheetFormatPr customHeight="1" defaultColWidth="12.63" defaultRowHeight="15.0"/>
  <cols>
    <col customWidth="1" min="1" max="1" width="8.13"/>
    <col customWidth="1" min="2" max="2" width="12.88"/>
    <col customWidth="1" min="3" max="3" width="24.5"/>
    <col customWidth="1" min="4" max="4" width="10.0"/>
    <col customWidth="1" min="5" max="5" width="8.88"/>
    <col customWidth="1" min="6" max="6" width="11.38"/>
    <col customWidth="1" min="7" max="7" width="16.25"/>
    <col customWidth="1" min="8" max="8" width="9.5"/>
    <col customWidth="1" min="9" max="21" width="9.63"/>
  </cols>
  <sheetData>
    <row r="1" ht="21.75" customHeight="1">
      <c r="A1" s="148"/>
      <c r="B1" s="149" t="s">
        <v>55</v>
      </c>
      <c r="C1" s="149"/>
      <c r="D1" s="149"/>
      <c r="E1" s="149"/>
      <c r="F1" s="149"/>
      <c r="G1" s="149"/>
      <c r="H1" s="149"/>
      <c r="I1" s="149"/>
      <c r="J1" s="149"/>
      <c r="K1" s="149"/>
      <c r="L1" s="149"/>
      <c r="M1" s="149"/>
      <c r="N1" s="149"/>
      <c r="O1" s="149"/>
      <c r="P1" s="149"/>
      <c r="Q1" s="149"/>
      <c r="R1" s="149"/>
      <c r="S1" s="149"/>
      <c r="T1" s="149"/>
      <c r="U1" s="149"/>
    </row>
    <row r="2" ht="21.75" customHeight="1">
      <c r="A2" s="150"/>
      <c r="B2" s="151"/>
      <c r="C2" s="151"/>
      <c r="D2" s="151"/>
      <c r="E2" s="151"/>
      <c r="F2" s="151"/>
      <c r="G2" s="151"/>
      <c r="H2" s="151"/>
      <c r="I2" s="151"/>
      <c r="J2" s="151"/>
      <c r="K2" s="151"/>
      <c r="L2" s="151"/>
      <c r="M2" s="151"/>
      <c r="N2" s="151"/>
      <c r="O2" s="151"/>
      <c r="P2" s="151"/>
      <c r="Q2" s="151"/>
      <c r="R2" s="151"/>
      <c r="S2" s="151"/>
      <c r="T2" s="151"/>
      <c r="U2" s="151"/>
    </row>
    <row r="3" ht="21.75" customHeight="1">
      <c r="A3" s="152"/>
      <c r="B3" s="152"/>
      <c r="C3" s="152"/>
      <c r="D3" s="152"/>
      <c r="E3" s="152"/>
      <c r="F3" s="152"/>
      <c r="G3" s="152"/>
      <c r="H3" s="152"/>
      <c r="I3" s="152"/>
      <c r="J3" s="152"/>
      <c r="K3" s="151"/>
      <c r="L3" s="151"/>
      <c r="M3" s="151"/>
      <c r="N3" s="151"/>
      <c r="O3" s="151"/>
      <c r="P3" s="151"/>
      <c r="Q3" s="151"/>
      <c r="R3" s="151"/>
      <c r="S3" s="151"/>
      <c r="T3" s="151"/>
      <c r="U3" s="151"/>
    </row>
    <row r="4" ht="24.75" customHeight="1">
      <c r="A4" s="153" t="str">
        <f>IFERROR(__xludf.DUMMYFUNCTION("CONCATENATE(""nro profesionales =  "",COUNTUNIQUE(A7:A221))"),"nro profesionales =  3")</f>
        <v>nro profesionales =  3</v>
      </c>
      <c r="B4" s="154"/>
      <c r="C4" s="154"/>
      <c r="D4" s="155"/>
      <c r="E4" s="154"/>
      <c r="F4" s="154"/>
      <c r="G4" s="154"/>
      <c r="H4" s="154"/>
      <c r="I4" s="154"/>
      <c r="J4" s="154"/>
      <c r="K4" s="154"/>
      <c r="L4" s="154"/>
      <c r="M4" s="154"/>
      <c r="N4" s="154"/>
      <c r="O4" s="154"/>
      <c r="P4" s="154"/>
      <c r="Q4" s="154"/>
      <c r="R4" s="154"/>
      <c r="S4" s="154"/>
      <c r="T4" s="154"/>
      <c r="U4" s="154"/>
    </row>
    <row r="5" ht="24.75" customHeight="1">
      <c r="A5" s="156"/>
      <c r="B5" s="156"/>
      <c r="C5" s="156" t="s">
        <v>56</v>
      </c>
      <c r="D5" s="157" t="s">
        <v>57</v>
      </c>
      <c r="E5" s="156" t="s">
        <v>58</v>
      </c>
      <c r="F5" s="156" t="s">
        <v>59</v>
      </c>
      <c r="G5" s="156" t="s">
        <v>60</v>
      </c>
      <c r="H5" s="156" t="s">
        <v>61</v>
      </c>
      <c r="I5" s="156" t="s">
        <v>62</v>
      </c>
      <c r="J5" s="156" t="s">
        <v>63</v>
      </c>
      <c r="K5" s="156" t="s">
        <v>64</v>
      </c>
      <c r="L5" s="158" t="s">
        <v>65</v>
      </c>
      <c r="M5" s="159" t="s">
        <v>21</v>
      </c>
      <c r="N5" s="160" t="s">
        <v>24</v>
      </c>
      <c r="O5" s="156" t="s">
        <v>66</v>
      </c>
      <c r="P5" s="156" t="s">
        <v>67</v>
      </c>
      <c r="Q5" s="156" t="s">
        <v>68</v>
      </c>
      <c r="R5" s="156" t="s">
        <v>69</v>
      </c>
      <c r="S5" s="156"/>
      <c r="T5" s="156"/>
      <c r="U5" s="156"/>
    </row>
    <row r="6" ht="60.75" customHeight="1">
      <c r="A6" s="161" t="str">
        <f>IFERROR(__xludf.DUMMYFUNCTION("UNIQUE(QUERY(FUNC!A1:AC1000,""SELECT B,C,E,SUM(D),SUM(F),SUM(G),SUM(H),SUM(I),SUM(J),SUM(K),SUM(L) WHERE B IS NOT NULL group by B,C,E LABEL SUM(D) 'JORNADA',SUM(F) 'DIAS ADM',SUM(G) 'DIAS FL',SUM(H) 'DIAS CAPAC',SUM(I) 'TOTAL DIAS AUSENCIA JUSTIF',SUM(J) "&amp;"'TOTAL DIAS DISPONIBLES',SUM(K) 'TOTAL SEMANAS DISPONIBLES',SUM(L) 'TOTAL HORAS DISPONIBLES'""))"),"CATEG ")</f>
        <v>CATEG </v>
      </c>
      <c r="B6" s="162" t="str">
        <f>IFERROR(__xludf.DUMMYFUNCTION("""COMPUTED_VALUE"""),"CARGO ")</f>
        <v>CARGO </v>
      </c>
      <c r="C6" s="162" t="str">
        <f>IFERROR(__xludf.DUMMYFUNCTION("""COMPUTED_VALUE"""),"FUNCIONARIO ")</f>
        <v>FUNCIONARIO </v>
      </c>
      <c r="D6" s="163" t="str">
        <f>IFERROR(__xludf.DUMMYFUNCTION("""COMPUTED_VALUE"""),"JORNADA")</f>
        <v>JORNADA</v>
      </c>
      <c r="E6" s="163" t="str">
        <f>IFERROR(__xludf.DUMMYFUNCTION("""COMPUTED_VALUE"""),"DIAS ADM")</f>
        <v>DIAS ADM</v>
      </c>
      <c r="F6" s="163" t="str">
        <f>IFERROR(__xludf.DUMMYFUNCTION("""COMPUTED_VALUE"""),"DIAS FL")</f>
        <v>DIAS FL</v>
      </c>
      <c r="G6" s="163" t="str">
        <f>IFERROR(__xludf.DUMMYFUNCTION("""COMPUTED_VALUE"""),"DIAS CAPAC")</f>
        <v>DIAS CAPAC</v>
      </c>
      <c r="H6" s="163" t="str">
        <f>IFERROR(__xludf.DUMMYFUNCTION("""COMPUTED_VALUE"""),"TOTAL DIAS AUSENCIA JUSTIF")</f>
        <v>TOTAL DIAS AUSENCIA JUSTIF</v>
      </c>
      <c r="I6" s="163" t="str">
        <f>IFERROR(__xludf.DUMMYFUNCTION("""COMPUTED_VALUE"""),"TOTAL DIAS DISPONIBLES")</f>
        <v>TOTAL DIAS DISPONIBLES</v>
      </c>
      <c r="J6" s="163" t="str">
        <f>IFERROR(__xludf.DUMMYFUNCTION("""COMPUTED_VALUE"""),"TOTAL SEMANAS DISPONIBLES")</f>
        <v>TOTAL SEMANAS DISPONIBLES</v>
      </c>
      <c r="K6" s="163" t="str">
        <f>IFERROR(__xludf.DUMMYFUNCTION("""COMPUTED_VALUE"""),"TOTAL HORAS DISPONIBLES")</f>
        <v>TOTAL HORAS DISPONIBLES</v>
      </c>
      <c r="L6" s="164" t="s">
        <v>65</v>
      </c>
      <c r="M6" s="165" t="s">
        <v>21</v>
      </c>
      <c r="N6" s="166" t="s">
        <v>24</v>
      </c>
      <c r="O6" s="167" t="s">
        <v>66</v>
      </c>
      <c r="P6" s="167" t="s">
        <v>67</v>
      </c>
      <c r="Q6" s="167" t="s">
        <v>68</v>
      </c>
      <c r="R6" s="167" t="s">
        <v>69</v>
      </c>
      <c r="S6" s="168" t="s">
        <v>70</v>
      </c>
      <c r="T6" s="168" t="s">
        <v>71</v>
      </c>
      <c r="U6" s="163"/>
    </row>
    <row r="7" ht="24.75" customHeight="1">
      <c r="A7" s="169" t="str">
        <f>IFERROR(__xludf.DUMMYFUNCTION("""COMPUTED_VALUE"""),"CAT_A")</f>
        <v>CAT_A</v>
      </c>
      <c r="B7" s="169" t="str">
        <f>IFERROR(__xludf.DUMMYFUNCTION("""COMPUTED_VALUE"""),"CIRUJANO DENTISTA")</f>
        <v>CIRUJANO DENTISTA</v>
      </c>
      <c r="C7" s="169" t="str">
        <f>IFERROR(__xludf.DUMMYFUNCTION("""COMPUTED_VALUE"""),"EDGAR CARVAJAL TORRES")</f>
        <v>EDGAR CARVAJAL TORRES</v>
      </c>
      <c r="D7" s="169">
        <f>IFERROR(__xludf.DUMMYFUNCTION("""COMPUTED_VALUE"""),44.0)</f>
        <v>44</v>
      </c>
      <c r="E7" s="169">
        <f>IFERROR(__xludf.DUMMYFUNCTION("""COMPUTED_VALUE"""),6.0)</f>
        <v>6</v>
      </c>
      <c r="F7" s="170">
        <f>IFERROR(__xludf.DUMMYFUNCTION("""COMPUTED_VALUE"""),15.0)</f>
        <v>15</v>
      </c>
      <c r="G7" s="170">
        <f>IFERROR(__xludf.DUMMYFUNCTION("""COMPUTED_VALUE"""),5.0)</f>
        <v>5</v>
      </c>
      <c r="H7" s="170">
        <f>IFERROR(__xludf.DUMMYFUNCTION("""COMPUTED_VALUE"""),26.0)</f>
        <v>26</v>
      </c>
      <c r="I7" s="170">
        <f>IFERROR(__xludf.DUMMYFUNCTION("""COMPUTED_VALUE"""),222.5)</f>
        <v>222.5</v>
      </c>
      <c r="J7" s="170">
        <f>IFERROR(__xludf.DUMMYFUNCTION("""COMPUTED_VALUE"""),44.5)</f>
        <v>44.5</v>
      </c>
      <c r="K7" s="170">
        <f>IFERROR(__xludf.DUMMYFUNCTION("""COMPUTED_VALUE"""),1958.0)</f>
        <v>1958</v>
      </c>
      <c r="L7" s="171">
        <f t="array" ref="L7">IFERROR(XLOOKUP($C7,HNCxTIPO!$D:$D,HNCxTIPO!E:E),"")</f>
        <v>0.9</v>
      </c>
      <c r="M7" s="171">
        <f t="array" ref="M7">IFERROR(XLOOKUP($C7,HNCxTIPO!$D:$D,HNCxTIPO!F:F),"")</f>
        <v>2.2</v>
      </c>
      <c r="N7" s="171">
        <f t="array" ref="N7">IFERROR(XLOOKUP($C7,HNCxTIPO!$D:$D,HNCxTIPO!G:G),"")</f>
        <v>4.66</v>
      </c>
      <c r="O7" s="172">
        <f t="shared" ref="O7:O221" si="3">IF(I7="","",SUM(L7:N7))</f>
        <v>7.76</v>
      </c>
      <c r="P7" s="172">
        <f t="shared" ref="P7:P221" si="4">IF(I7="","",D7-L7-M7-N7)</f>
        <v>36.24</v>
      </c>
      <c r="Q7" s="172">
        <f t="shared" ref="Q7:R7" si="1">IF(I7="","",$J7*O7)</f>
        <v>345.32</v>
      </c>
      <c r="R7" s="172">
        <f t="shared" si="1"/>
        <v>1612.68</v>
      </c>
      <c r="S7" s="173">
        <f t="shared" ref="S7:T7" si="2">IF($C7="","",Q7/SUM($Q7:$R7))</f>
        <v>0.1763636364</v>
      </c>
      <c r="T7" s="173">
        <f t="shared" si="2"/>
        <v>0.8236363636</v>
      </c>
      <c r="U7" s="170"/>
    </row>
    <row r="8" ht="24.75" customHeight="1">
      <c r="A8" s="174" t="str">
        <f>IFERROR(__xludf.DUMMYFUNCTION("""COMPUTED_VALUE"""),"CAT_A")</f>
        <v>CAT_A</v>
      </c>
      <c r="B8" s="174" t="str">
        <f>IFERROR(__xludf.DUMMYFUNCTION("""COMPUTED_VALUE"""),"CIRUJANO DENTISTA")</f>
        <v>CIRUJANO DENTISTA</v>
      </c>
      <c r="C8" s="174" t="str">
        <f>IFERROR(__xludf.DUMMYFUNCTION("""COMPUTED_VALUE"""),"JAIME REYES TORO")</f>
        <v>JAIME REYES TORO</v>
      </c>
      <c r="D8" s="174">
        <f>IFERROR(__xludf.DUMMYFUNCTION("""COMPUTED_VALUE"""),22.0)</f>
        <v>22</v>
      </c>
      <c r="E8" s="174">
        <f>IFERROR(__xludf.DUMMYFUNCTION("""COMPUTED_VALUE"""),6.0)</f>
        <v>6</v>
      </c>
      <c r="F8" s="175">
        <f>IFERROR(__xludf.DUMMYFUNCTION("""COMPUTED_VALUE"""),25.0)</f>
        <v>25</v>
      </c>
      <c r="G8" s="175">
        <f>IFERROR(__xludf.DUMMYFUNCTION("""COMPUTED_VALUE"""),5.0)</f>
        <v>5</v>
      </c>
      <c r="H8" s="175">
        <f>IFERROR(__xludf.DUMMYFUNCTION("""COMPUTED_VALUE"""),36.0)</f>
        <v>36</v>
      </c>
      <c r="I8" s="175">
        <f>IFERROR(__xludf.DUMMYFUNCTION("""COMPUTED_VALUE"""),212.5)</f>
        <v>212.5</v>
      </c>
      <c r="J8" s="175">
        <f>IFERROR(__xludf.DUMMYFUNCTION("""COMPUTED_VALUE"""),42.5)</f>
        <v>42.5</v>
      </c>
      <c r="K8" s="175">
        <f>IFERROR(__xludf.DUMMYFUNCTION("""COMPUTED_VALUE"""),935.0)</f>
        <v>935</v>
      </c>
      <c r="L8" s="171">
        <f t="array" ref="L8">IFERROR(XLOOKUP($C8,HNCxTIPO!$D:$D,HNCxTIPO!E:E),"")</f>
        <v>2</v>
      </c>
      <c r="M8" s="171" t="str">
        <f t="array" ref="M8">IFERROR(XLOOKUP($C8,HNCxTIPO!$D:$D,HNCxTIPO!F:F),"")</f>
        <v/>
      </c>
      <c r="N8" s="171">
        <f t="array" ref="N8">IFERROR(XLOOKUP($C8,HNCxTIPO!$D:$D,HNCxTIPO!G:G),"")</f>
        <v>2.75</v>
      </c>
      <c r="O8" s="172">
        <f t="shared" si="3"/>
        <v>4.75</v>
      </c>
      <c r="P8" s="172">
        <f t="shared" si="4"/>
        <v>17.25</v>
      </c>
      <c r="Q8" s="172">
        <f t="shared" ref="Q8:R8" si="5">IF(I8="","",$J8*O8)</f>
        <v>201.875</v>
      </c>
      <c r="R8" s="172">
        <f t="shared" si="5"/>
        <v>733.125</v>
      </c>
      <c r="S8" s="176">
        <f t="shared" ref="S8:S221" si="7">IF(C8="","",Q8/SUM(Q8:R8))</f>
        <v>0.2159090909</v>
      </c>
      <c r="T8" s="176">
        <f t="shared" ref="T8:T221" si="8">IF($C8="","",R8/SUM($Q8:$R8))</f>
        <v>0.7840909091</v>
      </c>
      <c r="U8" s="175"/>
    </row>
    <row r="9" ht="24.75" customHeight="1">
      <c r="A9" s="169" t="str">
        <f>IFERROR(__xludf.DUMMYFUNCTION("""COMPUTED_VALUE"""),"CAT_A")</f>
        <v>CAT_A</v>
      </c>
      <c r="B9" s="169" t="str">
        <f>IFERROR(__xludf.DUMMYFUNCTION("""COMPUTED_VALUE"""),"MEDICO CIRUJANO")</f>
        <v>MEDICO CIRUJANO</v>
      </c>
      <c r="C9" s="169" t="str">
        <f>IFERROR(__xludf.DUMMYFUNCTION("""COMPUTED_VALUE"""),"CONSTANZA PALMA MONTERO")</f>
        <v>CONSTANZA PALMA MONTERO</v>
      </c>
      <c r="D9" s="169">
        <f>IFERROR(__xludf.DUMMYFUNCTION("""COMPUTED_VALUE"""),44.0)</f>
        <v>44</v>
      </c>
      <c r="E9" s="169">
        <f>IFERROR(__xludf.DUMMYFUNCTION("""COMPUTED_VALUE"""),12.0)</f>
        <v>12</v>
      </c>
      <c r="F9" s="170">
        <f>IFERROR(__xludf.DUMMYFUNCTION("""COMPUTED_VALUE"""),15.0)</f>
        <v>15</v>
      </c>
      <c r="G9" s="170">
        <f>IFERROR(__xludf.DUMMYFUNCTION("""COMPUTED_VALUE"""),6.0)</f>
        <v>6</v>
      </c>
      <c r="H9" s="170">
        <f>IFERROR(__xludf.DUMMYFUNCTION("""COMPUTED_VALUE"""),33.0)</f>
        <v>33</v>
      </c>
      <c r="I9" s="170">
        <f>IFERROR(__xludf.DUMMYFUNCTION("""COMPUTED_VALUE"""),215.5)</f>
        <v>215.5</v>
      </c>
      <c r="J9" s="170">
        <f>IFERROR(__xludf.DUMMYFUNCTION("""COMPUTED_VALUE"""),43.1)</f>
        <v>43.1</v>
      </c>
      <c r="K9" s="170">
        <f>IFERROR(__xludf.DUMMYFUNCTION("""COMPUTED_VALUE"""),1896.4)</f>
        <v>1896.4</v>
      </c>
      <c r="L9" s="171">
        <f t="array" ref="L9">IFERROR(XLOOKUP($C9,HNCxTIPO!$D:$D,HNCxTIPO!E:E),"")</f>
        <v>3.9</v>
      </c>
      <c r="M9" s="171">
        <f t="array" ref="M9">IFERROR(XLOOKUP($C9,HNCxTIPO!$D:$D,HNCxTIPO!F:F),"")</f>
        <v>2.2</v>
      </c>
      <c r="N9" s="171">
        <f t="array" ref="N9">IFERROR(XLOOKUP($C9,HNCxTIPO!$D:$D,HNCxTIPO!G:G),"")</f>
        <v>6.25</v>
      </c>
      <c r="O9" s="172">
        <f t="shared" si="3"/>
        <v>12.35</v>
      </c>
      <c r="P9" s="172">
        <f t="shared" si="4"/>
        <v>31.65</v>
      </c>
      <c r="Q9" s="172">
        <f t="shared" ref="Q9:R9" si="6">IF(I9="","",$J9*O9)</f>
        <v>532.285</v>
      </c>
      <c r="R9" s="172">
        <f t="shared" si="6"/>
        <v>1364.115</v>
      </c>
      <c r="S9" s="173">
        <f t="shared" si="7"/>
        <v>0.2806818182</v>
      </c>
      <c r="T9" s="173">
        <f t="shared" si="8"/>
        <v>0.7193181818</v>
      </c>
      <c r="U9" s="170"/>
    </row>
    <row r="10" ht="24.75" customHeight="1">
      <c r="A10" s="174" t="str">
        <f>IFERROR(__xludf.DUMMYFUNCTION("""COMPUTED_VALUE"""),"CAT_A")</f>
        <v>CAT_A</v>
      </c>
      <c r="B10" s="174" t="str">
        <f>IFERROR(__xludf.DUMMYFUNCTION("""COMPUTED_VALUE"""),"MEDICO CIRUJANO")</f>
        <v>MEDICO CIRUJANO</v>
      </c>
      <c r="C10" s="174" t="str">
        <f>IFERROR(__xludf.DUMMYFUNCTION("""COMPUTED_VALUE"""),"GERARDO VALENCIA BERMUDEZ")</f>
        <v>GERARDO VALENCIA BERMUDEZ</v>
      </c>
      <c r="D10" s="174">
        <f>IFERROR(__xludf.DUMMYFUNCTION("""COMPUTED_VALUE"""),44.0)</f>
        <v>44</v>
      </c>
      <c r="E10" s="174">
        <f>IFERROR(__xludf.DUMMYFUNCTION("""COMPUTED_VALUE"""),6.0)</f>
        <v>6</v>
      </c>
      <c r="F10" s="175">
        <f>IFERROR(__xludf.DUMMYFUNCTION("""COMPUTED_VALUE"""),20.0)</f>
        <v>20</v>
      </c>
      <c r="G10" s="175">
        <f>IFERROR(__xludf.DUMMYFUNCTION("""COMPUTED_VALUE"""),5.0)</f>
        <v>5</v>
      </c>
      <c r="H10" s="175">
        <f>IFERROR(__xludf.DUMMYFUNCTION("""COMPUTED_VALUE"""),31.0)</f>
        <v>31</v>
      </c>
      <c r="I10" s="175">
        <f>IFERROR(__xludf.DUMMYFUNCTION("""COMPUTED_VALUE"""),217.5)</f>
        <v>217.5</v>
      </c>
      <c r="J10" s="175">
        <f>IFERROR(__xludf.DUMMYFUNCTION("""COMPUTED_VALUE"""),43.5)</f>
        <v>43.5</v>
      </c>
      <c r="K10" s="175">
        <f>IFERROR(__xludf.DUMMYFUNCTION("""COMPUTED_VALUE"""),1914.0)</f>
        <v>1914</v>
      </c>
      <c r="L10" s="171">
        <f t="array" ref="L10">IFERROR(XLOOKUP($C10,HNCxTIPO!$D:$D,HNCxTIPO!E:E),"")</f>
        <v>2.15</v>
      </c>
      <c r="M10" s="171">
        <f t="array" ref="M10">IFERROR(XLOOKUP($C10,HNCxTIPO!$D:$D,HNCxTIPO!F:F),"")</f>
        <v>2.2</v>
      </c>
      <c r="N10" s="171">
        <f t="array" ref="N10">IFERROR(XLOOKUP($C10,HNCxTIPO!$D:$D,HNCxTIPO!G:G),"")</f>
        <v>6.25</v>
      </c>
      <c r="O10" s="172">
        <f t="shared" si="3"/>
        <v>10.6</v>
      </c>
      <c r="P10" s="172">
        <f t="shared" si="4"/>
        <v>33.4</v>
      </c>
      <c r="Q10" s="172">
        <f t="shared" ref="Q10:R10" si="9">IF(I10="","",$J10*O10)</f>
        <v>461.1</v>
      </c>
      <c r="R10" s="172">
        <f t="shared" si="9"/>
        <v>1452.9</v>
      </c>
      <c r="S10" s="176">
        <f t="shared" si="7"/>
        <v>0.2409090909</v>
      </c>
      <c r="T10" s="176">
        <f t="shared" si="8"/>
        <v>0.7590909091</v>
      </c>
      <c r="U10" s="175"/>
    </row>
    <row r="11" ht="24.75" customHeight="1">
      <c r="A11" s="169" t="str">
        <f>IFERROR(__xludf.DUMMYFUNCTION("""COMPUTED_VALUE"""),"CAT_B")</f>
        <v>CAT_B</v>
      </c>
      <c r="B11" s="169" t="str">
        <f>IFERROR(__xludf.DUMMYFUNCTION("""COMPUTED_VALUE"""),"ENFERMERA(O)")</f>
        <v>ENFERMERA(O)</v>
      </c>
      <c r="C11" s="169" t="str">
        <f>IFERROR(__xludf.DUMMYFUNCTION("""COMPUTED_VALUE"""),"CAROL AMBO AMPUERO")</f>
        <v>CAROL AMBO AMPUERO</v>
      </c>
      <c r="D11" s="169">
        <f>IFERROR(__xludf.DUMMYFUNCTION("""COMPUTED_VALUE"""),44.0)</f>
        <v>44</v>
      </c>
      <c r="E11" s="169">
        <f>IFERROR(__xludf.DUMMYFUNCTION("""COMPUTED_VALUE"""),6.0)</f>
        <v>6</v>
      </c>
      <c r="F11" s="170">
        <f>IFERROR(__xludf.DUMMYFUNCTION("""COMPUTED_VALUE"""),15.0)</f>
        <v>15</v>
      </c>
      <c r="G11" s="170">
        <f>IFERROR(__xludf.DUMMYFUNCTION("""COMPUTED_VALUE"""),5.0)</f>
        <v>5</v>
      </c>
      <c r="H11" s="170">
        <f>IFERROR(__xludf.DUMMYFUNCTION("""COMPUTED_VALUE"""),26.0)</f>
        <v>26</v>
      </c>
      <c r="I11" s="170">
        <f>IFERROR(__xludf.DUMMYFUNCTION("""COMPUTED_VALUE"""),222.5)</f>
        <v>222.5</v>
      </c>
      <c r="J11" s="170">
        <f>IFERROR(__xludf.DUMMYFUNCTION("""COMPUTED_VALUE"""),44.5)</f>
        <v>44.5</v>
      </c>
      <c r="K11" s="170">
        <f>IFERROR(__xludf.DUMMYFUNCTION("""COMPUTED_VALUE"""),1958.0)</f>
        <v>1958</v>
      </c>
      <c r="L11" s="171">
        <f t="array" ref="L11">IFERROR(XLOOKUP($C11,HNCxTIPO!$D:$D,HNCxTIPO!E:E),"")</f>
        <v>22.25</v>
      </c>
      <c r="M11" s="171">
        <f t="array" ref="M11">IFERROR(XLOOKUP($C11,HNCxTIPO!$D:$D,HNCxTIPO!F:F),"")</f>
        <v>2.2</v>
      </c>
      <c r="N11" s="171">
        <f t="array" ref="N11">IFERROR(XLOOKUP($C11,HNCxTIPO!$D:$D,HNCxTIPO!G:G),"")</f>
        <v>6.25</v>
      </c>
      <c r="O11" s="172">
        <f t="shared" si="3"/>
        <v>30.7</v>
      </c>
      <c r="P11" s="172">
        <f t="shared" si="4"/>
        <v>13.3</v>
      </c>
      <c r="Q11" s="172">
        <f t="shared" ref="Q11:R11" si="10">IF(I11="","",$J11*O11)</f>
        <v>1366.15</v>
      </c>
      <c r="R11" s="172">
        <f t="shared" si="10"/>
        <v>591.85</v>
      </c>
      <c r="S11" s="173">
        <f t="shared" si="7"/>
        <v>0.6977272727</v>
      </c>
      <c r="T11" s="173">
        <f t="shared" si="8"/>
        <v>0.3022727273</v>
      </c>
      <c r="U11" s="170"/>
    </row>
    <row r="12" ht="24.75" customHeight="1">
      <c r="A12" s="174" t="str">
        <f>IFERROR(__xludf.DUMMYFUNCTION("""COMPUTED_VALUE"""),"CAT_B")</f>
        <v>CAT_B</v>
      </c>
      <c r="B12" s="174" t="str">
        <f>IFERROR(__xludf.DUMMYFUNCTION("""COMPUTED_VALUE"""),"ENFERMERA(O)")</f>
        <v>ENFERMERA(O)</v>
      </c>
      <c r="C12" s="174" t="str">
        <f>IFERROR(__xludf.DUMMYFUNCTION("""COMPUTED_VALUE"""),"FANNY QUINTANILLA CORDERO")</f>
        <v>FANNY QUINTANILLA CORDERO</v>
      </c>
      <c r="D12" s="174">
        <f>IFERROR(__xludf.DUMMYFUNCTION("""COMPUTED_VALUE"""),22.0)</f>
        <v>22</v>
      </c>
      <c r="E12" s="174">
        <f>IFERROR(__xludf.DUMMYFUNCTION("""COMPUTED_VALUE"""),6.0)</f>
        <v>6</v>
      </c>
      <c r="F12" s="175">
        <f>IFERROR(__xludf.DUMMYFUNCTION("""COMPUTED_VALUE"""),20.0)</f>
        <v>20</v>
      </c>
      <c r="G12" s="175">
        <f>IFERROR(__xludf.DUMMYFUNCTION("""COMPUTED_VALUE"""),5.0)</f>
        <v>5</v>
      </c>
      <c r="H12" s="175">
        <f>IFERROR(__xludf.DUMMYFUNCTION("""COMPUTED_VALUE"""),31.0)</f>
        <v>31</v>
      </c>
      <c r="I12" s="175">
        <f>IFERROR(__xludf.DUMMYFUNCTION("""COMPUTED_VALUE"""),217.5)</f>
        <v>217.5</v>
      </c>
      <c r="J12" s="175">
        <f>IFERROR(__xludf.DUMMYFUNCTION("""COMPUTED_VALUE"""),43.5)</f>
        <v>43.5</v>
      </c>
      <c r="K12" s="175">
        <f>IFERROR(__xludf.DUMMYFUNCTION("""COMPUTED_VALUE"""),957.0)</f>
        <v>957</v>
      </c>
      <c r="L12" s="171">
        <f t="array" ref="L12">IFERROR(XLOOKUP($C12,HNCxTIPO!$D:$D,HNCxTIPO!E:E),"")</f>
        <v>5.15</v>
      </c>
      <c r="M12" s="171" t="str">
        <f t="array" ref="M12">IFERROR(XLOOKUP($C12,HNCxTIPO!$D:$D,HNCxTIPO!F:F),"")</f>
        <v/>
      </c>
      <c r="N12" s="171">
        <f t="array" ref="N12">IFERROR(XLOOKUP($C12,HNCxTIPO!$D:$D,HNCxTIPO!G:G),"")</f>
        <v>2.5</v>
      </c>
      <c r="O12" s="172">
        <f t="shared" si="3"/>
        <v>7.65</v>
      </c>
      <c r="P12" s="172">
        <f t="shared" si="4"/>
        <v>14.35</v>
      </c>
      <c r="Q12" s="172">
        <f t="shared" ref="Q12:R12" si="11">IF(I12="","",$J12*O12)</f>
        <v>332.775</v>
      </c>
      <c r="R12" s="172">
        <f t="shared" si="11"/>
        <v>624.225</v>
      </c>
      <c r="S12" s="176">
        <f t="shared" si="7"/>
        <v>0.3477272727</v>
      </c>
      <c r="T12" s="176">
        <f t="shared" si="8"/>
        <v>0.6522727273</v>
      </c>
      <c r="U12" s="175"/>
    </row>
    <row r="13" ht="24.75" customHeight="1">
      <c r="A13" s="169" t="str">
        <f>IFERROR(__xludf.DUMMYFUNCTION("""COMPUTED_VALUE"""),"CAT_B")</f>
        <v>CAT_B</v>
      </c>
      <c r="B13" s="169" t="str">
        <f>IFERROR(__xludf.DUMMYFUNCTION("""COMPUTED_VALUE"""),"GESTOR COMUNITARIO")</f>
        <v>GESTOR COMUNITARIO</v>
      </c>
      <c r="C13" s="169" t="str">
        <f>IFERROR(__xludf.DUMMYFUNCTION("""COMPUTED_VALUE"""),"VANESSA ESPINOZA ESPINOZA")</f>
        <v>VANESSA ESPINOZA ESPINOZA</v>
      </c>
      <c r="D13" s="169">
        <f>IFERROR(__xludf.DUMMYFUNCTION("""COMPUTED_VALUE"""),33.0)</f>
        <v>33</v>
      </c>
      <c r="E13" s="169">
        <f>IFERROR(__xludf.DUMMYFUNCTION("""COMPUTED_VALUE"""),6.0)</f>
        <v>6</v>
      </c>
      <c r="F13" s="170">
        <f>IFERROR(__xludf.DUMMYFUNCTION("""COMPUTED_VALUE"""),15.0)</f>
        <v>15</v>
      </c>
      <c r="G13" s="170">
        <f>IFERROR(__xludf.DUMMYFUNCTION("""COMPUTED_VALUE"""),5.0)</f>
        <v>5</v>
      </c>
      <c r="H13" s="170">
        <f>IFERROR(__xludf.DUMMYFUNCTION("""COMPUTED_VALUE"""),26.0)</f>
        <v>26</v>
      </c>
      <c r="I13" s="170">
        <f>IFERROR(__xludf.DUMMYFUNCTION("""COMPUTED_VALUE"""),222.5)</f>
        <v>222.5</v>
      </c>
      <c r="J13" s="170">
        <f>IFERROR(__xludf.DUMMYFUNCTION("""COMPUTED_VALUE"""),44.5)</f>
        <v>44.5</v>
      </c>
      <c r="K13" s="170">
        <f>IFERROR(__xludf.DUMMYFUNCTION("""COMPUTED_VALUE"""),1468.5)</f>
        <v>1468.5</v>
      </c>
      <c r="L13" s="171">
        <f t="array" ref="L13">IFERROR(XLOOKUP($C13,HNCxTIPO!$D:$D,HNCxTIPO!E:E),"")</f>
        <v>33.9</v>
      </c>
      <c r="M13" s="171">
        <f t="array" ref="M13">IFERROR(XLOOKUP($C13,HNCxTIPO!$D:$D,HNCxTIPO!F:F),"")</f>
        <v>2.2</v>
      </c>
      <c r="N13" s="171">
        <f t="array" ref="N13">IFERROR(XLOOKUP($C13,HNCxTIPO!$D:$D,HNCxTIPO!G:G),"")</f>
        <v>6.25</v>
      </c>
      <c r="O13" s="172">
        <f t="shared" si="3"/>
        <v>42.35</v>
      </c>
      <c r="P13" s="172">
        <f t="shared" si="4"/>
        <v>-9.35</v>
      </c>
      <c r="Q13" s="172">
        <f t="shared" ref="Q13:R13" si="12">IF(I13="","",$J13*O13)</f>
        <v>1884.575</v>
      </c>
      <c r="R13" s="172">
        <f t="shared" si="12"/>
        <v>-416.075</v>
      </c>
      <c r="S13" s="173">
        <f t="shared" si="7"/>
        <v>1.283333333</v>
      </c>
      <c r="T13" s="173">
        <f t="shared" si="8"/>
        <v>-0.2833333333</v>
      </c>
      <c r="U13" s="170"/>
    </row>
    <row r="14" ht="24.75" customHeight="1">
      <c r="A14" s="174" t="str">
        <f>IFERROR(__xludf.DUMMYFUNCTION("""COMPUTED_VALUE"""),"CAT_B")</f>
        <v>CAT_B</v>
      </c>
      <c r="B14" s="174" t="str">
        <f>IFERROR(__xludf.DUMMYFUNCTION("""COMPUTED_VALUE"""),"KINESIOLOGA/O")</f>
        <v>KINESIOLOGA/O</v>
      </c>
      <c r="C14" s="174" t="str">
        <f>IFERROR(__xludf.DUMMYFUNCTION("""COMPUTED_VALUE"""),"ALEJANDRO REYES MURILLO")</f>
        <v>ALEJANDRO REYES MURILLO</v>
      </c>
      <c r="D14" s="174">
        <f>IFERROR(__xludf.DUMMYFUNCTION("""COMPUTED_VALUE"""),44.0)</f>
        <v>44</v>
      </c>
      <c r="E14" s="174">
        <f>IFERROR(__xludf.DUMMYFUNCTION("""COMPUTED_VALUE"""),6.0)</f>
        <v>6</v>
      </c>
      <c r="F14" s="175">
        <f>IFERROR(__xludf.DUMMYFUNCTION("""COMPUTED_VALUE"""),15.0)</f>
        <v>15</v>
      </c>
      <c r="G14" s="175">
        <f>IFERROR(__xludf.DUMMYFUNCTION("""COMPUTED_VALUE"""),6.0)</f>
        <v>6</v>
      </c>
      <c r="H14" s="175">
        <f>IFERROR(__xludf.DUMMYFUNCTION("""COMPUTED_VALUE"""),27.0)</f>
        <v>27</v>
      </c>
      <c r="I14" s="175">
        <f>IFERROR(__xludf.DUMMYFUNCTION("""COMPUTED_VALUE"""),221.5)</f>
        <v>221.5</v>
      </c>
      <c r="J14" s="175">
        <f>IFERROR(__xludf.DUMMYFUNCTION("""COMPUTED_VALUE"""),44.3)</f>
        <v>44.3</v>
      </c>
      <c r="K14" s="175">
        <f>IFERROR(__xludf.DUMMYFUNCTION("""COMPUTED_VALUE"""),1949.2)</f>
        <v>1949.2</v>
      </c>
      <c r="L14" s="171">
        <f t="array" ref="L14">IFERROR(XLOOKUP($C14,HNCxTIPO!$D:$D,HNCxTIPO!E:E),"")</f>
        <v>8</v>
      </c>
      <c r="M14" s="171">
        <f t="array" ref="M14">IFERROR(XLOOKUP($C14,HNCxTIPO!$D:$D,HNCxTIPO!F:F),"")</f>
        <v>2.2</v>
      </c>
      <c r="N14" s="171">
        <f t="array" ref="N14">IFERROR(XLOOKUP($C14,HNCxTIPO!$D:$D,HNCxTIPO!G:G),"")</f>
        <v>6.66</v>
      </c>
      <c r="O14" s="172">
        <f t="shared" si="3"/>
        <v>16.86</v>
      </c>
      <c r="P14" s="172">
        <f t="shared" si="4"/>
        <v>27.14</v>
      </c>
      <c r="Q14" s="172">
        <f t="shared" ref="Q14:R14" si="13">IF(I14="","",$J14*O14)</f>
        <v>746.898</v>
      </c>
      <c r="R14" s="172">
        <f t="shared" si="13"/>
        <v>1202.302</v>
      </c>
      <c r="S14" s="176">
        <f t="shared" si="7"/>
        <v>0.3831818182</v>
      </c>
      <c r="T14" s="176">
        <f t="shared" si="8"/>
        <v>0.6168181818</v>
      </c>
      <c r="U14" s="175"/>
    </row>
    <row r="15" ht="24.75" customHeight="1">
      <c r="A15" s="169" t="str">
        <f>IFERROR(__xludf.DUMMYFUNCTION("""COMPUTED_VALUE"""),"CAT_B")</f>
        <v>CAT_B</v>
      </c>
      <c r="B15" s="169" t="str">
        <f>IFERROR(__xludf.DUMMYFUNCTION("""COMPUTED_VALUE"""),"MATRON/A")</f>
        <v>MATRON/A</v>
      </c>
      <c r="C15" s="169" t="str">
        <f>IFERROR(__xludf.DUMMYFUNCTION("""COMPUTED_VALUE"""),"SORAYA CRUCES DIAZ")</f>
        <v>SORAYA CRUCES DIAZ</v>
      </c>
      <c r="D15" s="169">
        <f>IFERROR(__xludf.DUMMYFUNCTION("""COMPUTED_VALUE"""),44.0)</f>
        <v>44</v>
      </c>
      <c r="E15" s="169">
        <f>IFERROR(__xludf.DUMMYFUNCTION("""COMPUTED_VALUE"""),6.0)</f>
        <v>6</v>
      </c>
      <c r="F15" s="170">
        <f>IFERROR(__xludf.DUMMYFUNCTION("""COMPUTED_VALUE"""),25.0)</f>
        <v>25</v>
      </c>
      <c r="G15" s="170">
        <f>IFERROR(__xludf.DUMMYFUNCTION("""COMPUTED_VALUE"""),5.0)</f>
        <v>5</v>
      </c>
      <c r="H15" s="170">
        <f>IFERROR(__xludf.DUMMYFUNCTION("""COMPUTED_VALUE"""),36.0)</f>
        <v>36</v>
      </c>
      <c r="I15" s="170">
        <f>IFERROR(__xludf.DUMMYFUNCTION("""COMPUTED_VALUE"""),212.5)</f>
        <v>212.5</v>
      </c>
      <c r="J15" s="170">
        <f>IFERROR(__xludf.DUMMYFUNCTION("""COMPUTED_VALUE"""),42.5)</f>
        <v>42.5</v>
      </c>
      <c r="K15" s="170">
        <f>IFERROR(__xludf.DUMMYFUNCTION("""COMPUTED_VALUE"""),1870.0)</f>
        <v>1870</v>
      </c>
      <c r="L15" s="171">
        <f t="array" ref="L15">IFERROR(XLOOKUP($C15,HNCxTIPO!$D:$D,HNCxTIPO!E:E),"")</f>
        <v>17</v>
      </c>
      <c r="M15" s="171">
        <f t="array" ref="M15">IFERROR(XLOOKUP($C15,HNCxTIPO!$D:$D,HNCxTIPO!F:F),"")</f>
        <v>1.6</v>
      </c>
      <c r="N15" s="171">
        <f t="array" ref="N15">IFERROR(XLOOKUP($C15,HNCxTIPO!$D:$D,HNCxTIPO!G:G),"")</f>
        <v>6.66</v>
      </c>
      <c r="O15" s="172">
        <f t="shared" si="3"/>
        <v>25.26</v>
      </c>
      <c r="P15" s="172">
        <f t="shared" si="4"/>
        <v>18.74</v>
      </c>
      <c r="Q15" s="172">
        <f t="shared" ref="Q15:R15" si="14">IF(I15="","",$J15*O15)</f>
        <v>1073.55</v>
      </c>
      <c r="R15" s="172">
        <f t="shared" si="14"/>
        <v>796.45</v>
      </c>
      <c r="S15" s="173">
        <f t="shared" si="7"/>
        <v>0.5740909091</v>
      </c>
      <c r="T15" s="173">
        <f t="shared" si="8"/>
        <v>0.4259090909</v>
      </c>
      <c r="U15" s="170"/>
    </row>
    <row r="16" ht="24.75" customHeight="1">
      <c r="A16" s="174" t="str">
        <f>IFERROR(__xludf.DUMMYFUNCTION("""COMPUTED_VALUE"""),"CAT_B")</f>
        <v>CAT_B</v>
      </c>
      <c r="B16" s="174" t="str">
        <f>IFERROR(__xludf.DUMMYFUNCTION("""COMPUTED_VALUE"""),"NUTRICIONISTA")</f>
        <v>NUTRICIONISTA</v>
      </c>
      <c r="C16" s="174" t="str">
        <f>IFERROR(__xludf.DUMMYFUNCTION("""COMPUTED_VALUE"""),"PAULA ABARCA MORALES")</f>
        <v>PAULA ABARCA MORALES</v>
      </c>
      <c r="D16" s="174">
        <f>IFERROR(__xludf.DUMMYFUNCTION("""COMPUTED_VALUE"""),44.0)</f>
        <v>44</v>
      </c>
      <c r="E16" s="174">
        <f>IFERROR(__xludf.DUMMYFUNCTION("""COMPUTED_VALUE"""),6.0)</f>
        <v>6</v>
      </c>
      <c r="F16" s="175">
        <f>IFERROR(__xludf.DUMMYFUNCTION("""COMPUTED_VALUE"""),15.0)</f>
        <v>15</v>
      </c>
      <c r="G16" s="175">
        <f>IFERROR(__xludf.DUMMYFUNCTION("""COMPUTED_VALUE"""),5.0)</f>
        <v>5</v>
      </c>
      <c r="H16" s="175">
        <f>IFERROR(__xludf.DUMMYFUNCTION("""COMPUTED_VALUE"""),26.0)</f>
        <v>26</v>
      </c>
      <c r="I16" s="175">
        <f>IFERROR(__xludf.DUMMYFUNCTION("""COMPUTED_VALUE"""),222.5)</f>
        <v>222.5</v>
      </c>
      <c r="J16" s="175">
        <f>IFERROR(__xludf.DUMMYFUNCTION("""COMPUTED_VALUE"""),44.5)</f>
        <v>44.5</v>
      </c>
      <c r="K16" s="175">
        <f>IFERROR(__xludf.DUMMYFUNCTION("""COMPUTED_VALUE"""),1958.0)</f>
        <v>1958</v>
      </c>
      <c r="L16" s="171">
        <f t="array" ref="L16">IFERROR(XLOOKUP($C16,HNCxTIPO!$D:$D,HNCxTIPO!E:E),"")</f>
        <v>24</v>
      </c>
      <c r="M16" s="171">
        <f t="array" ref="M16">IFERROR(XLOOKUP($C16,HNCxTIPO!$D:$D,HNCxTIPO!F:F),"")</f>
        <v>2.2</v>
      </c>
      <c r="N16" s="171">
        <f t="array" ref="N16">IFERROR(XLOOKUP($C16,HNCxTIPO!$D:$D,HNCxTIPO!G:G),"")</f>
        <v>6.25</v>
      </c>
      <c r="O16" s="172">
        <f t="shared" si="3"/>
        <v>32.45</v>
      </c>
      <c r="P16" s="172">
        <f t="shared" si="4"/>
        <v>11.55</v>
      </c>
      <c r="Q16" s="172">
        <f t="shared" ref="Q16:R16" si="15">IF(I16="","",$J16*O16)</f>
        <v>1444.025</v>
      </c>
      <c r="R16" s="172">
        <f t="shared" si="15"/>
        <v>513.975</v>
      </c>
      <c r="S16" s="176">
        <f t="shared" si="7"/>
        <v>0.7375</v>
      </c>
      <c r="T16" s="176">
        <f t="shared" si="8"/>
        <v>0.2625</v>
      </c>
      <c r="U16" s="175"/>
    </row>
    <row r="17" ht="24.75" customHeight="1">
      <c r="A17" s="169" t="str">
        <f>IFERROR(__xludf.DUMMYFUNCTION("""COMPUTED_VALUE"""),"CAT_B")</f>
        <v>CAT_B</v>
      </c>
      <c r="B17" s="169" t="str">
        <f>IFERROR(__xludf.DUMMYFUNCTION("""COMPUTED_VALUE"""),"PSICOLOGA/O")</f>
        <v>PSICOLOGA/O</v>
      </c>
      <c r="C17" s="169" t="str">
        <f>IFERROR(__xludf.DUMMYFUNCTION("""COMPUTED_VALUE"""),"CLAUDIO PINTO VILLALOBOS")</f>
        <v>CLAUDIO PINTO VILLALOBOS</v>
      </c>
      <c r="D17" s="169">
        <f>IFERROR(__xludf.DUMMYFUNCTION("""COMPUTED_VALUE"""),22.0)</f>
        <v>22</v>
      </c>
      <c r="E17" s="169">
        <f>IFERROR(__xludf.DUMMYFUNCTION("""COMPUTED_VALUE"""),6.0)</f>
        <v>6</v>
      </c>
      <c r="F17" s="170">
        <f>IFERROR(__xludf.DUMMYFUNCTION("""COMPUTED_VALUE"""),25.0)</f>
        <v>25</v>
      </c>
      <c r="G17" s="170">
        <f>IFERROR(__xludf.DUMMYFUNCTION("""COMPUTED_VALUE"""),5.0)</f>
        <v>5</v>
      </c>
      <c r="H17" s="170">
        <f>IFERROR(__xludf.DUMMYFUNCTION("""COMPUTED_VALUE"""),36.0)</f>
        <v>36</v>
      </c>
      <c r="I17" s="170">
        <f>IFERROR(__xludf.DUMMYFUNCTION("""COMPUTED_VALUE"""),212.5)</f>
        <v>212.5</v>
      </c>
      <c r="J17" s="170">
        <f>IFERROR(__xludf.DUMMYFUNCTION("""COMPUTED_VALUE"""),42.5)</f>
        <v>42.5</v>
      </c>
      <c r="K17" s="170">
        <f>IFERROR(__xludf.DUMMYFUNCTION("""COMPUTED_VALUE"""),935.0)</f>
        <v>935</v>
      </c>
      <c r="L17" s="171">
        <f t="array" ref="L17">IFERROR(XLOOKUP($C17,HNCxTIPO!$D:$D,HNCxTIPO!E:E),"")</f>
        <v>0.9</v>
      </c>
      <c r="M17" s="171">
        <f t="array" ref="M17">IFERROR(XLOOKUP($C17,HNCxTIPO!$D:$D,HNCxTIPO!F:F),"")</f>
        <v>2.2</v>
      </c>
      <c r="N17" s="171">
        <f t="array" ref="N17">IFERROR(XLOOKUP($C17,HNCxTIPO!$D:$D,HNCxTIPO!G:G),"")</f>
        <v>3.25</v>
      </c>
      <c r="O17" s="172">
        <f t="shared" si="3"/>
        <v>6.35</v>
      </c>
      <c r="P17" s="172">
        <f t="shared" si="4"/>
        <v>15.65</v>
      </c>
      <c r="Q17" s="172">
        <f t="shared" ref="Q17:R17" si="16">IF(I17="","",$J17*O17)</f>
        <v>269.875</v>
      </c>
      <c r="R17" s="172">
        <f t="shared" si="16"/>
        <v>665.125</v>
      </c>
      <c r="S17" s="173">
        <f t="shared" si="7"/>
        <v>0.2886363636</v>
      </c>
      <c r="T17" s="173">
        <f t="shared" si="8"/>
        <v>0.7113636364</v>
      </c>
      <c r="U17" s="170"/>
    </row>
    <row r="18" ht="24.75" customHeight="1">
      <c r="A18" s="174" t="str">
        <f>IFERROR(__xludf.DUMMYFUNCTION("""COMPUTED_VALUE"""),"CAT_B")</f>
        <v>CAT_B</v>
      </c>
      <c r="B18" s="174" t="str">
        <f>IFERROR(__xludf.DUMMYFUNCTION("""COMPUTED_VALUE"""),"PSICOLOGA/O")</f>
        <v>PSICOLOGA/O</v>
      </c>
      <c r="C18" s="174" t="str">
        <f>IFERROR(__xludf.DUMMYFUNCTION("""COMPUTED_VALUE"""),"ELIZABETH ZARATE ROJAS")</f>
        <v>ELIZABETH ZARATE ROJAS</v>
      </c>
      <c r="D18" s="174">
        <f>IFERROR(__xludf.DUMMYFUNCTION("""COMPUTED_VALUE"""),22.0)</f>
        <v>22</v>
      </c>
      <c r="E18" s="174">
        <f>IFERROR(__xludf.DUMMYFUNCTION("""COMPUTED_VALUE"""),6.0)</f>
        <v>6</v>
      </c>
      <c r="F18" s="175">
        <f>IFERROR(__xludf.DUMMYFUNCTION("""COMPUTED_VALUE"""),15.0)</f>
        <v>15</v>
      </c>
      <c r="G18" s="175">
        <f>IFERROR(__xludf.DUMMYFUNCTION("""COMPUTED_VALUE"""),5.0)</f>
        <v>5</v>
      </c>
      <c r="H18" s="175">
        <f>IFERROR(__xludf.DUMMYFUNCTION("""COMPUTED_VALUE"""),26.0)</f>
        <v>26</v>
      </c>
      <c r="I18" s="175">
        <f>IFERROR(__xludf.DUMMYFUNCTION("""COMPUTED_VALUE"""),222.5)</f>
        <v>222.5</v>
      </c>
      <c r="J18" s="175">
        <f>IFERROR(__xludf.DUMMYFUNCTION("""COMPUTED_VALUE"""),44.5)</f>
        <v>44.5</v>
      </c>
      <c r="K18" s="175">
        <f>IFERROR(__xludf.DUMMYFUNCTION("""COMPUTED_VALUE"""),979.0)</f>
        <v>979</v>
      </c>
      <c r="L18" s="171">
        <f t="array" ref="L18">IFERROR(XLOOKUP($C18,HNCxTIPO!$D:$D,HNCxTIPO!E:E),"")</f>
        <v>0.9</v>
      </c>
      <c r="M18" s="171" t="str">
        <f t="array" ref="M18">IFERROR(XLOOKUP($C18,HNCxTIPO!$D:$D,HNCxTIPO!F:F),"")</f>
        <v/>
      </c>
      <c r="N18" s="171">
        <f t="array" ref="N18">IFERROR(XLOOKUP($C18,HNCxTIPO!$D:$D,HNCxTIPO!G:G),"")</f>
        <v>2.5</v>
      </c>
      <c r="O18" s="172">
        <f t="shared" si="3"/>
        <v>3.4</v>
      </c>
      <c r="P18" s="172">
        <f t="shared" si="4"/>
        <v>18.6</v>
      </c>
      <c r="Q18" s="172">
        <f t="shared" ref="Q18:R18" si="17">IF(I18="","",$J18*O18)</f>
        <v>151.3</v>
      </c>
      <c r="R18" s="172">
        <f t="shared" si="17"/>
        <v>827.7</v>
      </c>
      <c r="S18" s="176">
        <f t="shared" si="7"/>
        <v>0.1545454545</v>
      </c>
      <c r="T18" s="176">
        <f t="shared" si="8"/>
        <v>0.8454545455</v>
      </c>
      <c r="U18" s="175"/>
    </row>
    <row r="19" ht="24.75" customHeight="1">
      <c r="A19" s="169" t="str">
        <f>IFERROR(__xludf.DUMMYFUNCTION("""COMPUTED_VALUE"""),"CAT_B")</f>
        <v>CAT_B</v>
      </c>
      <c r="B19" s="169" t="str">
        <f>IFERROR(__xludf.DUMMYFUNCTION("""COMPUTED_VALUE"""),"TRABAJADOR/A SOCIAL")</f>
        <v>TRABAJADOR/A SOCIAL</v>
      </c>
      <c r="C19" s="169" t="str">
        <f>IFERROR(__xludf.DUMMYFUNCTION("""COMPUTED_VALUE"""),"MARCELA JAQUE LIZAMA")</f>
        <v>MARCELA JAQUE LIZAMA</v>
      </c>
      <c r="D19" s="169">
        <f>IFERROR(__xludf.DUMMYFUNCTION("""COMPUTED_VALUE"""),44.0)</f>
        <v>44</v>
      </c>
      <c r="E19" s="169">
        <f>IFERROR(__xludf.DUMMYFUNCTION("""COMPUTED_VALUE"""),6.0)</f>
        <v>6</v>
      </c>
      <c r="F19" s="170">
        <f>IFERROR(__xludf.DUMMYFUNCTION("""COMPUTED_VALUE"""),20.0)</f>
        <v>20</v>
      </c>
      <c r="G19" s="170">
        <f>IFERROR(__xludf.DUMMYFUNCTION("""COMPUTED_VALUE"""),5.0)</f>
        <v>5</v>
      </c>
      <c r="H19" s="170">
        <f>IFERROR(__xludf.DUMMYFUNCTION("""COMPUTED_VALUE"""),31.0)</f>
        <v>31</v>
      </c>
      <c r="I19" s="170">
        <f>IFERROR(__xludf.DUMMYFUNCTION("""COMPUTED_VALUE"""),217.5)</f>
        <v>217.5</v>
      </c>
      <c r="J19" s="170">
        <f>IFERROR(__xludf.DUMMYFUNCTION("""COMPUTED_VALUE"""),43.5)</f>
        <v>43.5</v>
      </c>
      <c r="K19" s="170">
        <f>IFERROR(__xludf.DUMMYFUNCTION("""COMPUTED_VALUE"""),1914.0)</f>
        <v>1914</v>
      </c>
      <c r="L19" s="171">
        <f t="array" ref="L19">IFERROR(XLOOKUP($C19,HNCxTIPO!$D:$D,HNCxTIPO!E:E),"")</f>
        <v>0.9</v>
      </c>
      <c r="M19" s="171" t="str">
        <f t="array" ref="M19">IFERROR(XLOOKUP($C19,HNCxTIPO!$D:$D,HNCxTIPO!F:F),"")</f>
        <v/>
      </c>
      <c r="N19" s="171">
        <f t="array" ref="N19">IFERROR(XLOOKUP($C19,HNCxTIPO!$D:$D,HNCxTIPO!G:G),"")</f>
        <v>28.25</v>
      </c>
      <c r="O19" s="172">
        <f t="shared" si="3"/>
        <v>29.15</v>
      </c>
      <c r="P19" s="172">
        <f t="shared" si="4"/>
        <v>14.85</v>
      </c>
      <c r="Q19" s="172">
        <f t="shared" ref="Q19:R19" si="18">IF(I19="","",$J19*O19)</f>
        <v>1268.025</v>
      </c>
      <c r="R19" s="172">
        <f t="shared" si="18"/>
        <v>645.975</v>
      </c>
      <c r="S19" s="173">
        <f t="shared" si="7"/>
        <v>0.6625</v>
      </c>
      <c r="T19" s="173">
        <f t="shared" si="8"/>
        <v>0.3375</v>
      </c>
      <c r="U19" s="170"/>
    </row>
    <row r="20" ht="24.75" customHeight="1">
      <c r="A20" s="174" t="str">
        <f>IFERROR(__xludf.DUMMYFUNCTION("""COMPUTED_VALUE"""),"CAT_B")</f>
        <v>CAT_B</v>
      </c>
      <c r="B20" s="174" t="str">
        <f>IFERROR(__xludf.DUMMYFUNCTION("""COMPUTED_VALUE"""),"TRABAJADOR/A SOCIAL")</f>
        <v>TRABAJADOR/A SOCIAL</v>
      </c>
      <c r="C20" s="174" t="str">
        <f>IFERROR(__xludf.DUMMYFUNCTION("""COMPUTED_VALUE"""),"PAULINA DIAZ MEDINA")</f>
        <v>PAULINA DIAZ MEDINA</v>
      </c>
      <c r="D20" s="174">
        <f>IFERROR(__xludf.DUMMYFUNCTION("""COMPUTED_VALUE"""),44.0)</f>
        <v>44</v>
      </c>
      <c r="E20" s="174">
        <f>IFERROR(__xludf.DUMMYFUNCTION("""COMPUTED_VALUE"""),6.0)</f>
        <v>6</v>
      </c>
      <c r="F20" s="175">
        <f>IFERROR(__xludf.DUMMYFUNCTION("""COMPUTED_VALUE"""),15.0)</f>
        <v>15</v>
      </c>
      <c r="G20" s="175">
        <f>IFERROR(__xludf.DUMMYFUNCTION("""COMPUTED_VALUE"""),5.0)</f>
        <v>5</v>
      </c>
      <c r="H20" s="175">
        <f>IFERROR(__xludf.DUMMYFUNCTION("""COMPUTED_VALUE"""),26.0)</f>
        <v>26</v>
      </c>
      <c r="I20" s="175">
        <f>IFERROR(__xludf.DUMMYFUNCTION("""COMPUTED_VALUE"""),222.5)</f>
        <v>222.5</v>
      </c>
      <c r="J20" s="175">
        <f>IFERROR(__xludf.DUMMYFUNCTION("""COMPUTED_VALUE"""),44.5)</f>
        <v>44.5</v>
      </c>
      <c r="K20" s="175">
        <f>IFERROR(__xludf.DUMMYFUNCTION("""COMPUTED_VALUE"""),1958.0)</f>
        <v>1958</v>
      </c>
      <c r="L20" s="171">
        <f t="array" ref="L20">IFERROR(XLOOKUP($C20,HNCxTIPO!$D:$D,HNCxTIPO!E:E),"")</f>
        <v>22.9</v>
      </c>
      <c r="M20" s="171">
        <f t="array" ref="M20">IFERROR(XLOOKUP($C20,HNCxTIPO!$D:$D,HNCxTIPO!F:F),"")</f>
        <v>2.2</v>
      </c>
      <c r="N20" s="171">
        <f t="array" ref="N20">IFERROR(XLOOKUP($C20,HNCxTIPO!$D:$D,HNCxTIPO!G:G),"")</f>
        <v>6.25</v>
      </c>
      <c r="O20" s="172">
        <f t="shared" si="3"/>
        <v>31.35</v>
      </c>
      <c r="P20" s="172">
        <f t="shared" si="4"/>
        <v>12.65</v>
      </c>
      <c r="Q20" s="172">
        <f t="shared" ref="Q20:R20" si="19">IF(I20="","",$J20*O20)</f>
        <v>1395.075</v>
      </c>
      <c r="R20" s="172">
        <f t="shared" si="19"/>
        <v>562.925</v>
      </c>
      <c r="S20" s="176">
        <f t="shared" si="7"/>
        <v>0.7125</v>
      </c>
      <c r="T20" s="176">
        <f t="shared" si="8"/>
        <v>0.2875</v>
      </c>
      <c r="U20" s="175"/>
    </row>
    <row r="21" ht="24.75" customHeight="1">
      <c r="A21" s="169" t="str">
        <f>IFERROR(__xludf.DUMMYFUNCTION("""COMPUTED_VALUE"""),"CAT_C")</f>
        <v>CAT_C</v>
      </c>
      <c r="B21" s="169" t="str">
        <f>IFERROR(__xludf.DUMMYFUNCTION("""COMPUTED_VALUE"""),"PODOLOGA")</f>
        <v>PODOLOGA</v>
      </c>
      <c r="C21" s="169" t="str">
        <f>IFERROR(__xludf.DUMMYFUNCTION("""COMPUTED_VALUE"""),"KARINA MONTANARES")</f>
        <v>KARINA MONTANARES</v>
      </c>
      <c r="D21" s="169">
        <f>IFERROR(__xludf.DUMMYFUNCTION("""COMPUTED_VALUE"""),22.0)</f>
        <v>22</v>
      </c>
      <c r="E21" s="169">
        <f>IFERROR(__xludf.DUMMYFUNCTION("""COMPUTED_VALUE"""),6.0)</f>
        <v>6</v>
      </c>
      <c r="F21" s="170">
        <f>IFERROR(__xludf.DUMMYFUNCTION("""COMPUTED_VALUE"""),15.0)</f>
        <v>15</v>
      </c>
      <c r="G21" s="170">
        <f>IFERROR(__xludf.DUMMYFUNCTION("""COMPUTED_VALUE"""),5.0)</f>
        <v>5</v>
      </c>
      <c r="H21" s="170">
        <f>IFERROR(__xludf.DUMMYFUNCTION("""COMPUTED_VALUE"""),26.0)</f>
        <v>26</v>
      </c>
      <c r="I21" s="170">
        <f>IFERROR(__xludf.DUMMYFUNCTION("""COMPUTED_VALUE"""),222.5)</f>
        <v>222.5</v>
      </c>
      <c r="J21" s="170">
        <f>IFERROR(__xludf.DUMMYFUNCTION("""COMPUTED_VALUE"""),44.5)</f>
        <v>44.5</v>
      </c>
      <c r="K21" s="170">
        <f>IFERROR(__xludf.DUMMYFUNCTION("""COMPUTED_VALUE"""),979.0)</f>
        <v>979</v>
      </c>
      <c r="L21" s="171">
        <f t="array" ref="L21">IFERROR(XLOOKUP($C21,HNCxTIPO!$D:$D,HNCxTIPO!E:E),"")</f>
        <v>0.9</v>
      </c>
      <c r="M21" s="171" t="str">
        <f t="array" ref="M21">IFERROR(XLOOKUP($C21,HNCxTIPO!$D:$D,HNCxTIPO!F:F),"")</f>
        <v/>
      </c>
      <c r="N21" s="171">
        <f t="array" ref="N21">IFERROR(XLOOKUP($C21,HNCxTIPO!$D:$D,HNCxTIPO!G:G),"")</f>
        <v>2.5</v>
      </c>
      <c r="O21" s="172">
        <f t="shared" si="3"/>
        <v>3.4</v>
      </c>
      <c r="P21" s="172">
        <f t="shared" si="4"/>
        <v>18.6</v>
      </c>
      <c r="Q21" s="172">
        <f t="shared" ref="Q21:R21" si="20">IF(I21="","",$J21*O21)</f>
        <v>151.3</v>
      </c>
      <c r="R21" s="172">
        <f t="shared" si="20"/>
        <v>827.7</v>
      </c>
      <c r="S21" s="173">
        <f t="shared" si="7"/>
        <v>0.1545454545</v>
      </c>
      <c r="T21" s="173">
        <f t="shared" si="8"/>
        <v>0.8454545455</v>
      </c>
      <c r="U21" s="170"/>
    </row>
    <row r="22" ht="24.75" customHeight="1">
      <c r="A22" s="174" t="str">
        <f>IFERROR(__xludf.DUMMYFUNCTION("""COMPUTED_VALUE"""),"CAT_C")</f>
        <v>CAT_C</v>
      </c>
      <c r="B22" s="174" t="str">
        <f>IFERROR(__xludf.DUMMYFUNCTION("""COMPUTED_VALUE"""),"TENS")</f>
        <v>TENS</v>
      </c>
      <c r="C22" s="174" t="str">
        <f>IFERROR(__xludf.DUMMYFUNCTION("""COMPUTED_VALUE"""),"DANIELA ROJAS GAMBOA")</f>
        <v>DANIELA ROJAS GAMBOA</v>
      </c>
      <c r="D22" s="174">
        <f>IFERROR(__xludf.DUMMYFUNCTION("""COMPUTED_VALUE"""),44.0)</f>
        <v>44</v>
      </c>
      <c r="E22" s="174">
        <f>IFERROR(__xludf.DUMMYFUNCTION("""COMPUTED_VALUE"""),6.0)</f>
        <v>6</v>
      </c>
      <c r="F22" s="175">
        <f>IFERROR(__xludf.DUMMYFUNCTION("""COMPUTED_VALUE"""),15.0)</f>
        <v>15</v>
      </c>
      <c r="G22" s="175">
        <f>IFERROR(__xludf.DUMMYFUNCTION("""COMPUTED_VALUE"""),5.0)</f>
        <v>5</v>
      </c>
      <c r="H22" s="175">
        <f>IFERROR(__xludf.DUMMYFUNCTION("""COMPUTED_VALUE"""),26.0)</f>
        <v>26</v>
      </c>
      <c r="I22" s="175">
        <f>IFERROR(__xludf.DUMMYFUNCTION("""COMPUTED_VALUE"""),222.5)</f>
        <v>222.5</v>
      </c>
      <c r="J22" s="175">
        <f>IFERROR(__xludf.DUMMYFUNCTION("""COMPUTED_VALUE"""),44.5)</f>
        <v>44.5</v>
      </c>
      <c r="K22" s="175">
        <f>IFERROR(__xludf.DUMMYFUNCTION("""COMPUTED_VALUE"""),1958.0)</f>
        <v>1958</v>
      </c>
      <c r="L22" s="171">
        <f t="array" ref="L22">IFERROR(XLOOKUP($C22,HNCxTIPO!$D:$D,HNCxTIPO!E:E),"")</f>
        <v>2</v>
      </c>
      <c r="M22" s="171">
        <f t="array" ref="M22">IFERROR(XLOOKUP($C22,HNCxTIPO!$D:$D,HNCxTIPO!F:F),"")</f>
        <v>2.2</v>
      </c>
      <c r="N22" s="171">
        <f t="array" ref="N22">IFERROR(XLOOKUP($C22,HNCxTIPO!$D:$D,HNCxTIPO!G:G),"")</f>
        <v>6.25</v>
      </c>
      <c r="O22" s="172">
        <f t="shared" si="3"/>
        <v>10.45</v>
      </c>
      <c r="P22" s="172">
        <f t="shared" si="4"/>
        <v>33.55</v>
      </c>
      <c r="Q22" s="172">
        <f t="shared" ref="Q22:R22" si="21">IF(I22="","",$J22*O22)</f>
        <v>465.025</v>
      </c>
      <c r="R22" s="172">
        <f t="shared" si="21"/>
        <v>1492.975</v>
      </c>
      <c r="S22" s="176">
        <f t="shared" si="7"/>
        <v>0.2375</v>
      </c>
      <c r="T22" s="176">
        <f t="shared" si="8"/>
        <v>0.7625</v>
      </c>
      <c r="U22" s="175"/>
    </row>
    <row r="23" ht="24.75" customHeight="1">
      <c r="A23" s="169" t="str">
        <f>IFERROR(__xludf.DUMMYFUNCTION("""COMPUTED_VALUE"""),"CAT_C")</f>
        <v>CAT_C</v>
      </c>
      <c r="B23" s="169" t="str">
        <f>IFERROR(__xludf.DUMMYFUNCTION("""COMPUTED_VALUE"""),"TENS")</f>
        <v>TENS</v>
      </c>
      <c r="C23" s="169" t="str">
        <f>IFERROR(__xludf.DUMMYFUNCTION("""COMPUTED_VALUE"""),"LUIS GONZALEZ SEPULVEDA")</f>
        <v>LUIS GONZALEZ SEPULVEDA</v>
      </c>
      <c r="D23" s="169">
        <f>IFERROR(__xludf.DUMMYFUNCTION("""COMPUTED_VALUE"""),44.0)</f>
        <v>44</v>
      </c>
      <c r="E23" s="169">
        <f>IFERROR(__xludf.DUMMYFUNCTION("""COMPUTED_VALUE"""),6.0)</f>
        <v>6</v>
      </c>
      <c r="F23" s="170">
        <f>IFERROR(__xludf.DUMMYFUNCTION("""COMPUTED_VALUE"""),25.0)</f>
        <v>25</v>
      </c>
      <c r="G23" s="170">
        <f>IFERROR(__xludf.DUMMYFUNCTION("""COMPUTED_VALUE"""),5.0)</f>
        <v>5</v>
      </c>
      <c r="H23" s="170">
        <f>IFERROR(__xludf.DUMMYFUNCTION("""COMPUTED_VALUE"""),36.0)</f>
        <v>36</v>
      </c>
      <c r="I23" s="170">
        <f>IFERROR(__xludf.DUMMYFUNCTION("""COMPUTED_VALUE"""),212.5)</f>
        <v>212.5</v>
      </c>
      <c r="J23" s="170">
        <f>IFERROR(__xludf.DUMMYFUNCTION("""COMPUTED_VALUE"""),42.5)</f>
        <v>42.5</v>
      </c>
      <c r="K23" s="170">
        <f>IFERROR(__xludf.DUMMYFUNCTION("""COMPUTED_VALUE"""),1870.0)</f>
        <v>1870</v>
      </c>
      <c r="L23" s="171">
        <f t="array" ref="L23">IFERROR(XLOOKUP($C23,HNCxTIPO!$D:$D,HNCxTIPO!E:E),"")</f>
        <v>2</v>
      </c>
      <c r="M23" s="171">
        <f t="array" ref="M23">IFERROR(XLOOKUP($C23,HNCxTIPO!$D:$D,HNCxTIPO!F:F),"")</f>
        <v>2.2</v>
      </c>
      <c r="N23" s="171">
        <f t="array" ref="N23">IFERROR(XLOOKUP($C23,HNCxTIPO!$D:$D,HNCxTIPO!G:G),"")</f>
        <v>6.25</v>
      </c>
      <c r="O23" s="172">
        <f t="shared" si="3"/>
        <v>10.45</v>
      </c>
      <c r="P23" s="172">
        <f t="shared" si="4"/>
        <v>33.55</v>
      </c>
      <c r="Q23" s="172">
        <f t="shared" ref="Q23:R23" si="22">IF(I23="","",$J23*O23)</f>
        <v>444.125</v>
      </c>
      <c r="R23" s="172">
        <f t="shared" si="22"/>
        <v>1425.875</v>
      </c>
      <c r="S23" s="173">
        <f t="shared" si="7"/>
        <v>0.2375</v>
      </c>
      <c r="T23" s="173">
        <f t="shared" si="8"/>
        <v>0.7625</v>
      </c>
      <c r="U23" s="170"/>
    </row>
    <row r="24" ht="24.75" customHeight="1">
      <c r="A24" s="174" t="str">
        <f>IFERROR(__xludf.DUMMYFUNCTION("""COMPUTED_VALUE"""),"CAT_C")</f>
        <v>CAT_C</v>
      </c>
      <c r="B24" s="174" t="str">
        <f>IFERROR(__xludf.DUMMYFUNCTION("""COMPUTED_VALUE"""),"TENS")</f>
        <v>TENS</v>
      </c>
      <c r="C24" s="174" t="str">
        <f>IFERROR(__xludf.DUMMYFUNCTION("""COMPUTED_VALUE"""),"MYRRHA ANDAUR MARTINEZ")</f>
        <v>MYRRHA ANDAUR MARTINEZ</v>
      </c>
      <c r="D24" s="174">
        <f>IFERROR(__xludf.DUMMYFUNCTION("""COMPUTED_VALUE"""),44.0)</f>
        <v>44</v>
      </c>
      <c r="E24" s="174">
        <f>IFERROR(__xludf.DUMMYFUNCTION("""COMPUTED_VALUE"""),6.0)</f>
        <v>6</v>
      </c>
      <c r="F24" s="175">
        <f>IFERROR(__xludf.DUMMYFUNCTION("""COMPUTED_VALUE"""),15.0)</f>
        <v>15</v>
      </c>
      <c r="G24" s="175">
        <f>IFERROR(__xludf.DUMMYFUNCTION("""COMPUTED_VALUE"""),5.0)</f>
        <v>5</v>
      </c>
      <c r="H24" s="175">
        <f>IFERROR(__xludf.DUMMYFUNCTION("""COMPUTED_VALUE"""),26.0)</f>
        <v>26</v>
      </c>
      <c r="I24" s="175">
        <f>IFERROR(__xludf.DUMMYFUNCTION("""COMPUTED_VALUE"""),222.5)</f>
        <v>222.5</v>
      </c>
      <c r="J24" s="175">
        <f>IFERROR(__xludf.DUMMYFUNCTION("""COMPUTED_VALUE"""),44.5)</f>
        <v>44.5</v>
      </c>
      <c r="K24" s="175">
        <f>IFERROR(__xludf.DUMMYFUNCTION("""COMPUTED_VALUE"""),1958.0)</f>
        <v>1958</v>
      </c>
      <c r="L24" s="171">
        <f t="array" ref="L24">IFERROR(XLOOKUP($C24,HNCxTIPO!$D:$D,HNCxTIPO!E:E),"")</f>
        <v>2</v>
      </c>
      <c r="M24" s="171">
        <f t="array" ref="M24">IFERROR(XLOOKUP($C24,HNCxTIPO!$D:$D,HNCxTIPO!F:F),"")</f>
        <v>2.2</v>
      </c>
      <c r="N24" s="171">
        <f t="array" ref="N24">IFERROR(XLOOKUP($C24,HNCxTIPO!$D:$D,HNCxTIPO!G:G),"")</f>
        <v>6.25</v>
      </c>
      <c r="O24" s="172">
        <f t="shared" si="3"/>
        <v>10.45</v>
      </c>
      <c r="P24" s="172">
        <f t="shared" si="4"/>
        <v>33.55</v>
      </c>
      <c r="Q24" s="172">
        <f t="shared" ref="Q24:R24" si="23">IF(I24="","",$J24*O24)</f>
        <v>465.025</v>
      </c>
      <c r="R24" s="172">
        <f t="shared" si="23"/>
        <v>1492.975</v>
      </c>
      <c r="S24" s="176">
        <f t="shared" si="7"/>
        <v>0.2375</v>
      </c>
      <c r="T24" s="176">
        <f t="shared" si="8"/>
        <v>0.7625</v>
      </c>
      <c r="U24" s="175"/>
    </row>
    <row r="25" ht="24.75" customHeight="1">
      <c r="A25" s="169" t="str">
        <f>IFERROR(__xludf.DUMMYFUNCTION("""COMPUTED_VALUE"""),"CAT_C")</f>
        <v>CAT_C</v>
      </c>
      <c r="B25" s="169" t="str">
        <f>IFERROR(__xludf.DUMMYFUNCTION("""COMPUTED_VALUE"""),"TENS FARMACIA")</f>
        <v>TENS FARMACIA</v>
      </c>
      <c r="C25" s="169" t="str">
        <f>IFERROR(__xludf.DUMMYFUNCTION("""COMPUTED_VALUE"""),"VALERIA NUÑEZ QUINCHEL")</f>
        <v>VALERIA NUÑEZ QUINCHEL</v>
      </c>
      <c r="D25" s="169">
        <f>IFERROR(__xludf.DUMMYFUNCTION("""COMPUTED_VALUE"""),44.0)</f>
        <v>44</v>
      </c>
      <c r="E25" s="169">
        <f>IFERROR(__xludf.DUMMYFUNCTION("""COMPUTED_VALUE"""),6.0)</f>
        <v>6</v>
      </c>
      <c r="F25" s="170">
        <f>IFERROR(__xludf.DUMMYFUNCTION("""COMPUTED_VALUE"""),15.0)</f>
        <v>15</v>
      </c>
      <c r="G25" s="170">
        <f>IFERROR(__xludf.DUMMYFUNCTION("""COMPUTED_VALUE"""),5.0)</f>
        <v>5</v>
      </c>
      <c r="H25" s="170">
        <f>IFERROR(__xludf.DUMMYFUNCTION("""COMPUTED_VALUE"""),26.0)</f>
        <v>26</v>
      </c>
      <c r="I25" s="170">
        <f>IFERROR(__xludf.DUMMYFUNCTION("""COMPUTED_VALUE"""),222.5)</f>
        <v>222.5</v>
      </c>
      <c r="J25" s="170">
        <f>IFERROR(__xludf.DUMMYFUNCTION("""COMPUTED_VALUE"""),44.5)</f>
        <v>44.5</v>
      </c>
      <c r="K25" s="170">
        <f>IFERROR(__xludf.DUMMYFUNCTION("""COMPUTED_VALUE"""),1958.0)</f>
        <v>1958</v>
      </c>
      <c r="L25" s="171">
        <f t="array" ref="L25">IFERROR(XLOOKUP($C25,HNCxTIPO!$D:$D,HNCxTIPO!E:E),"")</f>
        <v>2</v>
      </c>
      <c r="M25" s="171">
        <f t="array" ref="M25">IFERROR(XLOOKUP($C25,HNCxTIPO!$D:$D,HNCxTIPO!F:F),"")</f>
        <v>2.2</v>
      </c>
      <c r="N25" s="171">
        <f t="array" ref="N25">IFERROR(XLOOKUP($C25,HNCxTIPO!$D:$D,HNCxTIPO!G:G),"")</f>
        <v>6.25</v>
      </c>
      <c r="O25" s="172">
        <f t="shared" si="3"/>
        <v>10.45</v>
      </c>
      <c r="P25" s="172">
        <f t="shared" si="4"/>
        <v>33.55</v>
      </c>
      <c r="Q25" s="172">
        <f t="shared" ref="Q25:R25" si="24">IF(I25="","",$J25*O25)</f>
        <v>465.025</v>
      </c>
      <c r="R25" s="172">
        <f t="shared" si="24"/>
        <v>1492.975</v>
      </c>
      <c r="S25" s="173">
        <f t="shared" si="7"/>
        <v>0.2375</v>
      </c>
      <c r="T25" s="173">
        <f t="shared" si="8"/>
        <v>0.7625</v>
      </c>
      <c r="U25" s="170"/>
    </row>
    <row r="26" ht="24.75" customHeight="1">
      <c r="A26" s="174" t="str">
        <f>IFERROR(__xludf.DUMMYFUNCTION("""COMPUTED_VALUE"""),"CAT_C")</f>
        <v>CAT_C</v>
      </c>
      <c r="B26" s="174" t="str">
        <f>IFERROR(__xludf.DUMMYFUNCTION("""COMPUTED_VALUE"""),"TONS")</f>
        <v>TONS</v>
      </c>
      <c r="C26" s="174" t="str">
        <f>IFERROR(__xludf.DUMMYFUNCTION("""COMPUTED_VALUE"""),"ANGELA ZUÑIGA MUGA")</f>
        <v>ANGELA ZUÑIGA MUGA</v>
      </c>
      <c r="D26" s="174">
        <f>IFERROR(__xludf.DUMMYFUNCTION("""COMPUTED_VALUE"""),44.0)</f>
        <v>44</v>
      </c>
      <c r="E26" s="174">
        <f>IFERROR(__xludf.DUMMYFUNCTION("""COMPUTED_VALUE"""),6.0)</f>
        <v>6</v>
      </c>
      <c r="F26" s="175">
        <f>IFERROR(__xludf.DUMMYFUNCTION("""COMPUTED_VALUE"""),15.0)</f>
        <v>15</v>
      </c>
      <c r="G26" s="175">
        <f>IFERROR(__xludf.DUMMYFUNCTION("""COMPUTED_VALUE"""),5.0)</f>
        <v>5</v>
      </c>
      <c r="H26" s="175">
        <f>IFERROR(__xludf.DUMMYFUNCTION("""COMPUTED_VALUE"""),26.0)</f>
        <v>26</v>
      </c>
      <c r="I26" s="175">
        <f>IFERROR(__xludf.DUMMYFUNCTION("""COMPUTED_VALUE"""),222.5)</f>
        <v>222.5</v>
      </c>
      <c r="J26" s="175">
        <f>IFERROR(__xludf.DUMMYFUNCTION("""COMPUTED_VALUE"""),44.5)</f>
        <v>44.5</v>
      </c>
      <c r="K26" s="175">
        <f>IFERROR(__xludf.DUMMYFUNCTION("""COMPUTED_VALUE"""),1958.0)</f>
        <v>1958</v>
      </c>
      <c r="L26" s="171">
        <f t="array" ref="L26">IFERROR(XLOOKUP($C26,HNCxTIPO!$D:$D,HNCxTIPO!E:E),"")</f>
        <v>2</v>
      </c>
      <c r="M26" s="171">
        <f t="array" ref="M26">IFERROR(XLOOKUP($C26,HNCxTIPO!$D:$D,HNCxTIPO!F:F),"")</f>
        <v>2.2</v>
      </c>
      <c r="N26" s="171">
        <f t="array" ref="N26">IFERROR(XLOOKUP($C26,HNCxTIPO!$D:$D,HNCxTIPO!G:G),"")</f>
        <v>6.25</v>
      </c>
      <c r="O26" s="172">
        <f t="shared" si="3"/>
        <v>10.45</v>
      </c>
      <c r="P26" s="172">
        <f t="shared" si="4"/>
        <v>33.55</v>
      </c>
      <c r="Q26" s="172">
        <f t="shared" ref="Q26:R26" si="25">IF(I26="","",$J26*O26)</f>
        <v>465.025</v>
      </c>
      <c r="R26" s="172">
        <f t="shared" si="25"/>
        <v>1492.975</v>
      </c>
      <c r="S26" s="176">
        <f t="shared" si="7"/>
        <v>0.2375</v>
      </c>
      <c r="T26" s="176">
        <f t="shared" si="8"/>
        <v>0.7625</v>
      </c>
      <c r="U26" s="175"/>
    </row>
    <row r="27" ht="24.75" customHeight="1">
      <c r="A27" s="169"/>
      <c r="B27" s="169"/>
      <c r="C27" s="169"/>
      <c r="D27" s="169"/>
      <c r="E27" s="169"/>
      <c r="F27" s="170"/>
      <c r="G27" s="170"/>
      <c r="H27" s="170"/>
      <c r="I27" s="170"/>
      <c r="J27" s="170"/>
      <c r="K27" s="170"/>
      <c r="L27" s="171" t="str">
        <f t="array" ref="L27">IFERROR(XLOOKUP($C27,HNCxTIPO!$D:$D,HNCxTIPO!E:E),"")</f>
        <v/>
      </c>
      <c r="M27" s="171" t="str">
        <f t="array" ref="M27">IFERROR(XLOOKUP($C27,HNCxTIPO!$D:$D,HNCxTIPO!F:F),"")</f>
        <v/>
      </c>
      <c r="N27" s="171" t="str">
        <f t="array" ref="N27">IFERROR(XLOOKUP($C27,HNCxTIPO!$D:$D,HNCxTIPO!G:G),"")</f>
        <v/>
      </c>
      <c r="O27" s="172" t="str">
        <f t="shared" si="3"/>
        <v/>
      </c>
      <c r="P27" s="172" t="str">
        <f t="shared" si="4"/>
        <v/>
      </c>
      <c r="Q27" s="172" t="str">
        <f t="shared" ref="Q27:R27" si="26">IF(I27="","",$J27*O27)</f>
        <v/>
      </c>
      <c r="R27" s="172" t="str">
        <f t="shared" si="26"/>
        <v/>
      </c>
      <c r="S27" s="173" t="str">
        <f t="shared" si="7"/>
        <v/>
      </c>
      <c r="T27" s="173" t="str">
        <f t="shared" si="8"/>
        <v/>
      </c>
      <c r="U27" s="170"/>
    </row>
    <row r="28" ht="24.75" customHeight="1">
      <c r="A28" s="174"/>
      <c r="B28" s="174"/>
      <c r="C28" s="174"/>
      <c r="D28" s="174"/>
      <c r="E28" s="174"/>
      <c r="F28" s="175"/>
      <c r="G28" s="175"/>
      <c r="H28" s="175"/>
      <c r="I28" s="175"/>
      <c r="J28" s="175"/>
      <c r="K28" s="175"/>
      <c r="L28" s="171" t="str">
        <f t="array" ref="L28">IFERROR(XLOOKUP($C28,HNCxTIPO!$D:$D,HNCxTIPO!E:E),"")</f>
        <v/>
      </c>
      <c r="M28" s="171" t="str">
        <f t="array" ref="M28">IFERROR(XLOOKUP($C28,HNCxTIPO!$D:$D,HNCxTIPO!F:F),"")</f>
        <v/>
      </c>
      <c r="N28" s="171" t="str">
        <f t="array" ref="N28">IFERROR(XLOOKUP($C28,HNCxTIPO!$D:$D,HNCxTIPO!G:G),"")</f>
        <v/>
      </c>
      <c r="O28" s="172" t="str">
        <f t="shared" si="3"/>
        <v/>
      </c>
      <c r="P28" s="172" t="str">
        <f t="shared" si="4"/>
        <v/>
      </c>
      <c r="Q28" s="172" t="str">
        <f t="shared" ref="Q28:R28" si="27">IF(I28="","",$J28*O28)</f>
        <v/>
      </c>
      <c r="R28" s="172" t="str">
        <f t="shared" si="27"/>
        <v/>
      </c>
      <c r="S28" s="176" t="str">
        <f t="shared" si="7"/>
        <v/>
      </c>
      <c r="T28" s="176" t="str">
        <f t="shared" si="8"/>
        <v/>
      </c>
      <c r="U28" s="175"/>
    </row>
    <row r="29" ht="24.75" customHeight="1">
      <c r="A29" s="169"/>
      <c r="B29" s="169"/>
      <c r="C29" s="169"/>
      <c r="D29" s="169"/>
      <c r="E29" s="169"/>
      <c r="F29" s="170"/>
      <c r="G29" s="170"/>
      <c r="H29" s="170"/>
      <c r="I29" s="170"/>
      <c r="J29" s="170"/>
      <c r="K29" s="170"/>
      <c r="L29" s="171" t="str">
        <f t="array" ref="L29">IFERROR(XLOOKUP($C29,HNCxTIPO!$D:$D,HNCxTIPO!E:E),"")</f>
        <v/>
      </c>
      <c r="M29" s="171" t="str">
        <f t="array" ref="M29">IFERROR(XLOOKUP($C29,HNCxTIPO!$D:$D,HNCxTIPO!F:F),"")</f>
        <v/>
      </c>
      <c r="N29" s="171" t="str">
        <f t="array" ref="N29">IFERROR(XLOOKUP($C29,HNCxTIPO!$D:$D,HNCxTIPO!G:G),"")</f>
        <v/>
      </c>
      <c r="O29" s="172" t="str">
        <f t="shared" si="3"/>
        <v/>
      </c>
      <c r="P29" s="172" t="str">
        <f t="shared" si="4"/>
        <v/>
      </c>
      <c r="Q29" s="172" t="str">
        <f t="shared" ref="Q29:R29" si="28">IF(I29="","",$J29*O29)</f>
        <v/>
      </c>
      <c r="R29" s="172" t="str">
        <f t="shared" si="28"/>
        <v/>
      </c>
      <c r="S29" s="173" t="str">
        <f t="shared" si="7"/>
        <v/>
      </c>
      <c r="T29" s="173" t="str">
        <f t="shared" si="8"/>
        <v/>
      </c>
      <c r="U29" s="170"/>
    </row>
    <row r="30" ht="24.75" customHeight="1">
      <c r="A30" s="174"/>
      <c r="B30" s="174"/>
      <c r="C30" s="174"/>
      <c r="D30" s="174"/>
      <c r="E30" s="174"/>
      <c r="F30" s="175"/>
      <c r="G30" s="175"/>
      <c r="H30" s="175"/>
      <c r="I30" s="175"/>
      <c r="J30" s="175"/>
      <c r="K30" s="175"/>
      <c r="L30" s="171" t="str">
        <f t="array" ref="L30">IFERROR(XLOOKUP($C30,HNCxTIPO!$D:$D,HNCxTIPO!E:E),"")</f>
        <v/>
      </c>
      <c r="M30" s="171" t="str">
        <f t="array" ref="M30">IFERROR(XLOOKUP($C30,HNCxTIPO!$D:$D,HNCxTIPO!F:F),"")</f>
        <v/>
      </c>
      <c r="N30" s="171" t="str">
        <f t="array" ref="N30">IFERROR(XLOOKUP($C30,HNCxTIPO!$D:$D,HNCxTIPO!G:G),"")</f>
        <v/>
      </c>
      <c r="O30" s="172" t="str">
        <f t="shared" si="3"/>
        <v/>
      </c>
      <c r="P30" s="172" t="str">
        <f t="shared" si="4"/>
        <v/>
      </c>
      <c r="Q30" s="172" t="str">
        <f t="shared" ref="Q30:R30" si="29">IF(I30="","",$J30*O30)</f>
        <v/>
      </c>
      <c r="R30" s="172" t="str">
        <f t="shared" si="29"/>
        <v/>
      </c>
      <c r="S30" s="176" t="str">
        <f t="shared" si="7"/>
        <v/>
      </c>
      <c r="T30" s="176" t="str">
        <f t="shared" si="8"/>
        <v/>
      </c>
      <c r="U30" s="175"/>
    </row>
    <row r="31" ht="24.75" customHeight="1">
      <c r="A31" s="169"/>
      <c r="B31" s="169"/>
      <c r="C31" s="169"/>
      <c r="D31" s="169"/>
      <c r="E31" s="169"/>
      <c r="F31" s="170"/>
      <c r="G31" s="170"/>
      <c r="H31" s="170"/>
      <c r="I31" s="170"/>
      <c r="J31" s="170"/>
      <c r="K31" s="170"/>
      <c r="L31" s="171" t="str">
        <f t="array" ref="L31">IFERROR(XLOOKUP($C31,HNCxTIPO!$D:$D,HNCxTIPO!E:E),"")</f>
        <v/>
      </c>
      <c r="M31" s="171" t="str">
        <f t="array" ref="M31">IFERROR(XLOOKUP($C31,HNCxTIPO!$D:$D,HNCxTIPO!F:F),"")</f>
        <v/>
      </c>
      <c r="N31" s="171" t="str">
        <f t="array" ref="N31">IFERROR(XLOOKUP($C31,HNCxTIPO!$D:$D,HNCxTIPO!G:G),"")</f>
        <v/>
      </c>
      <c r="O31" s="172" t="str">
        <f t="shared" si="3"/>
        <v/>
      </c>
      <c r="P31" s="172" t="str">
        <f t="shared" si="4"/>
        <v/>
      </c>
      <c r="Q31" s="172" t="str">
        <f t="shared" ref="Q31:R31" si="30">IF(I31="","",$J31*O31)</f>
        <v/>
      </c>
      <c r="R31" s="172" t="str">
        <f t="shared" si="30"/>
        <v/>
      </c>
      <c r="S31" s="173" t="str">
        <f t="shared" si="7"/>
        <v/>
      </c>
      <c r="T31" s="173" t="str">
        <f t="shared" si="8"/>
        <v/>
      </c>
      <c r="U31" s="170"/>
    </row>
    <row r="32" ht="24.75" customHeight="1">
      <c r="A32" s="174"/>
      <c r="B32" s="174"/>
      <c r="C32" s="174"/>
      <c r="D32" s="174"/>
      <c r="E32" s="174"/>
      <c r="F32" s="175"/>
      <c r="G32" s="175"/>
      <c r="H32" s="175"/>
      <c r="I32" s="175"/>
      <c r="J32" s="175"/>
      <c r="K32" s="175"/>
      <c r="L32" s="171" t="str">
        <f t="array" ref="L32">IFERROR(XLOOKUP($C32,HNCxTIPO!$D:$D,HNCxTIPO!E:E),"")</f>
        <v/>
      </c>
      <c r="M32" s="171" t="str">
        <f t="array" ref="M32">IFERROR(XLOOKUP($C32,HNCxTIPO!$D:$D,HNCxTIPO!F:F),"")</f>
        <v/>
      </c>
      <c r="N32" s="171" t="str">
        <f t="array" ref="N32">IFERROR(XLOOKUP($C32,HNCxTIPO!$D:$D,HNCxTIPO!G:G),"")</f>
        <v/>
      </c>
      <c r="O32" s="172" t="str">
        <f t="shared" si="3"/>
        <v/>
      </c>
      <c r="P32" s="172" t="str">
        <f t="shared" si="4"/>
        <v/>
      </c>
      <c r="Q32" s="172" t="str">
        <f t="shared" ref="Q32:R32" si="31">IF(I32="","",$J32*O32)</f>
        <v/>
      </c>
      <c r="R32" s="172" t="str">
        <f t="shared" si="31"/>
        <v/>
      </c>
      <c r="S32" s="176" t="str">
        <f t="shared" si="7"/>
        <v/>
      </c>
      <c r="T32" s="176" t="str">
        <f t="shared" si="8"/>
        <v/>
      </c>
      <c r="U32" s="175"/>
    </row>
    <row r="33" ht="24.75" customHeight="1">
      <c r="A33" s="169"/>
      <c r="B33" s="169"/>
      <c r="C33" s="169"/>
      <c r="D33" s="169"/>
      <c r="E33" s="169"/>
      <c r="F33" s="170"/>
      <c r="G33" s="170"/>
      <c r="H33" s="170"/>
      <c r="I33" s="170"/>
      <c r="J33" s="170"/>
      <c r="K33" s="170"/>
      <c r="L33" s="171" t="str">
        <f t="array" ref="L33">IFERROR(XLOOKUP($C33,HNCxTIPO!$D:$D,HNCxTIPO!E:E),"")</f>
        <v/>
      </c>
      <c r="M33" s="171" t="str">
        <f t="array" ref="M33">IFERROR(XLOOKUP($C33,HNCxTIPO!$D:$D,HNCxTIPO!F:F),"")</f>
        <v/>
      </c>
      <c r="N33" s="171" t="str">
        <f t="array" ref="N33">IFERROR(XLOOKUP($C33,HNCxTIPO!$D:$D,HNCxTIPO!G:G),"")</f>
        <v/>
      </c>
      <c r="O33" s="172" t="str">
        <f t="shared" si="3"/>
        <v/>
      </c>
      <c r="P33" s="172" t="str">
        <f t="shared" si="4"/>
        <v/>
      </c>
      <c r="Q33" s="172" t="str">
        <f t="shared" ref="Q33:R33" si="32">IF(I33="","",$J33*O33)</f>
        <v/>
      </c>
      <c r="R33" s="172" t="str">
        <f t="shared" si="32"/>
        <v/>
      </c>
      <c r="S33" s="173" t="str">
        <f t="shared" si="7"/>
        <v/>
      </c>
      <c r="T33" s="173" t="str">
        <f t="shared" si="8"/>
        <v/>
      </c>
      <c r="U33" s="170"/>
    </row>
    <row r="34" ht="24.75" customHeight="1">
      <c r="A34" s="174"/>
      <c r="B34" s="174"/>
      <c r="C34" s="174"/>
      <c r="D34" s="174"/>
      <c r="E34" s="174"/>
      <c r="F34" s="175"/>
      <c r="G34" s="175"/>
      <c r="H34" s="175"/>
      <c r="I34" s="175"/>
      <c r="J34" s="175"/>
      <c r="K34" s="175"/>
      <c r="L34" s="171" t="str">
        <f t="array" ref="L34">IFERROR(XLOOKUP($C34,HNCxTIPO!$D:$D,HNCxTIPO!E:E),"")</f>
        <v/>
      </c>
      <c r="M34" s="171" t="str">
        <f t="array" ref="M34">IFERROR(XLOOKUP($C34,HNCxTIPO!$D:$D,HNCxTIPO!F:F),"")</f>
        <v/>
      </c>
      <c r="N34" s="171" t="str">
        <f t="array" ref="N34">IFERROR(XLOOKUP($C34,HNCxTIPO!$D:$D,HNCxTIPO!G:G),"")</f>
        <v/>
      </c>
      <c r="O34" s="172" t="str">
        <f t="shared" si="3"/>
        <v/>
      </c>
      <c r="P34" s="172" t="str">
        <f t="shared" si="4"/>
        <v/>
      </c>
      <c r="Q34" s="172" t="str">
        <f t="shared" ref="Q34:R34" si="33">IF(I34="","",$J34*O34)</f>
        <v/>
      </c>
      <c r="R34" s="172" t="str">
        <f t="shared" si="33"/>
        <v/>
      </c>
      <c r="S34" s="176" t="str">
        <f t="shared" si="7"/>
        <v/>
      </c>
      <c r="T34" s="176" t="str">
        <f t="shared" si="8"/>
        <v/>
      </c>
      <c r="U34" s="175"/>
    </row>
    <row r="35" ht="24.75" customHeight="1">
      <c r="A35" s="169"/>
      <c r="B35" s="169"/>
      <c r="C35" s="169"/>
      <c r="D35" s="169"/>
      <c r="E35" s="169"/>
      <c r="F35" s="170"/>
      <c r="G35" s="170"/>
      <c r="H35" s="170"/>
      <c r="I35" s="170"/>
      <c r="J35" s="170"/>
      <c r="K35" s="170"/>
      <c r="L35" s="171" t="str">
        <f t="array" ref="L35">IFERROR(XLOOKUP($C35,HNCxTIPO!$D:$D,HNCxTIPO!E:E),"")</f>
        <v/>
      </c>
      <c r="M35" s="171" t="str">
        <f t="array" ref="M35">IFERROR(XLOOKUP($C35,HNCxTIPO!$D:$D,HNCxTIPO!F:F),"")</f>
        <v/>
      </c>
      <c r="N35" s="171" t="str">
        <f t="array" ref="N35">IFERROR(XLOOKUP($C35,HNCxTIPO!$D:$D,HNCxTIPO!G:G),"")</f>
        <v/>
      </c>
      <c r="O35" s="172" t="str">
        <f t="shared" si="3"/>
        <v/>
      </c>
      <c r="P35" s="172" t="str">
        <f t="shared" si="4"/>
        <v/>
      </c>
      <c r="Q35" s="172" t="str">
        <f t="shared" ref="Q35:R35" si="34">IF(I35="","",$J35*O35)</f>
        <v/>
      </c>
      <c r="R35" s="172" t="str">
        <f t="shared" si="34"/>
        <v/>
      </c>
      <c r="S35" s="173" t="str">
        <f t="shared" si="7"/>
        <v/>
      </c>
      <c r="T35" s="173" t="str">
        <f t="shared" si="8"/>
        <v/>
      </c>
      <c r="U35" s="170"/>
    </row>
    <row r="36" ht="24.75" customHeight="1">
      <c r="A36" s="174"/>
      <c r="B36" s="174"/>
      <c r="C36" s="174"/>
      <c r="D36" s="174"/>
      <c r="E36" s="174"/>
      <c r="F36" s="175"/>
      <c r="G36" s="175"/>
      <c r="H36" s="175"/>
      <c r="I36" s="175"/>
      <c r="J36" s="175"/>
      <c r="K36" s="175"/>
      <c r="L36" s="171" t="str">
        <f t="array" ref="L36">IFERROR(XLOOKUP($C36,HNCxTIPO!$D:$D,HNCxTIPO!E:E),"")</f>
        <v/>
      </c>
      <c r="M36" s="171" t="str">
        <f t="array" ref="M36">IFERROR(XLOOKUP($C36,HNCxTIPO!$D:$D,HNCxTIPO!F:F),"")</f>
        <v/>
      </c>
      <c r="N36" s="171" t="str">
        <f t="array" ref="N36">IFERROR(XLOOKUP($C36,HNCxTIPO!$D:$D,HNCxTIPO!G:G),"")</f>
        <v/>
      </c>
      <c r="O36" s="172" t="str">
        <f t="shared" si="3"/>
        <v/>
      </c>
      <c r="P36" s="172" t="str">
        <f t="shared" si="4"/>
        <v/>
      </c>
      <c r="Q36" s="172" t="str">
        <f t="shared" ref="Q36:R36" si="35">IF(I36="","",$J36*O36)</f>
        <v/>
      </c>
      <c r="R36" s="172" t="str">
        <f t="shared" si="35"/>
        <v/>
      </c>
      <c r="S36" s="176" t="str">
        <f t="shared" si="7"/>
        <v/>
      </c>
      <c r="T36" s="176" t="str">
        <f t="shared" si="8"/>
        <v/>
      </c>
      <c r="U36" s="175"/>
    </row>
    <row r="37" ht="24.75" customHeight="1">
      <c r="A37" s="169"/>
      <c r="B37" s="169"/>
      <c r="C37" s="169"/>
      <c r="D37" s="169"/>
      <c r="E37" s="169"/>
      <c r="F37" s="170"/>
      <c r="G37" s="170"/>
      <c r="H37" s="170"/>
      <c r="I37" s="170"/>
      <c r="J37" s="170"/>
      <c r="K37" s="170"/>
      <c r="L37" s="171" t="str">
        <f t="array" ref="L37">IFERROR(XLOOKUP($C37,HNCxTIPO!$D:$D,HNCxTIPO!E:E),"")</f>
        <v/>
      </c>
      <c r="M37" s="171" t="str">
        <f t="array" ref="M37">IFERROR(XLOOKUP($C37,HNCxTIPO!$D:$D,HNCxTIPO!F:F),"")</f>
        <v/>
      </c>
      <c r="N37" s="171" t="str">
        <f t="array" ref="N37">IFERROR(XLOOKUP($C37,HNCxTIPO!$D:$D,HNCxTIPO!G:G),"")</f>
        <v/>
      </c>
      <c r="O37" s="172" t="str">
        <f t="shared" si="3"/>
        <v/>
      </c>
      <c r="P37" s="172" t="str">
        <f t="shared" si="4"/>
        <v/>
      </c>
      <c r="Q37" s="172" t="str">
        <f t="shared" ref="Q37:R37" si="36">IF(I37="","",$J37*O37)</f>
        <v/>
      </c>
      <c r="R37" s="172" t="str">
        <f t="shared" si="36"/>
        <v/>
      </c>
      <c r="S37" s="173" t="str">
        <f t="shared" si="7"/>
        <v/>
      </c>
      <c r="T37" s="173" t="str">
        <f t="shared" si="8"/>
        <v/>
      </c>
      <c r="U37" s="170"/>
    </row>
    <row r="38" ht="24.75" customHeight="1">
      <c r="A38" s="174"/>
      <c r="B38" s="174"/>
      <c r="C38" s="174"/>
      <c r="D38" s="174"/>
      <c r="E38" s="174"/>
      <c r="F38" s="175"/>
      <c r="G38" s="175"/>
      <c r="H38" s="175"/>
      <c r="I38" s="175"/>
      <c r="J38" s="175"/>
      <c r="K38" s="175"/>
      <c r="L38" s="171" t="str">
        <f t="array" ref="L38">IFERROR(XLOOKUP($C38,HNCxTIPO!$D:$D,HNCxTIPO!E:E),"")</f>
        <v/>
      </c>
      <c r="M38" s="171" t="str">
        <f t="array" ref="M38">IFERROR(XLOOKUP($C38,HNCxTIPO!$D:$D,HNCxTIPO!F:F),"")</f>
        <v/>
      </c>
      <c r="N38" s="171" t="str">
        <f t="array" ref="N38">IFERROR(XLOOKUP($C38,HNCxTIPO!$D:$D,HNCxTIPO!G:G),"")</f>
        <v/>
      </c>
      <c r="O38" s="172" t="str">
        <f t="shared" si="3"/>
        <v/>
      </c>
      <c r="P38" s="172" t="str">
        <f t="shared" si="4"/>
        <v/>
      </c>
      <c r="Q38" s="172" t="str">
        <f t="shared" ref="Q38:R38" si="37">IF(I38="","",$J38*O38)</f>
        <v/>
      </c>
      <c r="R38" s="172" t="str">
        <f t="shared" si="37"/>
        <v/>
      </c>
      <c r="S38" s="176" t="str">
        <f t="shared" si="7"/>
        <v/>
      </c>
      <c r="T38" s="176" t="str">
        <f t="shared" si="8"/>
        <v/>
      </c>
      <c r="U38" s="175"/>
    </row>
    <row r="39" ht="24.75" customHeight="1">
      <c r="A39" s="169"/>
      <c r="B39" s="169"/>
      <c r="C39" s="169"/>
      <c r="D39" s="169"/>
      <c r="E39" s="169"/>
      <c r="F39" s="170"/>
      <c r="G39" s="170"/>
      <c r="H39" s="170"/>
      <c r="I39" s="170"/>
      <c r="J39" s="170"/>
      <c r="K39" s="170"/>
      <c r="L39" s="171" t="str">
        <f t="array" ref="L39">IFERROR(XLOOKUP($C39,HNCxTIPO!$D:$D,HNCxTIPO!E:E),"")</f>
        <v/>
      </c>
      <c r="M39" s="171" t="str">
        <f t="array" ref="M39">IFERROR(XLOOKUP($C39,HNCxTIPO!$D:$D,HNCxTIPO!F:F),"")</f>
        <v/>
      </c>
      <c r="N39" s="171" t="str">
        <f t="array" ref="N39">IFERROR(XLOOKUP($C39,HNCxTIPO!$D:$D,HNCxTIPO!G:G),"")</f>
        <v/>
      </c>
      <c r="O39" s="172" t="str">
        <f t="shared" si="3"/>
        <v/>
      </c>
      <c r="P39" s="172" t="str">
        <f t="shared" si="4"/>
        <v/>
      </c>
      <c r="Q39" s="172" t="str">
        <f t="shared" ref="Q39:R39" si="38">IF(I39="","",$J39*O39)</f>
        <v/>
      </c>
      <c r="R39" s="172" t="str">
        <f t="shared" si="38"/>
        <v/>
      </c>
      <c r="S39" s="173" t="str">
        <f t="shared" si="7"/>
        <v/>
      </c>
      <c r="T39" s="173" t="str">
        <f t="shared" si="8"/>
        <v/>
      </c>
      <c r="U39" s="170"/>
    </row>
    <row r="40" ht="24.75" customHeight="1">
      <c r="A40" s="174"/>
      <c r="B40" s="174"/>
      <c r="C40" s="174"/>
      <c r="D40" s="174"/>
      <c r="E40" s="174"/>
      <c r="F40" s="175"/>
      <c r="G40" s="175"/>
      <c r="H40" s="175"/>
      <c r="I40" s="175"/>
      <c r="J40" s="175"/>
      <c r="K40" s="175"/>
      <c r="L40" s="171" t="str">
        <f t="array" ref="L40">IFERROR(XLOOKUP($C40,HNCxTIPO!$D:$D,HNCxTIPO!E:E),"")</f>
        <v/>
      </c>
      <c r="M40" s="171" t="str">
        <f t="array" ref="M40">IFERROR(XLOOKUP($C40,HNCxTIPO!$D:$D,HNCxTIPO!F:F),"")</f>
        <v/>
      </c>
      <c r="N40" s="171" t="str">
        <f t="array" ref="N40">IFERROR(XLOOKUP($C40,HNCxTIPO!$D:$D,HNCxTIPO!G:G),"")</f>
        <v/>
      </c>
      <c r="O40" s="172" t="str">
        <f t="shared" si="3"/>
        <v/>
      </c>
      <c r="P40" s="172" t="str">
        <f t="shared" si="4"/>
        <v/>
      </c>
      <c r="Q40" s="172" t="str">
        <f t="shared" ref="Q40:R40" si="39">IF(I40="","",$J40*O40)</f>
        <v/>
      </c>
      <c r="R40" s="172" t="str">
        <f t="shared" si="39"/>
        <v/>
      </c>
      <c r="S40" s="176" t="str">
        <f t="shared" si="7"/>
        <v/>
      </c>
      <c r="T40" s="176" t="str">
        <f t="shared" si="8"/>
        <v/>
      </c>
      <c r="U40" s="175"/>
    </row>
    <row r="41" ht="24.75" customHeight="1">
      <c r="A41" s="169"/>
      <c r="B41" s="169"/>
      <c r="C41" s="169"/>
      <c r="D41" s="169"/>
      <c r="E41" s="169"/>
      <c r="F41" s="170"/>
      <c r="G41" s="170"/>
      <c r="H41" s="170"/>
      <c r="I41" s="170"/>
      <c r="J41" s="170"/>
      <c r="K41" s="170"/>
      <c r="L41" s="171" t="str">
        <f t="array" ref="L41">IFERROR(XLOOKUP($C41,HNCxTIPO!$D:$D,HNCxTIPO!E:E),"")</f>
        <v/>
      </c>
      <c r="M41" s="171" t="str">
        <f t="array" ref="M41">IFERROR(XLOOKUP($C41,HNCxTIPO!$D:$D,HNCxTIPO!F:F),"")</f>
        <v/>
      </c>
      <c r="N41" s="171" t="str">
        <f t="array" ref="N41">IFERROR(XLOOKUP($C41,HNCxTIPO!$D:$D,HNCxTIPO!G:G),"")</f>
        <v/>
      </c>
      <c r="O41" s="172" t="str">
        <f t="shared" si="3"/>
        <v/>
      </c>
      <c r="P41" s="172" t="str">
        <f t="shared" si="4"/>
        <v/>
      </c>
      <c r="Q41" s="172" t="str">
        <f t="shared" ref="Q41:R41" si="40">IF(I41="","",$J41*O41)</f>
        <v/>
      </c>
      <c r="R41" s="172" t="str">
        <f t="shared" si="40"/>
        <v/>
      </c>
      <c r="S41" s="173" t="str">
        <f t="shared" si="7"/>
        <v/>
      </c>
      <c r="T41" s="173" t="str">
        <f t="shared" si="8"/>
        <v/>
      </c>
      <c r="U41" s="170"/>
    </row>
    <row r="42" ht="24.75" customHeight="1">
      <c r="A42" s="174"/>
      <c r="B42" s="174"/>
      <c r="C42" s="174"/>
      <c r="D42" s="174"/>
      <c r="E42" s="174"/>
      <c r="F42" s="175"/>
      <c r="G42" s="175"/>
      <c r="H42" s="175"/>
      <c r="I42" s="175"/>
      <c r="J42" s="175"/>
      <c r="K42" s="175"/>
      <c r="L42" s="171" t="str">
        <f t="array" ref="L42">IFERROR(XLOOKUP($C42,HNCxTIPO!$D:$D,HNCxTIPO!E:E),"")</f>
        <v/>
      </c>
      <c r="M42" s="171" t="str">
        <f t="array" ref="M42">IFERROR(XLOOKUP($C42,HNCxTIPO!$D:$D,HNCxTIPO!F:F),"")</f>
        <v/>
      </c>
      <c r="N42" s="171" t="str">
        <f t="array" ref="N42">IFERROR(XLOOKUP($C42,HNCxTIPO!$D:$D,HNCxTIPO!G:G),"")</f>
        <v/>
      </c>
      <c r="O42" s="172" t="str">
        <f t="shared" si="3"/>
        <v/>
      </c>
      <c r="P42" s="172" t="str">
        <f t="shared" si="4"/>
        <v/>
      </c>
      <c r="Q42" s="172" t="str">
        <f t="shared" ref="Q42:R42" si="41">IF(I42="","",$J42*O42)</f>
        <v/>
      </c>
      <c r="R42" s="172" t="str">
        <f t="shared" si="41"/>
        <v/>
      </c>
      <c r="S42" s="176" t="str">
        <f t="shared" si="7"/>
        <v/>
      </c>
      <c r="T42" s="176" t="str">
        <f t="shared" si="8"/>
        <v/>
      </c>
      <c r="U42" s="175"/>
    </row>
    <row r="43" ht="24.75" customHeight="1">
      <c r="A43" s="169"/>
      <c r="B43" s="169"/>
      <c r="C43" s="169"/>
      <c r="D43" s="169"/>
      <c r="E43" s="169"/>
      <c r="F43" s="170"/>
      <c r="G43" s="170"/>
      <c r="H43" s="170"/>
      <c r="I43" s="170"/>
      <c r="J43" s="170"/>
      <c r="K43" s="170"/>
      <c r="L43" s="171" t="str">
        <f t="array" ref="L43">IFERROR(XLOOKUP($C43,HNCxTIPO!$D:$D,HNCxTIPO!E:E),"")</f>
        <v/>
      </c>
      <c r="M43" s="171" t="str">
        <f t="array" ref="M43">IFERROR(XLOOKUP($C43,HNCxTIPO!$D:$D,HNCxTIPO!F:F),"")</f>
        <v/>
      </c>
      <c r="N43" s="171" t="str">
        <f t="array" ref="N43">IFERROR(XLOOKUP($C43,HNCxTIPO!$D:$D,HNCxTIPO!G:G),"")</f>
        <v/>
      </c>
      <c r="O43" s="172" t="str">
        <f t="shared" si="3"/>
        <v/>
      </c>
      <c r="P43" s="172" t="str">
        <f t="shared" si="4"/>
        <v/>
      </c>
      <c r="Q43" s="172" t="str">
        <f t="shared" ref="Q43:R43" si="42">IF(I43="","",$J43*O43)</f>
        <v/>
      </c>
      <c r="R43" s="172" t="str">
        <f t="shared" si="42"/>
        <v/>
      </c>
      <c r="S43" s="173" t="str">
        <f t="shared" si="7"/>
        <v/>
      </c>
      <c r="T43" s="173" t="str">
        <f t="shared" si="8"/>
        <v/>
      </c>
      <c r="U43" s="170"/>
    </row>
    <row r="44" ht="24.75" customHeight="1">
      <c r="A44" s="174"/>
      <c r="B44" s="174"/>
      <c r="C44" s="174"/>
      <c r="D44" s="174"/>
      <c r="E44" s="174"/>
      <c r="F44" s="175"/>
      <c r="G44" s="175"/>
      <c r="H44" s="175"/>
      <c r="I44" s="175"/>
      <c r="J44" s="175"/>
      <c r="K44" s="175"/>
      <c r="L44" s="171" t="str">
        <f t="array" ref="L44">IFERROR(XLOOKUP($C44,HNCxTIPO!$D:$D,HNCxTIPO!E:E),"")</f>
        <v/>
      </c>
      <c r="M44" s="171" t="str">
        <f t="array" ref="M44">IFERROR(XLOOKUP($C44,HNCxTIPO!$D:$D,HNCxTIPO!F:F),"")</f>
        <v/>
      </c>
      <c r="N44" s="171" t="str">
        <f t="array" ref="N44">IFERROR(XLOOKUP($C44,HNCxTIPO!$D:$D,HNCxTIPO!G:G),"")</f>
        <v/>
      </c>
      <c r="O44" s="172" t="str">
        <f t="shared" si="3"/>
        <v/>
      </c>
      <c r="P44" s="172" t="str">
        <f t="shared" si="4"/>
        <v/>
      </c>
      <c r="Q44" s="172" t="str">
        <f t="shared" ref="Q44:R44" si="43">IF(I44="","",$J44*O44)</f>
        <v/>
      </c>
      <c r="R44" s="172" t="str">
        <f t="shared" si="43"/>
        <v/>
      </c>
      <c r="S44" s="176" t="str">
        <f t="shared" si="7"/>
        <v/>
      </c>
      <c r="T44" s="176" t="str">
        <f t="shared" si="8"/>
        <v/>
      </c>
      <c r="U44" s="175"/>
    </row>
    <row r="45" ht="24.75" customHeight="1">
      <c r="A45" s="169"/>
      <c r="B45" s="169"/>
      <c r="C45" s="169"/>
      <c r="D45" s="169"/>
      <c r="E45" s="169"/>
      <c r="F45" s="170"/>
      <c r="G45" s="170"/>
      <c r="H45" s="170"/>
      <c r="I45" s="170"/>
      <c r="J45" s="170"/>
      <c r="K45" s="170"/>
      <c r="L45" s="171" t="str">
        <f t="array" ref="L45">IFERROR(XLOOKUP($C45,HNCxTIPO!$D:$D,HNCxTIPO!E:E),"")</f>
        <v/>
      </c>
      <c r="M45" s="171" t="str">
        <f t="array" ref="M45">IFERROR(XLOOKUP($C45,HNCxTIPO!$D:$D,HNCxTIPO!F:F),"")</f>
        <v/>
      </c>
      <c r="N45" s="171" t="str">
        <f t="array" ref="N45">IFERROR(XLOOKUP($C45,HNCxTIPO!$D:$D,HNCxTIPO!G:G),"")</f>
        <v/>
      </c>
      <c r="O45" s="172" t="str">
        <f t="shared" si="3"/>
        <v/>
      </c>
      <c r="P45" s="172" t="str">
        <f t="shared" si="4"/>
        <v/>
      </c>
      <c r="Q45" s="172" t="str">
        <f t="shared" ref="Q45:R45" si="44">IF(I45="","",$J45*O45)</f>
        <v/>
      </c>
      <c r="R45" s="172" t="str">
        <f t="shared" si="44"/>
        <v/>
      </c>
      <c r="S45" s="173" t="str">
        <f t="shared" si="7"/>
        <v/>
      </c>
      <c r="T45" s="173" t="str">
        <f t="shared" si="8"/>
        <v/>
      </c>
      <c r="U45" s="170"/>
    </row>
    <row r="46" ht="24.75" customHeight="1">
      <c r="A46" s="174"/>
      <c r="B46" s="174"/>
      <c r="C46" s="174"/>
      <c r="D46" s="174"/>
      <c r="E46" s="174"/>
      <c r="F46" s="175"/>
      <c r="G46" s="175"/>
      <c r="H46" s="175"/>
      <c r="I46" s="175"/>
      <c r="J46" s="175"/>
      <c r="K46" s="175"/>
      <c r="L46" s="171" t="str">
        <f t="array" ref="L46">IFERROR(XLOOKUP($C46,HNCxTIPO!$D:$D,HNCxTIPO!E:E),"")</f>
        <v/>
      </c>
      <c r="M46" s="171" t="str">
        <f t="array" ref="M46">IFERROR(XLOOKUP($C46,HNCxTIPO!$D:$D,HNCxTIPO!F:F),"")</f>
        <v/>
      </c>
      <c r="N46" s="171" t="str">
        <f t="array" ref="N46">IFERROR(XLOOKUP($C46,HNCxTIPO!$D:$D,HNCxTIPO!G:G),"")</f>
        <v/>
      </c>
      <c r="O46" s="172" t="str">
        <f t="shared" si="3"/>
        <v/>
      </c>
      <c r="P46" s="172" t="str">
        <f t="shared" si="4"/>
        <v/>
      </c>
      <c r="Q46" s="172" t="str">
        <f t="shared" ref="Q46:R46" si="45">IF(I46="","",$J46*O46)</f>
        <v/>
      </c>
      <c r="R46" s="172" t="str">
        <f t="shared" si="45"/>
        <v/>
      </c>
      <c r="S46" s="176" t="str">
        <f t="shared" si="7"/>
        <v/>
      </c>
      <c r="T46" s="176" t="str">
        <f t="shared" si="8"/>
        <v/>
      </c>
      <c r="U46" s="175"/>
    </row>
    <row r="47" ht="24.75" customHeight="1">
      <c r="A47" s="169"/>
      <c r="B47" s="169"/>
      <c r="C47" s="169"/>
      <c r="D47" s="169"/>
      <c r="E47" s="169"/>
      <c r="F47" s="170"/>
      <c r="G47" s="170"/>
      <c r="H47" s="170"/>
      <c r="I47" s="170"/>
      <c r="J47" s="170"/>
      <c r="K47" s="170"/>
      <c r="L47" s="171" t="str">
        <f t="array" ref="L47">IFERROR(XLOOKUP($C47,HNCxTIPO!$D:$D,HNCxTIPO!E:E),"")</f>
        <v/>
      </c>
      <c r="M47" s="171" t="str">
        <f t="array" ref="M47">IFERROR(XLOOKUP($C47,HNCxTIPO!$D:$D,HNCxTIPO!F:F),"")</f>
        <v/>
      </c>
      <c r="N47" s="171" t="str">
        <f t="array" ref="N47">IFERROR(XLOOKUP($C47,HNCxTIPO!$D:$D,HNCxTIPO!G:G),"")</f>
        <v/>
      </c>
      <c r="O47" s="172" t="str">
        <f t="shared" si="3"/>
        <v/>
      </c>
      <c r="P47" s="172" t="str">
        <f t="shared" si="4"/>
        <v/>
      </c>
      <c r="Q47" s="172" t="str">
        <f t="shared" ref="Q47:R47" si="46">IF(I47="","",$J47*O47)</f>
        <v/>
      </c>
      <c r="R47" s="172" t="str">
        <f t="shared" si="46"/>
        <v/>
      </c>
      <c r="S47" s="173" t="str">
        <f t="shared" si="7"/>
        <v/>
      </c>
      <c r="T47" s="173" t="str">
        <f t="shared" si="8"/>
        <v/>
      </c>
      <c r="U47" s="170"/>
    </row>
    <row r="48" ht="24.75" customHeight="1">
      <c r="A48" s="174"/>
      <c r="B48" s="174"/>
      <c r="C48" s="174"/>
      <c r="D48" s="174"/>
      <c r="E48" s="174"/>
      <c r="F48" s="175"/>
      <c r="G48" s="175"/>
      <c r="H48" s="175"/>
      <c r="I48" s="175"/>
      <c r="J48" s="175"/>
      <c r="K48" s="175"/>
      <c r="L48" s="171" t="str">
        <f t="array" ref="L48">IFERROR(XLOOKUP($C48,HNCxTIPO!$D:$D,HNCxTIPO!E:E),"")</f>
        <v/>
      </c>
      <c r="M48" s="171" t="str">
        <f t="array" ref="M48">IFERROR(XLOOKUP($C48,HNCxTIPO!$D:$D,HNCxTIPO!F:F),"")</f>
        <v/>
      </c>
      <c r="N48" s="171" t="str">
        <f t="array" ref="N48">IFERROR(XLOOKUP($C48,HNCxTIPO!$D:$D,HNCxTIPO!G:G),"")</f>
        <v/>
      </c>
      <c r="O48" s="172" t="str">
        <f t="shared" si="3"/>
        <v/>
      </c>
      <c r="P48" s="172" t="str">
        <f t="shared" si="4"/>
        <v/>
      </c>
      <c r="Q48" s="172" t="str">
        <f t="shared" ref="Q48:R48" si="47">IF(I48="","",$J48*O48)</f>
        <v/>
      </c>
      <c r="R48" s="172" t="str">
        <f t="shared" si="47"/>
        <v/>
      </c>
      <c r="S48" s="176" t="str">
        <f t="shared" si="7"/>
        <v/>
      </c>
      <c r="T48" s="176" t="str">
        <f t="shared" si="8"/>
        <v/>
      </c>
      <c r="U48" s="175"/>
    </row>
    <row r="49" ht="24.75" customHeight="1">
      <c r="A49" s="169"/>
      <c r="B49" s="169"/>
      <c r="C49" s="169"/>
      <c r="D49" s="169"/>
      <c r="E49" s="169"/>
      <c r="F49" s="170"/>
      <c r="G49" s="170"/>
      <c r="H49" s="170"/>
      <c r="I49" s="170"/>
      <c r="J49" s="170"/>
      <c r="K49" s="170"/>
      <c r="L49" s="171" t="str">
        <f t="array" ref="L49">IFERROR(XLOOKUP($C49,HNCxTIPO!$D:$D,HNCxTIPO!E:E),"")</f>
        <v/>
      </c>
      <c r="M49" s="171" t="str">
        <f t="array" ref="M49">IFERROR(XLOOKUP($C49,HNCxTIPO!$D:$D,HNCxTIPO!F:F),"")</f>
        <v/>
      </c>
      <c r="N49" s="171" t="str">
        <f t="array" ref="N49">IFERROR(XLOOKUP($C49,HNCxTIPO!$D:$D,HNCxTIPO!G:G),"")</f>
        <v/>
      </c>
      <c r="O49" s="172" t="str">
        <f t="shared" si="3"/>
        <v/>
      </c>
      <c r="P49" s="172" t="str">
        <f t="shared" si="4"/>
        <v/>
      </c>
      <c r="Q49" s="172" t="str">
        <f t="shared" ref="Q49:R49" si="48">IF(I49="","",$J49*O49)</f>
        <v/>
      </c>
      <c r="R49" s="172" t="str">
        <f t="shared" si="48"/>
        <v/>
      </c>
      <c r="S49" s="173" t="str">
        <f t="shared" si="7"/>
        <v/>
      </c>
      <c r="T49" s="173" t="str">
        <f t="shared" si="8"/>
        <v/>
      </c>
      <c r="U49" s="170"/>
    </row>
    <row r="50" ht="24.75" customHeight="1">
      <c r="A50" s="174"/>
      <c r="B50" s="174"/>
      <c r="C50" s="174"/>
      <c r="D50" s="174"/>
      <c r="E50" s="174"/>
      <c r="F50" s="175"/>
      <c r="G50" s="175"/>
      <c r="H50" s="175"/>
      <c r="I50" s="175"/>
      <c r="J50" s="175"/>
      <c r="K50" s="175"/>
      <c r="L50" s="171" t="str">
        <f t="array" ref="L50">IFERROR(XLOOKUP($C50,HNCxTIPO!$D:$D,HNCxTIPO!E:E),"")</f>
        <v/>
      </c>
      <c r="M50" s="171" t="str">
        <f t="array" ref="M50">IFERROR(XLOOKUP($C50,HNCxTIPO!$D:$D,HNCxTIPO!F:F),"")</f>
        <v/>
      </c>
      <c r="N50" s="171" t="str">
        <f t="array" ref="N50">IFERROR(XLOOKUP($C50,HNCxTIPO!$D:$D,HNCxTIPO!G:G),"")</f>
        <v/>
      </c>
      <c r="O50" s="172" t="str">
        <f t="shared" si="3"/>
        <v/>
      </c>
      <c r="P50" s="172" t="str">
        <f t="shared" si="4"/>
        <v/>
      </c>
      <c r="Q50" s="172" t="str">
        <f t="shared" ref="Q50:R50" si="49">IF(I50="","",$J50*O50)</f>
        <v/>
      </c>
      <c r="R50" s="172" t="str">
        <f t="shared" si="49"/>
        <v/>
      </c>
      <c r="S50" s="176" t="str">
        <f t="shared" si="7"/>
        <v/>
      </c>
      <c r="T50" s="176" t="str">
        <f t="shared" si="8"/>
        <v/>
      </c>
      <c r="U50" s="175"/>
    </row>
    <row r="51" ht="24.75" customHeight="1">
      <c r="A51" s="169"/>
      <c r="B51" s="169"/>
      <c r="C51" s="169"/>
      <c r="D51" s="169"/>
      <c r="E51" s="169"/>
      <c r="F51" s="170"/>
      <c r="G51" s="170"/>
      <c r="H51" s="170"/>
      <c r="I51" s="170"/>
      <c r="J51" s="170"/>
      <c r="K51" s="170"/>
      <c r="L51" s="171" t="str">
        <f t="array" ref="L51">IFERROR(XLOOKUP($C51,HNCxTIPO!$D:$D,HNCxTIPO!E:E),"")</f>
        <v/>
      </c>
      <c r="M51" s="171" t="str">
        <f t="array" ref="M51">IFERROR(XLOOKUP($C51,HNCxTIPO!$D:$D,HNCxTIPO!F:F),"")</f>
        <v/>
      </c>
      <c r="N51" s="171" t="str">
        <f t="array" ref="N51">IFERROR(XLOOKUP($C51,HNCxTIPO!$D:$D,HNCxTIPO!G:G),"")</f>
        <v/>
      </c>
      <c r="O51" s="172" t="str">
        <f t="shared" si="3"/>
        <v/>
      </c>
      <c r="P51" s="172" t="str">
        <f t="shared" si="4"/>
        <v/>
      </c>
      <c r="Q51" s="172" t="str">
        <f t="shared" ref="Q51:R51" si="50">IF(I51="","",$J51*O51)</f>
        <v/>
      </c>
      <c r="R51" s="172" t="str">
        <f t="shared" si="50"/>
        <v/>
      </c>
      <c r="S51" s="173" t="str">
        <f t="shared" si="7"/>
        <v/>
      </c>
      <c r="T51" s="173" t="str">
        <f t="shared" si="8"/>
        <v/>
      </c>
      <c r="U51" s="170"/>
    </row>
    <row r="52" ht="24.75" customHeight="1">
      <c r="A52" s="174"/>
      <c r="B52" s="174"/>
      <c r="C52" s="174"/>
      <c r="D52" s="174"/>
      <c r="E52" s="174"/>
      <c r="F52" s="175"/>
      <c r="G52" s="175"/>
      <c r="H52" s="175"/>
      <c r="I52" s="175"/>
      <c r="J52" s="175"/>
      <c r="K52" s="175"/>
      <c r="L52" s="171" t="str">
        <f t="array" ref="L52">IFERROR(XLOOKUP($C52,HNCxTIPO!$D:$D,HNCxTIPO!E:E),"")</f>
        <v/>
      </c>
      <c r="M52" s="171" t="str">
        <f t="array" ref="M52">IFERROR(XLOOKUP($C52,HNCxTIPO!$D:$D,HNCxTIPO!F:F),"")</f>
        <v/>
      </c>
      <c r="N52" s="171" t="str">
        <f t="array" ref="N52">IFERROR(XLOOKUP($C52,HNCxTIPO!$D:$D,HNCxTIPO!G:G),"")</f>
        <v/>
      </c>
      <c r="O52" s="172" t="str">
        <f t="shared" si="3"/>
        <v/>
      </c>
      <c r="P52" s="172" t="str">
        <f t="shared" si="4"/>
        <v/>
      </c>
      <c r="Q52" s="172" t="str">
        <f t="shared" ref="Q52:R52" si="51">IF(I52="","",$J52*O52)</f>
        <v/>
      </c>
      <c r="R52" s="172" t="str">
        <f t="shared" si="51"/>
        <v/>
      </c>
      <c r="S52" s="176" t="str">
        <f t="shared" si="7"/>
        <v/>
      </c>
      <c r="T52" s="176" t="str">
        <f t="shared" si="8"/>
        <v/>
      </c>
      <c r="U52" s="175"/>
    </row>
    <row r="53" ht="24.75" customHeight="1">
      <c r="A53" s="169"/>
      <c r="B53" s="169"/>
      <c r="C53" s="169"/>
      <c r="D53" s="169"/>
      <c r="E53" s="169"/>
      <c r="F53" s="170"/>
      <c r="G53" s="170"/>
      <c r="H53" s="170"/>
      <c r="I53" s="170"/>
      <c r="J53" s="170"/>
      <c r="K53" s="170"/>
      <c r="L53" s="171" t="str">
        <f t="array" ref="L53">IFERROR(XLOOKUP($C53,HNCxTIPO!$D:$D,HNCxTIPO!E:E),"")</f>
        <v/>
      </c>
      <c r="M53" s="171" t="str">
        <f t="array" ref="M53">IFERROR(XLOOKUP($C53,HNCxTIPO!$D:$D,HNCxTIPO!F:F),"")</f>
        <v/>
      </c>
      <c r="N53" s="171" t="str">
        <f t="array" ref="N53">IFERROR(XLOOKUP($C53,HNCxTIPO!$D:$D,HNCxTIPO!G:G),"")</f>
        <v/>
      </c>
      <c r="O53" s="172" t="str">
        <f t="shared" si="3"/>
        <v/>
      </c>
      <c r="P53" s="172" t="str">
        <f t="shared" si="4"/>
        <v/>
      </c>
      <c r="Q53" s="172" t="str">
        <f t="shared" ref="Q53:R53" si="52">IF(I53="","",$J53*O53)</f>
        <v/>
      </c>
      <c r="R53" s="172" t="str">
        <f t="shared" si="52"/>
        <v/>
      </c>
      <c r="S53" s="173" t="str">
        <f t="shared" si="7"/>
        <v/>
      </c>
      <c r="T53" s="173" t="str">
        <f t="shared" si="8"/>
        <v/>
      </c>
      <c r="U53" s="170"/>
    </row>
    <row r="54" ht="24.75" customHeight="1">
      <c r="A54" s="174"/>
      <c r="B54" s="174"/>
      <c r="C54" s="174"/>
      <c r="D54" s="174"/>
      <c r="E54" s="174"/>
      <c r="F54" s="175"/>
      <c r="G54" s="175"/>
      <c r="H54" s="175"/>
      <c r="I54" s="175"/>
      <c r="J54" s="175"/>
      <c r="K54" s="175"/>
      <c r="L54" s="171" t="str">
        <f t="array" ref="L54">IFERROR(XLOOKUP($C54,HNCxTIPO!$D:$D,HNCxTIPO!E:E),"")</f>
        <v/>
      </c>
      <c r="M54" s="171" t="str">
        <f t="array" ref="M54">IFERROR(XLOOKUP($C54,HNCxTIPO!$D:$D,HNCxTIPO!F:F),"")</f>
        <v/>
      </c>
      <c r="N54" s="171" t="str">
        <f t="array" ref="N54">IFERROR(XLOOKUP($C54,HNCxTIPO!$D:$D,HNCxTIPO!G:G),"")</f>
        <v/>
      </c>
      <c r="O54" s="172" t="str">
        <f t="shared" si="3"/>
        <v/>
      </c>
      <c r="P54" s="172" t="str">
        <f t="shared" si="4"/>
        <v/>
      </c>
      <c r="Q54" s="172" t="str">
        <f t="shared" ref="Q54:R54" si="53">IF(I54="","",$J54*O54)</f>
        <v/>
      </c>
      <c r="R54" s="172" t="str">
        <f t="shared" si="53"/>
        <v/>
      </c>
      <c r="S54" s="176" t="str">
        <f t="shared" si="7"/>
        <v/>
      </c>
      <c r="T54" s="176" t="str">
        <f t="shared" si="8"/>
        <v/>
      </c>
      <c r="U54" s="175"/>
    </row>
    <row r="55" ht="24.75" customHeight="1">
      <c r="A55" s="169"/>
      <c r="B55" s="169"/>
      <c r="C55" s="169"/>
      <c r="D55" s="169"/>
      <c r="E55" s="169"/>
      <c r="F55" s="170"/>
      <c r="G55" s="170"/>
      <c r="H55" s="170"/>
      <c r="I55" s="170"/>
      <c r="J55" s="170"/>
      <c r="K55" s="170"/>
      <c r="L55" s="171" t="str">
        <f t="array" ref="L55">IFERROR(XLOOKUP($C55,HNCxTIPO!$D:$D,HNCxTIPO!E:E),"")</f>
        <v/>
      </c>
      <c r="M55" s="171" t="str">
        <f t="array" ref="M55">IFERROR(XLOOKUP($C55,HNCxTIPO!$D:$D,HNCxTIPO!F:F),"")</f>
        <v/>
      </c>
      <c r="N55" s="171" t="str">
        <f t="array" ref="N55">IFERROR(XLOOKUP($C55,HNCxTIPO!$D:$D,HNCxTIPO!G:G),"")</f>
        <v/>
      </c>
      <c r="O55" s="172" t="str">
        <f t="shared" si="3"/>
        <v/>
      </c>
      <c r="P55" s="172" t="str">
        <f t="shared" si="4"/>
        <v/>
      </c>
      <c r="Q55" s="172" t="str">
        <f t="shared" ref="Q55:R55" si="54">IF(I55="","",$J55*O55)</f>
        <v/>
      </c>
      <c r="R55" s="172" t="str">
        <f t="shared" si="54"/>
        <v/>
      </c>
      <c r="S55" s="173" t="str">
        <f t="shared" si="7"/>
        <v/>
      </c>
      <c r="T55" s="173" t="str">
        <f t="shared" si="8"/>
        <v/>
      </c>
      <c r="U55" s="170"/>
    </row>
    <row r="56" ht="24.75" customHeight="1">
      <c r="A56" s="174"/>
      <c r="B56" s="174"/>
      <c r="C56" s="174"/>
      <c r="D56" s="174"/>
      <c r="E56" s="174"/>
      <c r="F56" s="175"/>
      <c r="G56" s="175"/>
      <c r="H56" s="175"/>
      <c r="I56" s="175"/>
      <c r="J56" s="175"/>
      <c r="K56" s="175"/>
      <c r="L56" s="171" t="str">
        <f t="array" ref="L56">IFERROR(XLOOKUP($C56,HNCxTIPO!$D:$D,HNCxTIPO!E:E),"")</f>
        <v/>
      </c>
      <c r="M56" s="171" t="str">
        <f t="array" ref="M56">IFERROR(XLOOKUP($C56,HNCxTIPO!$D:$D,HNCxTIPO!F:F),"")</f>
        <v/>
      </c>
      <c r="N56" s="171" t="str">
        <f t="array" ref="N56">IFERROR(XLOOKUP($C56,HNCxTIPO!$D:$D,HNCxTIPO!G:G),"")</f>
        <v/>
      </c>
      <c r="O56" s="172" t="str">
        <f t="shared" si="3"/>
        <v/>
      </c>
      <c r="P56" s="172" t="str">
        <f t="shared" si="4"/>
        <v/>
      </c>
      <c r="Q56" s="172" t="str">
        <f t="shared" ref="Q56:R56" si="55">IF(I56="","",$J56*O56)</f>
        <v/>
      </c>
      <c r="R56" s="172" t="str">
        <f t="shared" si="55"/>
        <v/>
      </c>
      <c r="S56" s="176" t="str">
        <f t="shared" si="7"/>
        <v/>
      </c>
      <c r="T56" s="176" t="str">
        <f t="shared" si="8"/>
        <v/>
      </c>
      <c r="U56" s="175"/>
    </row>
    <row r="57" ht="24.75" customHeight="1">
      <c r="A57" s="169"/>
      <c r="B57" s="169"/>
      <c r="C57" s="169"/>
      <c r="D57" s="169"/>
      <c r="E57" s="169"/>
      <c r="F57" s="170"/>
      <c r="G57" s="170"/>
      <c r="H57" s="170"/>
      <c r="I57" s="170"/>
      <c r="J57" s="170"/>
      <c r="K57" s="170"/>
      <c r="L57" s="171" t="str">
        <f t="array" ref="L57">IFERROR(XLOOKUP($C57,HNCxTIPO!$D:$D,HNCxTIPO!E:E),"")</f>
        <v/>
      </c>
      <c r="M57" s="171" t="str">
        <f t="array" ref="M57">IFERROR(XLOOKUP($C57,HNCxTIPO!$D:$D,HNCxTIPO!F:F),"")</f>
        <v/>
      </c>
      <c r="N57" s="171" t="str">
        <f t="array" ref="N57">IFERROR(XLOOKUP($C57,HNCxTIPO!$D:$D,HNCxTIPO!G:G),"")</f>
        <v/>
      </c>
      <c r="O57" s="172" t="str">
        <f t="shared" si="3"/>
        <v/>
      </c>
      <c r="P57" s="172" t="str">
        <f t="shared" si="4"/>
        <v/>
      </c>
      <c r="Q57" s="172" t="str">
        <f t="shared" ref="Q57:R57" si="56">IF(I57="","",$J57*O57)</f>
        <v/>
      </c>
      <c r="R57" s="172" t="str">
        <f t="shared" si="56"/>
        <v/>
      </c>
      <c r="S57" s="173" t="str">
        <f t="shared" si="7"/>
        <v/>
      </c>
      <c r="T57" s="173" t="str">
        <f t="shared" si="8"/>
        <v/>
      </c>
      <c r="U57" s="170"/>
    </row>
    <row r="58" ht="24.75" customHeight="1">
      <c r="A58" s="174"/>
      <c r="B58" s="174"/>
      <c r="C58" s="174"/>
      <c r="D58" s="174"/>
      <c r="E58" s="174"/>
      <c r="F58" s="175"/>
      <c r="G58" s="175"/>
      <c r="H58" s="175"/>
      <c r="I58" s="175"/>
      <c r="J58" s="175"/>
      <c r="K58" s="175"/>
      <c r="L58" s="171" t="str">
        <f t="array" ref="L58">IFERROR(XLOOKUP($C58,HNCxTIPO!$D:$D,HNCxTIPO!E:E),"")</f>
        <v/>
      </c>
      <c r="M58" s="171" t="str">
        <f t="array" ref="M58">IFERROR(XLOOKUP($C58,HNCxTIPO!$D:$D,HNCxTIPO!F:F),"")</f>
        <v/>
      </c>
      <c r="N58" s="171" t="str">
        <f t="array" ref="N58">IFERROR(XLOOKUP($C58,HNCxTIPO!$D:$D,HNCxTIPO!G:G),"")</f>
        <v/>
      </c>
      <c r="O58" s="172" t="str">
        <f t="shared" si="3"/>
        <v/>
      </c>
      <c r="P58" s="172" t="str">
        <f t="shared" si="4"/>
        <v/>
      </c>
      <c r="Q58" s="172" t="str">
        <f t="shared" ref="Q58:R58" si="57">IF(I58="","",$J58*O58)</f>
        <v/>
      </c>
      <c r="R58" s="172" t="str">
        <f t="shared" si="57"/>
        <v/>
      </c>
      <c r="S58" s="176" t="str">
        <f t="shared" si="7"/>
        <v/>
      </c>
      <c r="T58" s="176" t="str">
        <f t="shared" si="8"/>
        <v/>
      </c>
      <c r="U58" s="175"/>
    </row>
    <row r="59" ht="24.75" customHeight="1">
      <c r="A59" s="169"/>
      <c r="B59" s="169"/>
      <c r="C59" s="169"/>
      <c r="D59" s="169"/>
      <c r="E59" s="169"/>
      <c r="F59" s="170"/>
      <c r="G59" s="170"/>
      <c r="H59" s="170"/>
      <c r="I59" s="170"/>
      <c r="J59" s="170"/>
      <c r="K59" s="170"/>
      <c r="L59" s="171" t="str">
        <f t="array" ref="L59">IFERROR(XLOOKUP($C59,HNCxTIPO!$D:$D,HNCxTIPO!E:E),"")</f>
        <v/>
      </c>
      <c r="M59" s="171" t="str">
        <f t="array" ref="M59">IFERROR(XLOOKUP($C59,HNCxTIPO!$D:$D,HNCxTIPO!F:F),"")</f>
        <v/>
      </c>
      <c r="N59" s="171" t="str">
        <f t="array" ref="N59">IFERROR(XLOOKUP($C59,HNCxTIPO!$D:$D,HNCxTIPO!G:G),"")</f>
        <v/>
      </c>
      <c r="O59" s="172" t="str">
        <f t="shared" si="3"/>
        <v/>
      </c>
      <c r="P59" s="172" t="str">
        <f t="shared" si="4"/>
        <v/>
      </c>
      <c r="Q59" s="172" t="str">
        <f t="shared" ref="Q59:R59" si="58">IF(I59="","",$J59*O59)</f>
        <v/>
      </c>
      <c r="R59" s="172" t="str">
        <f t="shared" si="58"/>
        <v/>
      </c>
      <c r="S59" s="173" t="str">
        <f t="shared" si="7"/>
        <v/>
      </c>
      <c r="T59" s="173" t="str">
        <f t="shared" si="8"/>
        <v/>
      </c>
      <c r="U59" s="170"/>
    </row>
    <row r="60" ht="24.75" customHeight="1">
      <c r="A60" s="174"/>
      <c r="B60" s="174"/>
      <c r="C60" s="174"/>
      <c r="D60" s="174"/>
      <c r="E60" s="174"/>
      <c r="F60" s="175"/>
      <c r="G60" s="175"/>
      <c r="H60" s="175"/>
      <c r="I60" s="175"/>
      <c r="J60" s="175"/>
      <c r="K60" s="175"/>
      <c r="L60" s="171" t="str">
        <f t="array" ref="L60">IFERROR(XLOOKUP($C60,HNCxTIPO!$D:$D,HNCxTIPO!E:E),"")</f>
        <v/>
      </c>
      <c r="M60" s="171" t="str">
        <f t="array" ref="M60">IFERROR(XLOOKUP($C60,HNCxTIPO!$D:$D,HNCxTIPO!F:F),"")</f>
        <v/>
      </c>
      <c r="N60" s="171" t="str">
        <f t="array" ref="N60">IFERROR(XLOOKUP($C60,HNCxTIPO!$D:$D,HNCxTIPO!G:G),"")</f>
        <v/>
      </c>
      <c r="O60" s="172" t="str">
        <f t="shared" si="3"/>
        <v/>
      </c>
      <c r="P60" s="172" t="str">
        <f t="shared" si="4"/>
        <v/>
      </c>
      <c r="Q60" s="172" t="str">
        <f t="shared" ref="Q60:R60" si="59">IF(I60="","",$J60*O60)</f>
        <v/>
      </c>
      <c r="R60" s="172" t="str">
        <f t="shared" si="59"/>
        <v/>
      </c>
      <c r="S60" s="176" t="str">
        <f t="shared" si="7"/>
        <v/>
      </c>
      <c r="T60" s="176" t="str">
        <f t="shared" si="8"/>
        <v/>
      </c>
      <c r="U60" s="175"/>
    </row>
    <row r="61" ht="24.75" customHeight="1">
      <c r="A61" s="169"/>
      <c r="B61" s="169"/>
      <c r="C61" s="169"/>
      <c r="D61" s="169"/>
      <c r="E61" s="169"/>
      <c r="F61" s="170"/>
      <c r="G61" s="170"/>
      <c r="H61" s="170"/>
      <c r="I61" s="170"/>
      <c r="J61" s="170"/>
      <c r="K61" s="170"/>
      <c r="L61" s="171" t="str">
        <f t="array" ref="L61">IFERROR(XLOOKUP($C61,HNCxTIPO!$D:$D,HNCxTIPO!E:E),"")</f>
        <v/>
      </c>
      <c r="M61" s="171" t="str">
        <f t="array" ref="M61">IFERROR(XLOOKUP($C61,HNCxTIPO!$D:$D,HNCxTIPO!F:F),"")</f>
        <v/>
      </c>
      <c r="N61" s="171" t="str">
        <f t="array" ref="N61">IFERROR(XLOOKUP($C61,HNCxTIPO!$D:$D,HNCxTIPO!G:G),"")</f>
        <v/>
      </c>
      <c r="O61" s="172" t="str">
        <f t="shared" si="3"/>
        <v/>
      </c>
      <c r="P61" s="172" t="str">
        <f t="shared" si="4"/>
        <v/>
      </c>
      <c r="Q61" s="172" t="str">
        <f t="shared" ref="Q61:R61" si="60">IF(I61="","",$J61*O61)</f>
        <v/>
      </c>
      <c r="R61" s="172" t="str">
        <f t="shared" si="60"/>
        <v/>
      </c>
      <c r="S61" s="173" t="str">
        <f t="shared" si="7"/>
        <v/>
      </c>
      <c r="T61" s="173" t="str">
        <f t="shared" si="8"/>
        <v/>
      </c>
      <c r="U61" s="170"/>
    </row>
    <row r="62" ht="24.75" customHeight="1">
      <c r="A62" s="174"/>
      <c r="B62" s="174"/>
      <c r="C62" s="174"/>
      <c r="D62" s="174"/>
      <c r="E62" s="174"/>
      <c r="F62" s="175"/>
      <c r="G62" s="175"/>
      <c r="H62" s="175"/>
      <c r="I62" s="175"/>
      <c r="J62" s="175"/>
      <c r="K62" s="175"/>
      <c r="L62" s="171" t="str">
        <f t="array" ref="L62">IFERROR(XLOOKUP($C62,HNCxTIPO!$D:$D,HNCxTIPO!E:E),"")</f>
        <v/>
      </c>
      <c r="M62" s="171" t="str">
        <f t="array" ref="M62">IFERROR(XLOOKUP($C62,HNCxTIPO!$D:$D,HNCxTIPO!F:F),"")</f>
        <v/>
      </c>
      <c r="N62" s="171" t="str">
        <f t="array" ref="N62">IFERROR(XLOOKUP($C62,HNCxTIPO!$D:$D,HNCxTIPO!G:G),"")</f>
        <v/>
      </c>
      <c r="O62" s="172" t="str">
        <f t="shared" si="3"/>
        <v/>
      </c>
      <c r="P62" s="172" t="str">
        <f t="shared" si="4"/>
        <v/>
      </c>
      <c r="Q62" s="172" t="str">
        <f t="shared" ref="Q62:R62" si="61">IF(I62="","",$J62*O62)</f>
        <v/>
      </c>
      <c r="R62" s="172" t="str">
        <f t="shared" si="61"/>
        <v/>
      </c>
      <c r="S62" s="176" t="str">
        <f t="shared" si="7"/>
        <v/>
      </c>
      <c r="T62" s="176" t="str">
        <f t="shared" si="8"/>
        <v/>
      </c>
      <c r="U62" s="175"/>
    </row>
    <row r="63" ht="24.75" customHeight="1">
      <c r="A63" s="169"/>
      <c r="B63" s="169"/>
      <c r="C63" s="169"/>
      <c r="D63" s="169"/>
      <c r="E63" s="169"/>
      <c r="F63" s="170"/>
      <c r="G63" s="170"/>
      <c r="H63" s="170"/>
      <c r="I63" s="170"/>
      <c r="J63" s="170"/>
      <c r="K63" s="170"/>
      <c r="L63" s="171" t="str">
        <f t="array" ref="L63">IFERROR(XLOOKUP($C63,HNCxTIPO!$D:$D,HNCxTIPO!E:E),"")</f>
        <v/>
      </c>
      <c r="M63" s="171" t="str">
        <f t="array" ref="M63">IFERROR(XLOOKUP($C63,HNCxTIPO!$D:$D,HNCxTIPO!F:F),"")</f>
        <v/>
      </c>
      <c r="N63" s="171" t="str">
        <f t="array" ref="N63">IFERROR(XLOOKUP($C63,HNCxTIPO!$D:$D,HNCxTIPO!G:G),"")</f>
        <v/>
      </c>
      <c r="O63" s="172" t="str">
        <f t="shared" si="3"/>
        <v/>
      </c>
      <c r="P63" s="172" t="str">
        <f t="shared" si="4"/>
        <v/>
      </c>
      <c r="Q63" s="172" t="str">
        <f t="shared" ref="Q63:R63" si="62">IF(I63="","",$J63*O63)</f>
        <v/>
      </c>
      <c r="R63" s="172" t="str">
        <f t="shared" si="62"/>
        <v/>
      </c>
      <c r="S63" s="173" t="str">
        <f t="shared" si="7"/>
        <v/>
      </c>
      <c r="T63" s="173" t="str">
        <f t="shared" si="8"/>
        <v/>
      </c>
      <c r="U63" s="170"/>
    </row>
    <row r="64" ht="24.75" customHeight="1">
      <c r="A64" s="174"/>
      <c r="B64" s="174"/>
      <c r="C64" s="174"/>
      <c r="D64" s="174"/>
      <c r="E64" s="174"/>
      <c r="F64" s="175"/>
      <c r="G64" s="175"/>
      <c r="H64" s="175"/>
      <c r="I64" s="175"/>
      <c r="J64" s="175"/>
      <c r="K64" s="175"/>
      <c r="L64" s="171" t="str">
        <f t="array" ref="L64">IFERROR(XLOOKUP($C64,HNCxTIPO!$D:$D,HNCxTIPO!E:E),"")</f>
        <v/>
      </c>
      <c r="M64" s="171" t="str">
        <f t="array" ref="M64">IFERROR(XLOOKUP($C64,HNCxTIPO!$D:$D,HNCxTIPO!F:F),"")</f>
        <v/>
      </c>
      <c r="N64" s="171" t="str">
        <f t="array" ref="N64">IFERROR(XLOOKUP($C64,HNCxTIPO!$D:$D,HNCxTIPO!G:G),"")</f>
        <v/>
      </c>
      <c r="O64" s="172" t="str">
        <f t="shared" si="3"/>
        <v/>
      </c>
      <c r="P64" s="172" t="str">
        <f t="shared" si="4"/>
        <v/>
      </c>
      <c r="Q64" s="172" t="str">
        <f t="shared" ref="Q64:R64" si="63">IF(I64="","",$J64*O64)</f>
        <v/>
      </c>
      <c r="R64" s="172" t="str">
        <f t="shared" si="63"/>
        <v/>
      </c>
      <c r="S64" s="176" t="str">
        <f t="shared" si="7"/>
        <v/>
      </c>
      <c r="T64" s="176" t="str">
        <f t="shared" si="8"/>
        <v/>
      </c>
      <c r="U64" s="175"/>
    </row>
    <row r="65" ht="24.75" customHeight="1">
      <c r="A65" s="169"/>
      <c r="B65" s="169"/>
      <c r="C65" s="169"/>
      <c r="D65" s="169"/>
      <c r="E65" s="169"/>
      <c r="F65" s="170"/>
      <c r="G65" s="170"/>
      <c r="H65" s="170"/>
      <c r="I65" s="170"/>
      <c r="J65" s="170"/>
      <c r="K65" s="170"/>
      <c r="L65" s="171" t="str">
        <f t="array" ref="L65">IFERROR(XLOOKUP($C65,HNCxTIPO!$D:$D,HNCxTIPO!E:E),"")</f>
        <v/>
      </c>
      <c r="M65" s="171" t="str">
        <f t="array" ref="M65">IFERROR(XLOOKUP($C65,HNCxTIPO!$D:$D,HNCxTIPO!F:F),"")</f>
        <v/>
      </c>
      <c r="N65" s="171" t="str">
        <f t="array" ref="N65">IFERROR(XLOOKUP($C65,HNCxTIPO!$D:$D,HNCxTIPO!G:G),"")</f>
        <v/>
      </c>
      <c r="O65" s="172" t="str">
        <f t="shared" si="3"/>
        <v/>
      </c>
      <c r="P65" s="172" t="str">
        <f t="shared" si="4"/>
        <v/>
      </c>
      <c r="Q65" s="172" t="str">
        <f t="shared" ref="Q65:R65" si="64">IF(I65="","",$J65*O65)</f>
        <v/>
      </c>
      <c r="R65" s="172" t="str">
        <f t="shared" si="64"/>
        <v/>
      </c>
      <c r="S65" s="173" t="str">
        <f t="shared" si="7"/>
        <v/>
      </c>
      <c r="T65" s="173" t="str">
        <f t="shared" si="8"/>
        <v/>
      </c>
      <c r="U65" s="170"/>
    </row>
    <row r="66" ht="24.75" customHeight="1">
      <c r="A66" s="174"/>
      <c r="B66" s="174"/>
      <c r="C66" s="174"/>
      <c r="D66" s="174"/>
      <c r="E66" s="174"/>
      <c r="F66" s="175"/>
      <c r="G66" s="175"/>
      <c r="H66" s="175"/>
      <c r="I66" s="175"/>
      <c r="J66" s="175"/>
      <c r="K66" s="175"/>
      <c r="L66" s="171" t="str">
        <f t="array" ref="L66">IFERROR(XLOOKUP($C66,HNCxTIPO!$D:$D,HNCxTIPO!E:E),"")</f>
        <v/>
      </c>
      <c r="M66" s="171" t="str">
        <f t="array" ref="M66">IFERROR(XLOOKUP($C66,HNCxTIPO!$D:$D,HNCxTIPO!F:F),"")</f>
        <v/>
      </c>
      <c r="N66" s="171" t="str">
        <f t="array" ref="N66">IFERROR(XLOOKUP($C66,HNCxTIPO!$D:$D,HNCxTIPO!G:G),"")</f>
        <v/>
      </c>
      <c r="O66" s="172" t="str">
        <f t="shared" si="3"/>
        <v/>
      </c>
      <c r="P66" s="172" t="str">
        <f t="shared" si="4"/>
        <v/>
      </c>
      <c r="Q66" s="172" t="str">
        <f t="shared" ref="Q66:R66" si="65">IF(I66="","",$J66*O66)</f>
        <v/>
      </c>
      <c r="R66" s="172" t="str">
        <f t="shared" si="65"/>
        <v/>
      </c>
      <c r="S66" s="176" t="str">
        <f t="shared" si="7"/>
        <v/>
      </c>
      <c r="T66" s="176" t="str">
        <f t="shared" si="8"/>
        <v/>
      </c>
      <c r="U66" s="175"/>
    </row>
    <row r="67" ht="24.75" customHeight="1">
      <c r="A67" s="169"/>
      <c r="B67" s="169"/>
      <c r="C67" s="169"/>
      <c r="D67" s="169"/>
      <c r="E67" s="169"/>
      <c r="F67" s="170"/>
      <c r="G67" s="170"/>
      <c r="H67" s="170"/>
      <c r="I67" s="170"/>
      <c r="J67" s="170"/>
      <c r="K67" s="170"/>
      <c r="L67" s="171" t="str">
        <f t="array" ref="L67">IFERROR(XLOOKUP($C67,HNCxTIPO!$D:$D,HNCxTIPO!E:E),"")</f>
        <v/>
      </c>
      <c r="M67" s="171" t="str">
        <f t="array" ref="M67">IFERROR(XLOOKUP($C67,HNCxTIPO!$D:$D,HNCxTIPO!F:F),"")</f>
        <v/>
      </c>
      <c r="N67" s="171" t="str">
        <f t="array" ref="N67">IFERROR(XLOOKUP($C67,HNCxTIPO!$D:$D,HNCxTIPO!G:G),"")</f>
        <v/>
      </c>
      <c r="O67" s="172" t="str">
        <f t="shared" si="3"/>
        <v/>
      </c>
      <c r="P67" s="172" t="str">
        <f t="shared" si="4"/>
        <v/>
      </c>
      <c r="Q67" s="172" t="str">
        <f t="shared" ref="Q67:R67" si="66">IF(I67="","",$J67*O67)</f>
        <v/>
      </c>
      <c r="R67" s="172" t="str">
        <f t="shared" si="66"/>
        <v/>
      </c>
      <c r="S67" s="173" t="str">
        <f t="shared" si="7"/>
        <v/>
      </c>
      <c r="T67" s="173" t="str">
        <f t="shared" si="8"/>
        <v/>
      </c>
      <c r="U67" s="170"/>
    </row>
    <row r="68" ht="24.75" customHeight="1">
      <c r="A68" s="174"/>
      <c r="B68" s="174"/>
      <c r="C68" s="174"/>
      <c r="D68" s="174"/>
      <c r="E68" s="174"/>
      <c r="F68" s="175"/>
      <c r="G68" s="175"/>
      <c r="H68" s="175"/>
      <c r="I68" s="175"/>
      <c r="J68" s="175"/>
      <c r="K68" s="175"/>
      <c r="L68" s="171" t="str">
        <f t="array" ref="L68">IFERROR(XLOOKUP($C68,HNCxTIPO!$D:$D,HNCxTIPO!E:E),"")</f>
        <v/>
      </c>
      <c r="M68" s="171" t="str">
        <f t="array" ref="M68">IFERROR(XLOOKUP($C68,HNCxTIPO!$D:$D,HNCxTIPO!F:F),"")</f>
        <v/>
      </c>
      <c r="N68" s="171" t="str">
        <f t="array" ref="N68">IFERROR(XLOOKUP($C68,HNCxTIPO!$D:$D,HNCxTIPO!G:G),"")</f>
        <v/>
      </c>
      <c r="O68" s="172" t="str">
        <f t="shared" si="3"/>
        <v/>
      </c>
      <c r="P68" s="172" t="str">
        <f t="shared" si="4"/>
        <v/>
      </c>
      <c r="Q68" s="172" t="str">
        <f t="shared" ref="Q68:R68" si="67">IF(I68="","",$J68*O68)</f>
        <v/>
      </c>
      <c r="R68" s="172" t="str">
        <f t="shared" si="67"/>
        <v/>
      </c>
      <c r="S68" s="176" t="str">
        <f t="shared" si="7"/>
        <v/>
      </c>
      <c r="T68" s="176" t="str">
        <f t="shared" si="8"/>
        <v/>
      </c>
      <c r="U68" s="175"/>
    </row>
    <row r="69" ht="24.75" customHeight="1">
      <c r="A69" s="169"/>
      <c r="B69" s="169"/>
      <c r="C69" s="169"/>
      <c r="D69" s="169"/>
      <c r="E69" s="169"/>
      <c r="F69" s="170"/>
      <c r="G69" s="170"/>
      <c r="H69" s="170"/>
      <c r="I69" s="170"/>
      <c r="J69" s="170"/>
      <c r="K69" s="170"/>
      <c r="L69" s="171" t="str">
        <f t="array" ref="L69">IFERROR(XLOOKUP($C69,HNCxTIPO!$D:$D,HNCxTIPO!E:E),"")</f>
        <v/>
      </c>
      <c r="M69" s="171" t="str">
        <f t="array" ref="M69">IFERROR(XLOOKUP($C69,HNCxTIPO!$D:$D,HNCxTIPO!F:F),"")</f>
        <v/>
      </c>
      <c r="N69" s="171" t="str">
        <f t="array" ref="N69">IFERROR(XLOOKUP($C69,HNCxTIPO!$D:$D,HNCxTIPO!G:G),"")</f>
        <v/>
      </c>
      <c r="O69" s="172" t="str">
        <f t="shared" si="3"/>
        <v/>
      </c>
      <c r="P69" s="172" t="str">
        <f t="shared" si="4"/>
        <v/>
      </c>
      <c r="Q69" s="172" t="str">
        <f t="shared" ref="Q69:R69" si="68">IF(I69="","",$J69*O69)</f>
        <v/>
      </c>
      <c r="R69" s="172" t="str">
        <f t="shared" si="68"/>
        <v/>
      </c>
      <c r="S69" s="173" t="str">
        <f t="shared" si="7"/>
        <v/>
      </c>
      <c r="T69" s="173" t="str">
        <f t="shared" si="8"/>
        <v/>
      </c>
      <c r="U69" s="170"/>
    </row>
    <row r="70" ht="24.75" customHeight="1">
      <c r="A70" s="174"/>
      <c r="B70" s="174"/>
      <c r="C70" s="174"/>
      <c r="D70" s="174"/>
      <c r="E70" s="174"/>
      <c r="F70" s="175"/>
      <c r="G70" s="175"/>
      <c r="H70" s="175"/>
      <c r="I70" s="175"/>
      <c r="J70" s="175"/>
      <c r="K70" s="175"/>
      <c r="L70" s="171" t="str">
        <f t="array" ref="L70">IFERROR(XLOOKUP($C70,HNCxTIPO!$D:$D,HNCxTIPO!E:E),"")</f>
        <v/>
      </c>
      <c r="M70" s="171" t="str">
        <f t="array" ref="M70">IFERROR(XLOOKUP($C70,HNCxTIPO!$D:$D,HNCxTIPO!F:F),"")</f>
        <v/>
      </c>
      <c r="N70" s="171" t="str">
        <f t="array" ref="N70">IFERROR(XLOOKUP($C70,HNCxTIPO!$D:$D,HNCxTIPO!G:G),"")</f>
        <v/>
      </c>
      <c r="O70" s="172" t="str">
        <f t="shared" si="3"/>
        <v/>
      </c>
      <c r="P70" s="172" t="str">
        <f t="shared" si="4"/>
        <v/>
      </c>
      <c r="Q70" s="172" t="str">
        <f t="shared" ref="Q70:R70" si="69">IF(I70="","",$J70*O70)</f>
        <v/>
      </c>
      <c r="R70" s="172" t="str">
        <f t="shared" si="69"/>
        <v/>
      </c>
      <c r="S70" s="176" t="str">
        <f t="shared" si="7"/>
        <v/>
      </c>
      <c r="T70" s="176" t="str">
        <f t="shared" si="8"/>
        <v/>
      </c>
      <c r="U70" s="175"/>
    </row>
    <row r="71" ht="24.75" customHeight="1">
      <c r="A71" s="169"/>
      <c r="B71" s="169"/>
      <c r="C71" s="169"/>
      <c r="D71" s="169"/>
      <c r="E71" s="169"/>
      <c r="F71" s="170"/>
      <c r="G71" s="170"/>
      <c r="H71" s="170"/>
      <c r="I71" s="170"/>
      <c r="J71" s="170"/>
      <c r="K71" s="170"/>
      <c r="L71" s="171" t="str">
        <f t="array" ref="L71">IFERROR(XLOOKUP($C71,HNCxTIPO!$D:$D,HNCxTIPO!E:E),"")</f>
        <v/>
      </c>
      <c r="M71" s="171" t="str">
        <f t="array" ref="M71">IFERROR(XLOOKUP($C71,HNCxTIPO!$D:$D,HNCxTIPO!F:F),"")</f>
        <v/>
      </c>
      <c r="N71" s="171" t="str">
        <f t="array" ref="N71">IFERROR(XLOOKUP($C71,HNCxTIPO!$D:$D,HNCxTIPO!G:G),"")</f>
        <v/>
      </c>
      <c r="O71" s="172" t="str">
        <f t="shared" si="3"/>
        <v/>
      </c>
      <c r="P71" s="172" t="str">
        <f t="shared" si="4"/>
        <v/>
      </c>
      <c r="Q71" s="172" t="str">
        <f t="shared" ref="Q71:R71" si="70">IF(I71="","",$J71*O71)</f>
        <v/>
      </c>
      <c r="R71" s="172" t="str">
        <f t="shared" si="70"/>
        <v/>
      </c>
      <c r="S71" s="173" t="str">
        <f t="shared" si="7"/>
        <v/>
      </c>
      <c r="T71" s="173" t="str">
        <f t="shared" si="8"/>
        <v/>
      </c>
      <c r="U71" s="170"/>
    </row>
    <row r="72" ht="24.75" customHeight="1">
      <c r="A72" s="174"/>
      <c r="B72" s="174"/>
      <c r="C72" s="174"/>
      <c r="D72" s="174"/>
      <c r="E72" s="174"/>
      <c r="F72" s="175"/>
      <c r="G72" s="175"/>
      <c r="H72" s="175"/>
      <c r="I72" s="175"/>
      <c r="J72" s="175"/>
      <c r="K72" s="175"/>
      <c r="L72" s="171" t="str">
        <f t="array" ref="L72">IFERROR(XLOOKUP($C72,HNCxTIPO!$D:$D,HNCxTIPO!E:E),"")</f>
        <v/>
      </c>
      <c r="M72" s="171" t="str">
        <f t="array" ref="M72">IFERROR(XLOOKUP($C72,HNCxTIPO!$D:$D,HNCxTIPO!F:F),"")</f>
        <v/>
      </c>
      <c r="N72" s="171" t="str">
        <f t="array" ref="N72">IFERROR(XLOOKUP($C72,HNCxTIPO!$D:$D,HNCxTIPO!G:G),"")</f>
        <v/>
      </c>
      <c r="O72" s="172" t="str">
        <f t="shared" si="3"/>
        <v/>
      </c>
      <c r="P72" s="172" t="str">
        <f t="shared" si="4"/>
        <v/>
      </c>
      <c r="Q72" s="172" t="str">
        <f t="shared" ref="Q72:R72" si="71">IF(I72="","",$J72*O72)</f>
        <v/>
      </c>
      <c r="R72" s="172" t="str">
        <f t="shared" si="71"/>
        <v/>
      </c>
      <c r="S72" s="176" t="str">
        <f t="shared" si="7"/>
        <v/>
      </c>
      <c r="T72" s="176" t="str">
        <f t="shared" si="8"/>
        <v/>
      </c>
      <c r="U72" s="175"/>
    </row>
    <row r="73" ht="24.75" customHeight="1">
      <c r="A73" s="169"/>
      <c r="B73" s="169"/>
      <c r="C73" s="169"/>
      <c r="D73" s="169"/>
      <c r="E73" s="169"/>
      <c r="F73" s="170"/>
      <c r="G73" s="170"/>
      <c r="H73" s="170"/>
      <c r="I73" s="170"/>
      <c r="J73" s="170"/>
      <c r="K73" s="170"/>
      <c r="L73" s="171" t="str">
        <f t="array" ref="L73">IFERROR(XLOOKUP($C73,HNCxTIPO!$D:$D,HNCxTIPO!E:E),"")</f>
        <v/>
      </c>
      <c r="M73" s="171" t="str">
        <f t="array" ref="M73">IFERROR(XLOOKUP($C73,HNCxTIPO!$D:$D,HNCxTIPO!F:F),"")</f>
        <v/>
      </c>
      <c r="N73" s="171" t="str">
        <f t="array" ref="N73">IFERROR(XLOOKUP($C73,HNCxTIPO!$D:$D,HNCxTIPO!G:G),"")</f>
        <v/>
      </c>
      <c r="O73" s="172" t="str">
        <f t="shared" si="3"/>
        <v/>
      </c>
      <c r="P73" s="172" t="str">
        <f t="shared" si="4"/>
        <v/>
      </c>
      <c r="Q73" s="172" t="str">
        <f t="shared" ref="Q73:R73" si="72">IF(I73="","",$J73*O73)</f>
        <v/>
      </c>
      <c r="R73" s="172" t="str">
        <f t="shared" si="72"/>
        <v/>
      </c>
      <c r="S73" s="173" t="str">
        <f t="shared" si="7"/>
        <v/>
      </c>
      <c r="T73" s="173" t="str">
        <f t="shared" si="8"/>
        <v/>
      </c>
      <c r="U73" s="170"/>
    </row>
    <row r="74" ht="24.75" customHeight="1">
      <c r="A74" s="174"/>
      <c r="B74" s="174"/>
      <c r="C74" s="174"/>
      <c r="D74" s="174"/>
      <c r="E74" s="174"/>
      <c r="F74" s="175"/>
      <c r="G74" s="175"/>
      <c r="H74" s="175"/>
      <c r="I74" s="175"/>
      <c r="J74" s="175"/>
      <c r="K74" s="175"/>
      <c r="L74" s="171" t="str">
        <f t="array" ref="L74">IFERROR(XLOOKUP($C74,HNCxTIPO!$D:$D,HNCxTIPO!E:E),"")</f>
        <v/>
      </c>
      <c r="M74" s="171" t="str">
        <f t="array" ref="M74">IFERROR(XLOOKUP($C74,HNCxTIPO!$D:$D,HNCxTIPO!F:F),"")</f>
        <v/>
      </c>
      <c r="N74" s="171" t="str">
        <f t="array" ref="N74">IFERROR(XLOOKUP($C74,HNCxTIPO!$D:$D,HNCxTIPO!G:G),"")</f>
        <v/>
      </c>
      <c r="O74" s="172" t="str">
        <f t="shared" si="3"/>
        <v/>
      </c>
      <c r="P74" s="172" t="str">
        <f t="shared" si="4"/>
        <v/>
      </c>
      <c r="Q74" s="172" t="str">
        <f t="shared" ref="Q74:R74" si="73">IF(I74="","",$J74*O74)</f>
        <v/>
      </c>
      <c r="R74" s="172" t="str">
        <f t="shared" si="73"/>
        <v/>
      </c>
      <c r="S74" s="176" t="str">
        <f t="shared" si="7"/>
        <v/>
      </c>
      <c r="T74" s="176" t="str">
        <f t="shared" si="8"/>
        <v/>
      </c>
      <c r="U74" s="175"/>
    </row>
    <row r="75" ht="24.75" customHeight="1">
      <c r="A75" s="169"/>
      <c r="B75" s="169"/>
      <c r="C75" s="169"/>
      <c r="D75" s="169"/>
      <c r="E75" s="170"/>
      <c r="F75" s="170"/>
      <c r="G75" s="170"/>
      <c r="H75" s="170"/>
      <c r="I75" s="170"/>
      <c r="J75" s="170"/>
      <c r="K75" s="170"/>
      <c r="L75" s="171" t="str">
        <f t="array" ref="L75">IFERROR(XLOOKUP($C75,HNCxTIPO!$D:$D,HNCxTIPO!E:E),"")</f>
        <v/>
      </c>
      <c r="M75" s="171" t="str">
        <f t="array" ref="M75">IFERROR(XLOOKUP($C75,HNCxTIPO!$D:$D,HNCxTIPO!F:F),"")</f>
        <v/>
      </c>
      <c r="N75" s="171" t="str">
        <f t="array" ref="N75">IFERROR(XLOOKUP($C75,HNCxTIPO!$D:$D,HNCxTIPO!G:G),"")</f>
        <v/>
      </c>
      <c r="O75" s="172" t="str">
        <f t="shared" si="3"/>
        <v/>
      </c>
      <c r="P75" s="172" t="str">
        <f t="shared" si="4"/>
        <v/>
      </c>
      <c r="Q75" s="172" t="str">
        <f t="shared" ref="Q75:R75" si="74">IF(I75="","",$J75*O75)</f>
        <v/>
      </c>
      <c r="R75" s="172" t="str">
        <f t="shared" si="74"/>
        <v/>
      </c>
      <c r="S75" s="173" t="str">
        <f t="shared" si="7"/>
        <v/>
      </c>
      <c r="T75" s="173" t="str">
        <f t="shared" si="8"/>
        <v/>
      </c>
      <c r="U75" s="170"/>
    </row>
    <row r="76" ht="24.75" customHeight="1">
      <c r="A76" s="174"/>
      <c r="B76" s="174"/>
      <c r="C76" s="174"/>
      <c r="D76" s="174"/>
      <c r="E76" s="174"/>
      <c r="F76" s="175"/>
      <c r="G76" s="175"/>
      <c r="H76" s="175"/>
      <c r="I76" s="175"/>
      <c r="J76" s="175"/>
      <c r="K76" s="175"/>
      <c r="L76" s="171" t="str">
        <f t="array" ref="L76">IFERROR(XLOOKUP($C76,HNCxTIPO!$D:$D,HNCxTIPO!E:E),"")</f>
        <v/>
      </c>
      <c r="M76" s="171" t="str">
        <f t="array" ref="M76">IFERROR(XLOOKUP($C76,HNCxTIPO!$D:$D,HNCxTIPO!F:F),"")</f>
        <v/>
      </c>
      <c r="N76" s="171" t="str">
        <f t="array" ref="N76">IFERROR(XLOOKUP($C76,HNCxTIPO!$D:$D,HNCxTIPO!G:G),"")</f>
        <v/>
      </c>
      <c r="O76" s="172" t="str">
        <f t="shared" si="3"/>
        <v/>
      </c>
      <c r="P76" s="172" t="str">
        <f t="shared" si="4"/>
        <v/>
      </c>
      <c r="Q76" s="172" t="str">
        <f t="shared" ref="Q76:R76" si="75">IF(I76="","",$J76*O76)</f>
        <v/>
      </c>
      <c r="R76" s="172" t="str">
        <f t="shared" si="75"/>
        <v/>
      </c>
      <c r="S76" s="176" t="str">
        <f t="shared" si="7"/>
        <v/>
      </c>
      <c r="T76" s="176" t="str">
        <f t="shared" si="8"/>
        <v/>
      </c>
      <c r="U76" s="175"/>
    </row>
    <row r="77" ht="24.75" customHeight="1">
      <c r="A77" s="169"/>
      <c r="B77" s="169"/>
      <c r="C77" s="169"/>
      <c r="D77" s="169"/>
      <c r="E77" s="169"/>
      <c r="F77" s="170"/>
      <c r="G77" s="170"/>
      <c r="H77" s="170"/>
      <c r="I77" s="170"/>
      <c r="J77" s="170"/>
      <c r="K77" s="170"/>
      <c r="L77" s="171" t="str">
        <f t="array" ref="L77">IFERROR(XLOOKUP($C77,HNCxTIPO!$D:$D,HNCxTIPO!E:E),"")</f>
        <v/>
      </c>
      <c r="M77" s="171" t="str">
        <f t="array" ref="M77">IFERROR(XLOOKUP($C77,HNCxTIPO!$D:$D,HNCxTIPO!F:F),"")</f>
        <v/>
      </c>
      <c r="N77" s="171" t="str">
        <f t="array" ref="N77">IFERROR(XLOOKUP($C77,HNCxTIPO!$D:$D,HNCxTIPO!G:G),"")</f>
        <v/>
      </c>
      <c r="O77" s="172" t="str">
        <f t="shared" si="3"/>
        <v/>
      </c>
      <c r="P77" s="172" t="str">
        <f t="shared" si="4"/>
        <v/>
      </c>
      <c r="Q77" s="172" t="str">
        <f t="shared" ref="Q77:R77" si="76">IF(I77="","",$J77*O77)</f>
        <v/>
      </c>
      <c r="R77" s="172" t="str">
        <f t="shared" si="76"/>
        <v/>
      </c>
      <c r="S77" s="173" t="str">
        <f t="shared" si="7"/>
        <v/>
      </c>
      <c r="T77" s="173" t="str">
        <f t="shared" si="8"/>
        <v/>
      </c>
      <c r="U77" s="170"/>
    </row>
    <row r="78" ht="24.75" customHeight="1">
      <c r="A78" s="174"/>
      <c r="B78" s="174"/>
      <c r="C78" s="174"/>
      <c r="D78" s="174"/>
      <c r="E78" s="174"/>
      <c r="F78" s="175"/>
      <c r="G78" s="175"/>
      <c r="H78" s="175"/>
      <c r="I78" s="175"/>
      <c r="J78" s="175"/>
      <c r="K78" s="175"/>
      <c r="L78" s="171" t="str">
        <f t="array" ref="L78">IFERROR(XLOOKUP($C78,HNCxTIPO!$D:$D,HNCxTIPO!E:E),"")</f>
        <v/>
      </c>
      <c r="M78" s="171" t="str">
        <f t="array" ref="M78">IFERROR(XLOOKUP($C78,HNCxTIPO!$D:$D,HNCxTIPO!F:F),"")</f>
        <v/>
      </c>
      <c r="N78" s="171" t="str">
        <f t="array" ref="N78">IFERROR(XLOOKUP($C78,HNCxTIPO!$D:$D,HNCxTIPO!G:G),"")</f>
        <v/>
      </c>
      <c r="O78" s="172" t="str">
        <f t="shared" si="3"/>
        <v/>
      </c>
      <c r="P78" s="172" t="str">
        <f t="shared" si="4"/>
        <v/>
      </c>
      <c r="Q78" s="172" t="str">
        <f t="shared" ref="Q78:R78" si="77">IF(I78="","",$J78*O78)</f>
        <v/>
      </c>
      <c r="R78" s="172" t="str">
        <f t="shared" si="77"/>
        <v/>
      </c>
      <c r="S78" s="176" t="str">
        <f t="shared" si="7"/>
        <v/>
      </c>
      <c r="T78" s="176" t="str">
        <f t="shared" si="8"/>
        <v/>
      </c>
      <c r="U78" s="175"/>
    </row>
    <row r="79" ht="24.75" customHeight="1">
      <c r="A79" s="169"/>
      <c r="B79" s="169"/>
      <c r="C79" s="169"/>
      <c r="D79" s="169"/>
      <c r="E79" s="169"/>
      <c r="F79" s="170"/>
      <c r="G79" s="170"/>
      <c r="H79" s="170"/>
      <c r="I79" s="170"/>
      <c r="J79" s="170"/>
      <c r="K79" s="170"/>
      <c r="L79" s="171" t="str">
        <f t="array" ref="L79">IFERROR(XLOOKUP($C79,HNCxTIPO!$D:$D,HNCxTIPO!E:E),"")</f>
        <v/>
      </c>
      <c r="M79" s="171" t="str">
        <f t="array" ref="M79">IFERROR(XLOOKUP($C79,HNCxTIPO!$D:$D,HNCxTIPO!F:F),"")</f>
        <v/>
      </c>
      <c r="N79" s="171" t="str">
        <f t="array" ref="N79">IFERROR(XLOOKUP($C79,HNCxTIPO!$D:$D,HNCxTIPO!G:G),"")</f>
        <v/>
      </c>
      <c r="O79" s="172" t="str">
        <f t="shared" si="3"/>
        <v/>
      </c>
      <c r="P79" s="172" t="str">
        <f t="shared" si="4"/>
        <v/>
      </c>
      <c r="Q79" s="172" t="str">
        <f t="shared" ref="Q79:R79" si="78">IF(I79="","",$J79*O79)</f>
        <v/>
      </c>
      <c r="R79" s="172" t="str">
        <f t="shared" si="78"/>
        <v/>
      </c>
      <c r="S79" s="173" t="str">
        <f t="shared" si="7"/>
        <v/>
      </c>
      <c r="T79" s="173" t="str">
        <f t="shared" si="8"/>
        <v/>
      </c>
      <c r="U79" s="170"/>
    </row>
    <row r="80" ht="24.75" customHeight="1">
      <c r="A80" s="174"/>
      <c r="B80" s="174"/>
      <c r="C80" s="174"/>
      <c r="D80" s="174"/>
      <c r="E80" s="174"/>
      <c r="F80" s="175"/>
      <c r="G80" s="175"/>
      <c r="H80" s="175"/>
      <c r="I80" s="175"/>
      <c r="J80" s="175"/>
      <c r="K80" s="175"/>
      <c r="L80" s="171" t="str">
        <f t="array" ref="L80">IFERROR(XLOOKUP($C80,HNCxTIPO!$D:$D,HNCxTIPO!E:E),"")</f>
        <v/>
      </c>
      <c r="M80" s="171" t="str">
        <f t="array" ref="M80">IFERROR(XLOOKUP($C80,HNCxTIPO!$D:$D,HNCxTIPO!F:F),"")</f>
        <v/>
      </c>
      <c r="N80" s="171" t="str">
        <f t="array" ref="N80">IFERROR(XLOOKUP($C80,HNCxTIPO!$D:$D,HNCxTIPO!G:G),"")</f>
        <v/>
      </c>
      <c r="O80" s="172" t="str">
        <f t="shared" si="3"/>
        <v/>
      </c>
      <c r="P80" s="172" t="str">
        <f t="shared" si="4"/>
        <v/>
      </c>
      <c r="Q80" s="172" t="str">
        <f t="shared" ref="Q80:R80" si="79">IF(I80="","",$J80*O80)</f>
        <v/>
      </c>
      <c r="R80" s="172" t="str">
        <f t="shared" si="79"/>
        <v/>
      </c>
      <c r="S80" s="176" t="str">
        <f t="shared" si="7"/>
        <v/>
      </c>
      <c r="T80" s="176" t="str">
        <f t="shared" si="8"/>
        <v/>
      </c>
      <c r="U80" s="175"/>
    </row>
    <row r="81" ht="24.75" customHeight="1">
      <c r="A81" s="169"/>
      <c r="B81" s="169"/>
      <c r="C81" s="169"/>
      <c r="D81" s="169"/>
      <c r="E81" s="169"/>
      <c r="F81" s="170"/>
      <c r="G81" s="170"/>
      <c r="H81" s="170"/>
      <c r="I81" s="170"/>
      <c r="J81" s="170"/>
      <c r="K81" s="170"/>
      <c r="L81" s="171" t="str">
        <f t="array" ref="L81">IFERROR(XLOOKUP($C81,HNCxTIPO!$D:$D,HNCxTIPO!E:E),"")</f>
        <v/>
      </c>
      <c r="M81" s="171" t="str">
        <f t="array" ref="M81">IFERROR(XLOOKUP($C81,HNCxTIPO!$D:$D,HNCxTIPO!F:F),"")</f>
        <v/>
      </c>
      <c r="N81" s="171" t="str">
        <f t="array" ref="N81">IFERROR(XLOOKUP($C81,HNCxTIPO!$D:$D,HNCxTIPO!G:G),"")</f>
        <v/>
      </c>
      <c r="O81" s="172" t="str">
        <f t="shared" si="3"/>
        <v/>
      </c>
      <c r="P81" s="172" t="str">
        <f t="shared" si="4"/>
        <v/>
      </c>
      <c r="Q81" s="172" t="str">
        <f t="shared" ref="Q81:R81" si="80">IF(I81="","",$J81*O81)</f>
        <v/>
      </c>
      <c r="R81" s="172" t="str">
        <f t="shared" si="80"/>
        <v/>
      </c>
      <c r="S81" s="173" t="str">
        <f t="shared" si="7"/>
        <v/>
      </c>
      <c r="T81" s="173" t="str">
        <f t="shared" si="8"/>
        <v/>
      </c>
      <c r="U81" s="170"/>
    </row>
    <row r="82" ht="24.75" customHeight="1">
      <c r="A82" s="174"/>
      <c r="B82" s="174"/>
      <c r="C82" s="174"/>
      <c r="D82" s="174"/>
      <c r="E82" s="174"/>
      <c r="F82" s="175"/>
      <c r="G82" s="175"/>
      <c r="H82" s="175"/>
      <c r="I82" s="175"/>
      <c r="J82" s="175"/>
      <c r="K82" s="175"/>
      <c r="L82" s="171" t="str">
        <f t="array" ref="L82">IFERROR(XLOOKUP($C82,HNCxTIPO!$D:$D,HNCxTIPO!E:E),"")</f>
        <v/>
      </c>
      <c r="M82" s="171" t="str">
        <f t="array" ref="M82">IFERROR(XLOOKUP($C82,HNCxTIPO!$D:$D,HNCxTIPO!F:F),"")</f>
        <v/>
      </c>
      <c r="N82" s="171" t="str">
        <f t="array" ref="N82">IFERROR(XLOOKUP($C82,HNCxTIPO!$D:$D,HNCxTIPO!G:G),"")</f>
        <v/>
      </c>
      <c r="O82" s="172" t="str">
        <f t="shared" si="3"/>
        <v/>
      </c>
      <c r="P82" s="172" t="str">
        <f t="shared" si="4"/>
        <v/>
      </c>
      <c r="Q82" s="172" t="str">
        <f t="shared" ref="Q82:R82" si="81">IF(I82="","",$J82*O82)</f>
        <v/>
      </c>
      <c r="R82" s="172" t="str">
        <f t="shared" si="81"/>
        <v/>
      </c>
      <c r="S82" s="176" t="str">
        <f t="shared" si="7"/>
        <v/>
      </c>
      <c r="T82" s="176" t="str">
        <f t="shared" si="8"/>
        <v/>
      </c>
      <c r="U82" s="175"/>
    </row>
    <row r="83" ht="24.75" customHeight="1">
      <c r="A83" s="169"/>
      <c r="B83" s="169"/>
      <c r="C83" s="169"/>
      <c r="D83" s="169"/>
      <c r="E83" s="169"/>
      <c r="F83" s="170"/>
      <c r="G83" s="170"/>
      <c r="H83" s="170"/>
      <c r="I83" s="170"/>
      <c r="J83" s="170"/>
      <c r="K83" s="170"/>
      <c r="L83" s="171" t="str">
        <f t="array" ref="L83">IFERROR(XLOOKUP($C83,HNCxTIPO!$D:$D,HNCxTIPO!E:E),"")</f>
        <v/>
      </c>
      <c r="M83" s="171" t="str">
        <f t="array" ref="M83">IFERROR(XLOOKUP($C83,HNCxTIPO!$D:$D,HNCxTIPO!F:F),"")</f>
        <v/>
      </c>
      <c r="N83" s="171" t="str">
        <f t="array" ref="N83">IFERROR(XLOOKUP($C83,HNCxTIPO!$D:$D,HNCxTIPO!G:G),"")</f>
        <v/>
      </c>
      <c r="O83" s="172" t="str">
        <f t="shared" si="3"/>
        <v/>
      </c>
      <c r="P83" s="172" t="str">
        <f t="shared" si="4"/>
        <v/>
      </c>
      <c r="Q83" s="172" t="str">
        <f t="shared" ref="Q83:R83" si="82">IF(I83="","",$J83*O83)</f>
        <v/>
      </c>
      <c r="R83" s="172" t="str">
        <f t="shared" si="82"/>
        <v/>
      </c>
      <c r="S83" s="173" t="str">
        <f t="shared" si="7"/>
        <v/>
      </c>
      <c r="T83" s="173" t="str">
        <f t="shared" si="8"/>
        <v/>
      </c>
      <c r="U83" s="170"/>
    </row>
    <row r="84" ht="24.75" customHeight="1">
      <c r="A84" s="174"/>
      <c r="B84" s="174"/>
      <c r="C84" s="174"/>
      <c r="D84" s="174"/>
      <c r="E84" s="174"/>
      <c r="F84" s="175"/>
      <c r="G84" s="175"/>
      <c r="H84" s="175"/>
      <c r="I84" s="175"/>
      <c r="J84" s="175"/>
      <c r="K84" s="175"/>
      <c r="L84" s="171" t="str">
        <f t="array" ref="L84">IFERROR(XLOOKUP($C84,HNCxTIPO!$D:$D,HNCxTIPO!E:E),"")</f>
        <v/>
      </c>
      <c r="M84" s="171" t="str">
        <f t="array" ref="M84">IFERROR(XLOOKUP($C84,HNCxTIPO!$D:$D,HNCxTIPO!F:F),"")</f>
        <v/>
      </c>
      <c r="N84" s="171" t="str">
        <f t="array" ref="N84">IFERROR(XLOOKUP($C84,HNCxTIPO!$D:$D,HNCxTIPO!G:G),"")</f>
        <v/>
      </c>
      <c r="O84" s="172" t="str">
        <f t="shared" si="3"/>
        <v/>
      </c>
      <c r="P84" s="172" t="str">
        <f t="shared" si="4"/>
        <v/>
      </c>
      <c r="Q84" s="172" t="str">
        <f t="shared" ref="Q84:R84" si="83">IF(I84="","",$J84*O84)</f>
        <v/>
      </c>
      <c r="R84" s="172" t="str">
        <f t="shared" si="83"/>
        <v/>
      </c>
      <c r="S84" s="176" t="str">
        <f t="shared" si="7"/>
        <v/>
      </c>
      <c r="T84" s="176" t="str">
        <f t="shared" si="8"/>
        <v/>
      </c>
      <c r="U84" s="175"/>
    </row>
    <row r="85" ht="24.75" customHeight="1">
      <c r="A85" s="169"/>
      <c r="B85" s="169"/>
      <c r="C85" s="169"/>
      <c r="D85" s="169"/>
      <c r="E85" s="169"/>
      <c r="F85" s="170"/>
      <c r="G85" s="170"/>
      <c r="H85" s="170"/>
      <c r="I85" s="170"/>
      <c r="J85" s="170"/>
      <c r="K85" s="170"/>
      <c r="L85" s="171" t="str">
        <f t="array" ref="L85">IFERROR(XLOOKUP($C85,HNCxTIPO!$D:$D,HNCxTIPO!E:E),"")</f>
        <v/>
      </c>
      <c r="M85" s="171" t="str">
        <f t="array" ref="M85">IFERROR(XLOOKUP($C85,HNCxTIPO!$D:$D,HNCxTIPO!F:F),"")</f>
        <v/>
      </c>
      <c r="N85" s="171" t="str">
        <f t="array" ref="N85">IFERROR(XLOOKUP($C85,HNCxTIPO!$D:$D,HNCxTIPO!G:G),"")</f>
        <v/>
      </c>
      <c r="O85" s="172" t="str">
        <f t="shared" si="3"/>
        <v/>
      </c>
      <c r="P85" s="172" t="str">
        <f t="shared" si="4"/>
        <v/>
      </c>
      <c r="Q85" s="172" t="str">
        <f t="shared" ref="Q85:R85" si="84">IF(I85="","",$J85*O85)</f>
        <v/>
      </c>
      <c r="R85" s="172" t="str">
        <f t="shared" si="84"/>
        <v/>
      </c>
      <c r="S85" s="173" t="str">
        <f t="shared" si="7"/>
        <v/>
      </c>
      <c r="T85" s="173" t="str">
        <f t="shared" si="8"/>
        <v/>
      </c>
      <c r="U85" s="170"/>
    </row>
    <row r="86" ht="24.75" customHeight="1">
      <c r="A86" s="174"/>
      <c r="B86" s="174"/>
      <c r="C86" s="174"/>
      <c r="D86" s="174"/>
      <c r="E86" s="174"/>
      <c r="F86" s="175"/>
      <c r="G86" s="175"/>
      <c r="H86" s="175"/>
      <c r="I86" s="175"/>
      <c r="J86" s="175"/>
      <c r="K86" s="175"/>
      <c r="L86" s="171" t="str">
        <f t="array" ref="L86">IFERROR(XLOOKUP($C86,HNCxTIPO!$D:$D,HNCxTIPO!E:E),"")</f>
        <v/>
      </c>
      <c r="M86" s="171" t="str">
        <f t="array" ref="M86">IFERROR(XLOOKUP($C86,HNCxTIPO!$D:$D,HNCxTIPO!F:F),"")</f>
        <v/>
      </c>
      <c r="N86" s="171" t="str">
        <f t="array" ref="N86">IFERROR(XLOOKUP($C86,HNCxTIPO!$D:$D,HNCxTIPO!G:G),"")</f>
        <v/>
      </c>
      <c r="O86" s="172" t="str">
        <f t="shared" si="3"/>
        <v/>
      </c>
      <c r="P86" s="172" t="str">
        <f t="shared" si="4"/>
        <v/>
      </c>
      <c r="Q86" s="172" t="str">
        <f t="shared" ref="Q86:R86" si="85">IF(I86="","",$J86*O86)</f>
        <v/>
      </c>
      <c r="R86" s="172" t="str">
        <f t="shared" si="85"/>
        <v/>
      </c>
      <c r="S86" s="176" t="str">
        <f t="shared" si="7"/>
        <v/>
      </c>
      <c r="T86" s="176" t="str">
        <f t="shared" si="8"/>
        <v/>
      </c>
      <c r="U86" s="175"/>
    </row>
    <row r="87" ht="24.75" customHeight="1">
      <c r="A87" s="169"/>
      <c r="B87" s="169"/>
      <c r="C87" s="169"/>
      <c r="D87" s="169"/>
      <c r="E87" s="169"/>
      <c r="F87" s="170"/>
      <c r="G87" s="170"/>
      <c r="H87" s="170"/>
      <c r="I87" s="170"/>
      <c r="J87" s="170"/>
      <c r="K87" s="170"/>
      <c r="L87" s="171" t="str">
        <f t="array" ref="L87">IFERROR(XLOOKUP($C87,HNCxTIPO!$D:$D,HNCxTIPO!E:E),"")</f>
        <v/>
      </c>
      <c r="M87" s="171" t="str">
        <f t="array" ref="M87">IFERROR(XLOOKUP($C87,HNCxTIPO!$D:$D,HNCxTIPO!F:F),"")</f>
        <v/>
      </c>
      <c r="N87" s="171" t="str">
        <f t="array" ref="N87">IFERROR(XLOOKUP($C87,HNCxTIPO!$D:$D,HNCxTIPO!G:G),"")</f>
        <v/>
      </c>
      <c r="O87" s="172" t="str">
        <f t="shared" si="3"/>
        <v/>
      </c>
      <c r="P87" s="172" t="str">
        <f t="shared" si="4"/>
        <v/>
      </c>
      <c r="Q87" s="172" t="str">
        <f t="shared" ref="Q87:R87" si="86">IF(I87="","",$J87*O87)</f>
        <v/>
      </c>
      <c r="R87" s="172" t="str">
        <f t="shared" si="86"/>
        <v/>
      </c>
      <c r="S87" s="173" t="str">
        <f t="shared" si="7"/>
        <v/>
      </c>
      <c r="T87" s="173" t="str">
        <f t="shared" si="8"/>
        <v/>
      </c>
      <c r="U87" s="170"/>
    </row>
    <row r="88" ht="24.75" customHeight="1">
      <c r="A88" s="175"/>
      <c r="B88" s="174"/>
      <c r="C88" s="175"/>
      <c r="D88" s="175"/>
      <c r="E88" s="175"/>
      <c r="F88" s="175"/>
      <c r="G88" s="175"/>
      <c r="H88" s="175"/>
      <c r="I88" s="175"/>
      <c r="J88" s="175"/>
      <c r="K88" s="175"/>
      <c r="L88" s="171" t="str">
        <f t="array" ref="L88">IFERROR(XLOOKUP($C88,HNCxTIPO!$D:$D,HNCxTIPO!E:E),"")</f>
        <v/>
      </c>
      <c r="M88" s="171" t="str">
        <f t="array" ref="M88">IFERROR(XLOOKUP($C88,HNCxTIPO!$D:$D,HNCxTIPO!F:F),"")</f>
        <v/>
      </c>
      <c r="N88" s="171" t="str">
        <f t="array" ref="N88">IFERROR(XLOOKUP($C88,HNCxTIPO!$D:$D,HNCxTIPO!G:G),"")</f>
        <v/>
      </c>
      <c r="O88" s="172" t="str">
        <f t="shared" si="3"/>
        <v/>
      </c>
      <c r="P88" s="172" t="str">
        <f t="shared" si="4"/>
        <v/>
      </c>
      <c r="Q88" s="172" t="str">
        <f t="shared" ref="Q88:R88" si="87">IF(I88="","",$J88*O88)</f>
        <v/>
      </c>
      <c r="R88" s="172" t="str">
        <f t="shared" si="87"/>
        <v/>
      </c>
      <c r="S88" s="176" t="str">
        <f t="shared" si="7"/>
        <v/>
      </c>
      <c r="T88" s="176" t="str">
        <f t="shared" si="8"/>
        <v/>
      </c>
      <c r="U88" s="175"/>
    </row>
    <row r="89" ht="24.75" customHeight="1">
      <c r="A89" s="170"/>
      <c r="B89" s="170"/>
      <c r="C89" s="170"/>
      <c r="D89" s="170"/>
      <c r="E89" s="170"/>
      <c r="F89" s="170"/>
      <c r="G89" s="170"/>
      <c r="H89" s="170"/>
      <c r="I89" s="170"/>
      <c r="J89" s="170"/>
      <c r="K89" s="170"/>
      <c r="L89" s="171" t="str">
        <f t="array" ref="L89">IFERROR(XLOOKUP($C89,HNCxTIPO!$D:$D,HNCxTIPO!E:E),"")</f>
        <v/>
      </c>
      <c r="M89" s="171" t="str">
        <f t="array" ref="M89">IFERROR(XLOOKUP($C89,HNCxTIPO!$D:$D,HNCxTIPO!F:F),"")</f>
        <v/>
      </c>
      <c r="N89" s="171" t="str">
        <f t="array" ref="N89">IFERROR(XLOOKUP($C89,HNCxTIPO!$D:$D,HNCxTIPO!G:G),"")</f>
        <v/>
      </c>
      <c r="O89" s="172" t="str">
        <f t="shared" si="3"/>
        <v/>
      </c>
      <c r="P89" s="172" t="str">
        <f t="shared" si="4"/>
        <v/>
      </c>
      <c r="Q89" s="172" t="str">
        <f t="shared" ref="Q89:R89" si="88">IF(I89="","",$J89*O89)</f>
        <v/>
      </c>
      <c r="R89" s="172" t="str">
        <f t="shared" si="88"/>
        <v/>
      </c>
      <c r="S89" s="173" t="str">
        <f t="shared" si="7"/>
        <v/>
      </c>
      <c r="T89" s="173" t="str">
        <f t="shared" si="8"/>
        <v/>
      </c>
      <c r="U89" s="170"/>
    </row>
    <row r="90" ht="24.75" customHeight="1">
      <c r="A90" s="175"/>
      <c r="B90" s="175"/>
      <c r="C90" s="175"/>
      <c r="D90" s="175"/>
      <c r="E90" s="175"/>
      <c r="F90" s="175"/>
      <c r="G90" s="175"/>
      <c r="H90" s="175"/>
      <c r="I90" s="175"/>
      <c r="J90" s="175"/>
      <c r="K90" s="175"/>
      <c r="L90" s="171" t="str">
        <f t="array" ref="L90">IFERROR(XLOOKUP($C90,HNCxTIPO!$D:$D,HNCxTIPO!E:E),"")</f>
        <v/>
      </c>
      <c r="M90" s="171" t="str">
        <f t="array" ref="M90">IFERROR(XLOOKUP($C90,HNCxTIPO!$D:$D,HNCxTIPO!F:F),"")</f>
        <v/>
      </c>
      <c r="N90" s="171" t="str">
        <f t="array" ref="N90">IFERROR(XLOOKUP($C90,HNCxTIPO!$D:$D,HNCxTIPO!G:G),"")</f>
        <v/>
      </c>
      <c r="O90" s="172" t="str">
        <f t="shared" si="3"/>
        <v/>
      </c>
      <c r="P90" s="172" t="str">
        <f t="shared" si="4"/>
        <v/>
      </c>
      <c r="Q90" s="172" t="str">
        <f t="shared" ref="Q90:R90" si="89">IF(I90="","",$J90*O90)</f>
        <v/>
      </c>
      <c r="R90" s="172" t="str">
        <f t="shared" si="89"/>
        <v/>
      </c>
      <c r="S90" s="176" t="str">
        <f t="shared" si="7"/>
        <v/>
      </c>
      <c r="T90" s="176" t="str">
        <f t="shared" si="8"/>
        <v/>
      </c>
      <c r="U90" s="175"/>
    </row>
    <row r="91" ht="24.75" customHeight="1">
      <c r="A91" s="170"/>
      <c r="B91" s="170"/>
      <c r="C91" s="170"/>
      <c r="D91" s="170"/>
      <c r="E91" s="170"/>
      <c r="F91" s="170"/>
      <c r="G91" s="170"/>
      <c r="H91" s="170"/>
      <c r="I91" s="170"/>
      <c r="J91" s="170"/>
      <c r="K91" s="170"/>
      <c r="L91" s="171" t="str">
        <f t="array" ref="L91">IFERROR(XLOOKUP($C91,HNCxTIPO!$D:$D,HNCxTIPO!E:E),"")</f>
        <v/>
      </c>
      <c r="M91" s="171" t="str">
        <f t="array" ref="M91">IFERROR(XLOOKUP($C91,HNCxTIPO!$D:$D,HNCxTIPO!F:F),"")</f>
        <v/>
      </c>
      <c r="N91" s="171" t="str">
        <f t="array" ref="N91">IFERROR(XLOOKUP($C91,HNCxTIPO!$D:$D,HNCxTIPO!G:G),"")</f>
        <v/>
      </c>
      <c r="O91" s="172" t="str">
        <f t="shared" si="3"/>
        <v/>
      </c>
      <c r="P91" s="172" t="str">
        <f t="shared" si="4"/>
        <v/>
      </c>
      <c r="Q91" s="172" t="str">
        <f t="shared" ref="Q91:R91" si="90">IF(I91="","",$J91*O91)</f>
        <v/>
      </c>
      <c r="R91" s="172" t="str">
        <f t="shared" si="90"/>
        <v/>
      </c>
      <c r="S91" s="173" t="str">
        <f t="shared" si="7"/>
        <v/>
      </c>
      <c r="T91" s="173" t="str">
        <f t="shared" si="8"/>
        <v/>
      </c>
      <c r="U91" s="170"/>
    </row>
    <row r="92" ht="24.75" customHeight="1">
      <c r="A92" s="175"/>
      <c r="B92" s="175"/>
      <c r="C92" s="175"/>
      <c r="D92" s="175"/>
      <c r="E92" s="175"/>
      <c r="F92" s="175"/>
      <c r="G92" s="175"/>
      <c r="H92" s="175"/>
      <c r="I92" s="175"/>
      <c r="J92" s="175"/>
      <c r="K92" s="175"/>
      <c r="L92" s="171" t="str">
        <f t="array" ref="L92">IFERROR(XLOOKUP($C92,HNCxTIPO!$D:$D,HNCxTIPO!E:E),"")</f>
        <v/>
      </c>
      <c r="M92" s="171" t="str">
        <f t="array" ref="M92">IFERROR(XLOOKUP($C92,HNCxTIPO!$D:$D,HNCxTIPO!F:F),"")</f>
        <v/>
      </c>
      <c r="N92" s="171" t="str">
        <f t="array" ref="N92">IFERROR(XLOOKUP($C92,HNCxTIPO!$D:$D,HNCxTIPO!G:G),"")</f>
        <v/>
      </c>
      <c r="O92" s="172" t="str">
        <f t="shared" si="3"/>
        <v/>
      </c>
      <c r="P92" s="172" t="str">
        <f t="shared" si="4"/>
        <v/>
      </c>
      <c r="Q92" s="172" t="str">
        <f t="shared" ref="Q92:R92" si="91">IF(I92="","",$J92*O92)</f>
        <v/>
      </c>
      <c r="R92" s="172" t="str">
        <f t="shared" si="91"/>
        <v/>
      </c>
      <c r="S92" s="176" t="str">
        <f t="shared" si="7"/>
        <v/>
      </c>
      <c r="T92" s="176" t="str">
        <f t="shared" si="8"/>
        <v/>
      </c>
      <c r="U92" s="175"/>
    </row>
    <row r="93" ht="24.75" customHeight="1">
      <c r="A93" s="170"/>
      <c r="B93" s="170"/>
      <c r="C93" s="170"/>
      <c r="D93" s="170"/>
      <c r="E93" s="170"/>
      <c r="F93" s="170"/>
      <c r="G93" s="170"/>
      <c r="H93" s="170"/>
      <c r="I93" s="170"/>
      <c r="J93" s="170"/>
      <c r="K93" s="170"/>
      <c r="L93" s="171" t="str">
        <f t="array" ref="L93">IFERROR(XLOOKUP($C93,HNCxTIPO!$D:$D,HNCxTIPO!E:E),"")</f>
        <v/>
      </c>
      <c r="M93" s="171" t="str">
        <f t="array" ref="M93">IFERROR(XLOOKUP($C93,HNCxTIPO!$D:$D,HNCxTIPO!F:F),"")</f>
        <v/>
      </c>
      <c r="N93" s="171" t="str">
        <f t="array" ref="N93">IFERROR(XLOOKUP($C93,HNCxTIPO!$D:$D,HNCxTIPO!G:G),"")</f>
        <v/>
      </c>
      <c r="O93" s="172" t="str">
        <f t="shared" si="3"/>
        <v/>
      </c>
      <c r="P93" s="172" t="str">
        <f t="shared" si="4"/>
        <v/>
      </c>
      <c r="Q93" s="172" t="str">
        <f t="shared" ref="Q93:R93" si="92">IF(I93="","",$J93*O93)</f>
        <v/>
      </c>
      <c r="R93" s="172" t="str">
        <f t="shared" si="92"/>
        <v/>
      </c>
      <c r="S93" s="173" t="str">
        <f t="shared" si="7"/>
        <v/>
      </c>
      <c r="T93" s="173" t="str">
        <f t="shared" si="8"/>
        <v/>
      </c>
      <c r="U93" s="170"/>
    </row>
    <row r="94" ht="24.75" customHeight="1">
      <c r="A94" s="175"/>
      <c r="B94" s="175"/>
      <c r="C94" s="175"/>
      <c r="D94" s="175"/>
      <c r="E94" s="175"/>
      <c r="F94" s="175"/>
      <c r="G94" s="175"/>
      <c r="H94" s="175"/>
      <c r="I94" s="175"/>
      <c r="J94" s="175"/>
      <c r="K94" s="175"/>
      <c r="L94" s="171" t="str">
        <f t="array" ref="L94">IFERROR(XLOOKUP($C94,HNCxTIPO!$D:$D,HNCxTIPO!E:E),"")</f>
        <v/>
      </c>
      <c r="M94" s="171" t="str">
        <f t="array" ref="M94">IFERROR(XLOOKUP($C94,HNCxTIPO!$D:$D,HNCxTIPO!F:F),"")</f>
        <v/>
      </c>
      <c r="N94" s="171" t="str">
        <f t="array" ref="N94">IFERROR(XLOOKUP($C94,HNCxTIPO!$D:$D,HNCxTIPO!G:G),"")</f>
        <v/>
      </c>
      <c r="O94" s="172" t="str">
        <f t="shared" si="3"/>
        <v/>
      </c>
      <c r="P94" s="172" t="str">
        <f t="shared" si="4"/>
        <v/>
      </c>
      <c r="Q94" s="172" t="str">
        <f t="shared" ref="Q94:R94" si="93">IF(I94="","",$J94*O94)</f>
        <v/>
      </c>
      <c r="R94" s="172" t="str">
        <f t="shared" si="93"/>
        <v/>
      </c>
      <c r="S94" s="176" t="str">
        <f t="shared" si="7"/>
        <v/>
      </c>
      <c r="T94" s="176" t="str">
        <f t="shared" si="8"/>
        <v/>
      </c>
      <c r="U94" s="175"/>
    </row>
    <row r="95" ht="24.75" customHeight="1">
      <c r="A95" s="170"/>
      <c r="B95" s="170"/>
      <c r="C95" s="170"/>
      <c r="D95" s="170"/>
      <c r="E95" s="170"/>
      <c r="F95" s="170"/>
      <c r="G95" s="170"/>
      <c r="H95" s="170"/>
      <c r="I95" s="170"/>
      <c r="J95" s="170"/>
      <c r="K95" s="170"/>
      <c r="L95" s="171" t="str">
        <f t="array" ref="L95">IFERROR(XLOOKUP($C95,HNCxTIPO!$D:$D,HNCxTIPO!E:E),"")</f>
        <v/>
      </c>
      <c r="M95" s="171" t="str">
        <f t="array" ref="M95">IFERROR(XLOOKUP($C95,HNCxTIPO!$D:$D,HNCxTIPO!F:F),"")</f>
        <v/>
      </c>
      <c r="N95" s="171" t="str">
        <f t="array" ref="N95">IFERROR(XLOOKUP($C95,HNCxTIPO!$D:$D,HNCxTIPO!G:G),"")</f>
        <v/>
      </c>
      <c r="O95" s="172" t="str">
        <f t="shared" si="3"/>
        <v/>
      </c>
      <c r="P95" s="172" t="str">
        <f t="shared" si="4"/>
        <v/>
      </c>
      <c r="Q95" s="172" t="str">
        <f t="shared" ref="Q95:R95" si="94">IF(I95="","",$J95*O95)</f>
        <v/>
      </c>
      <c r="R95" s="172" t="str">
        <f t="shared" si="94"/>
        <v/>
      </c>
      <c r="S95" s="173" t="str">
        <f t="shared" si="7"/>
        <v/>
      </c>
      <c r="T95" s="173" t="str">
        <f t="shared" si="8"/>
        <v/>
      </c>
      <c r="U95" s="170"/>
    </row>
    <row r="96" ht="24.75" customHeight="1">
      <c r="A96" s="175"/>
      <c r="B96" s="175"/>
      <c r="C96" s="175"/>
      <c r="D96" s="175"/>
      <c r="E96" s="175"/>
      <c r="F96" s="175"/>
      <c r="G96" s="175"/>
      <c r="H96" s="175"/>
      <c r="I96" s="175"/>
      <c r="J96" s="175"/>
      <c r="K96" s="175"/>
      <c r="L96" s="171" t="str">
        <f t="array" ref="L96">IFERROR(XLOOKUP($C96,HNCxTIPO!$D:$D,HNCxTIPO!E:E),"")</f>
        <v/>
      </c>
      <c r="M96" s="171" t="str">
        <f t="array" ref="M96">IFERROR(XLOOKUP($C96,HNCxTIPO!$D:$D,HNCxTIPO!F:F),"")</f>
        <v/>
      </c>
      <c r="N96" s="171" t="str">
        <f t="array" ref="N96">IFERROR(XLOOKUP($C96,HNCxTIPO!$D:$D,HNCxTIPO!G:G),"")</f>
        <v/>
      </c>
      <c r="O96" s="172" t="str">
        <f t="shared" si="3"/>
        <v/>
      </c>
      <c r="P96" s="172" t="str">
        <f t="shared" si="4"/>
        <v/>
      </c>
      <c r="Q96" s="172" t="str">
        <f t="shared" ref="Q96:R96" si="95">IF(I96="","",$J96*O96)</f>
        <v/>
      </c>
      <c r="R96" s="172" t="str">
        <f t="shared" si="95"/>
        <v/>
      </c>
      <c r="S96" s="176" t="str">
        <f t="shared" si="7"/>
        <v/>
      </c>
      <c r="T96" s="176" t="str">
        <f t="shared" si="8"/>
        <v/>
      </c>
      <c r="U96" s="175"/>
    </row>
    <row r="97" ht="24.75" customHeight="1">
      <c r="A97" s="170"/>
      <c r="B97" s="170"/>
      <c r="C97" s="170"/>
      <c r="D97" s="170"/>
      <c r="E97" s="170"/>
      <c r="F97" s="170"/>
      <c r="G97" s="170"/>
      <c r="H97" s="170"/>
      <c r="I97" s="170"/>
      <c r="J97" s="170"/>
      <c r="K97" s="170"/>
      <c r="L97" s="171" t="str">
        <f t="array" ref="L97">IFERROR(XLOOKUP($C97,HNCxTIPO!$D:$D,HNCxTIPO!E:E),"")</f>
        <v/>
      </c>
      <c r="M97" s="171" t="str">
        <f t="array" ref="M97">IFERROR(XLOOKUP($C97,HNCxTIPO!$D:$D,HNCxTIPO!F:F),"")</f>
        <v/>
      </c>
      <c r="N97" s="171" t="str">
        <f t="array" ref="N97">IFERROR(XLOOKUP($C97,HNCxTIPO!$D:$D,HNCxTIPO!G:G),"")</f>
        <v/>
      </c>
      <c r="O97" s="172" t="str">
        <f t="shared" si="3"/>
        <v/>
      </c>
      <c r="P97" s="172" t="str">
        <f t="shared" si="4"/>
        <v/>
      </c>
      <c r="Q97" s="172" t="str">
        <f t="shared" ref="Q97:R97" si="96">IF(I97="","",$J97*O97)</f>
        <v/>
      </c>
      <c r="R97" s="172" t="str">
        <f t="shared" si="96"/>
        <v/>
      </c>
      <c r="S97" s="173" t="str">
        <f t="shared" si="7"/>
        <v/>
      </c>
      <c r="T97" s="173" t="str">
        <f t="shared" si="8"/>
        <v/>
      </c>
      <c r="U97" s="170"/>
    </row>
    <row r="98" ht="24.75" customHeight="1">
      <c r="A98" s="175"/>
      <c r="B98" s="175"/>
      <c r="C98" s="175"/>
      <c r="D98" s="175"/>
      <c r="E98" s="175"/>
      <c r="F98" s="175"/>
      <c r="G98" s="175"/>
      <c r="H98" s="175"/>
      <c r="I98" s="175"/>
      <c r="J98" s="175"/>
      <c r="K98" s="175"/>
      <c r="L98" s="171" t="str">
        <f t="array" ref="L98">IFERROR(XLOOKUP($C98,HNCxTIPO!$D:$D,HNCxTIPO!E:E),"")</f>
        <v/>
      </c>
      <c r="M98" s="171" t="str">
        <f t="array" ref="M98">IFERROR(XLOOKUP($C98,HNCxTIPO!$D:$D,HNCxTIPO!F:F),"")</f>
        <v/>
      </c>
      <c r="N98" s="171" t="str">
        <f t="array" ref="N98">IFERROR(XLOOKUP($C98,HNCxTIPO!$D:$D,HNCxTIPO!G:G),"")</f>
        <v/>
      </c>
      <c r="O98" s="172" t="str">
        <f t="shared" si="3"/>
        <v/>
      </c>
      <c r="P98" s="172" t="str">
        <f t="shared" si="4"/>
        <v/>
      </c>
      <c r="Q98" s="172" t="str">
        <f t="shared" ref="Q98:R98" si="97">IF(I98="","",$J98*O98)</f>
        <v/>
      </c>
      <c r="R98" s="172" t="str">
        <f t="shared" si="97"/>
        <v/>
      </c>
      <c r="S98" s="176" t="str">
        <f t="shared" si="7"/>
        <v/>
      </c>
      <c r="T98" s="176" t="str">
        <f t="shared" si="8"/>
        <v/>
      </c>
      <c r="U98" s="175"/>
    </row>
    <row r="99" ht="24.75" customHeight="1">
      <c r="A99" s="170"/>
      <c r="B99" s="170"/>
      <c r="C99" s="170"/>
      <c r="D99" s="170"/>
      <c r="E99" s="170"/>
      <c r="F99" s="170"/>
      <c r="G99" s="170"/>
      <c r="H99" s="170"/>
      <c r="I99" s="170"/>
      <c r="J99" s="170"/>
      <c r="K99" s="170"/>
      <c r="L99" s="171" t="str">
        <f t="array" ref="L99">IFERROR(XLOOKUP($C99,HNCxTIPO!$D:$D,HNCxTIPO!E:E),"")</f>
        <v/>
      </c>
      <c r="M99" s="171" t="str">
        <f t="array" ref="M99">IFERROR(XLOOKUP($C99,HNCxTIPO!$D:$D,HNCxTIPO!F:F),"")</f>
        <v/>
      </c>
      <c r="N99" s="171" t="str">
        <f t="array" ref="N99">IFERROR(XLOOKUP($C99,HNCxTIPO!$D:$D,HNCxTIPO!G:G),"")</f>
        <v/>
      </c>
      <c r="O99" s="172" t="str">
        <f t="shared" si="3"/>
        <v/>
      </c>
      <c r="P99" s="172" t="str">
        <f t="shared" si="4"/>
        <v/>
      </c>
      <c r="Q99" s="172" t="str">
        <f t="shared" ref="Q99:R99" si="98">IF(I99="","",$J99*O99)</f>
        <v/>
      </c>
      <c r="R99" s="172" t="str">
        <f t="shared" si="98"/>
        <v/>
      </c>
      <c r="S99" s="173" t="str">
        <f t="shared" si="7"/>
        <v/>
      </c>
      <c r="T99" s="173" t="str">
        <f t="shared" si="8"/>
        <v/>
      </c>
      <c r="U99" s="170"/>
    </row>
    <row r="100" ht="24.75" customHeight="1">
      <c r="A100" s="175"/>
      <c r="B100" s="175"/>
      <c r="C100" s="175"/>
      <c r="D100" s="175"/>
      <c r="E100" s="175"/>
      <c r="F100" s="175"/>
      <c r="G100" s="175"/>
      <c r="H100" s="175"/>
      <c r="I100" s="175"/>
      <c r="J100" s="175"/>
      <c r="K100" s="175"/>
      <c r="L100" s="171" t="str">
        <f t="array" ref="L100">IFERROR(XLOOKUP($C100,HNCxTIPO!$D:$D,HNCxTIPO!E:E),"")</f>
        <v/>
      </c>
      <c r="M100" s="171" t="str">
        <f t="array" ref="M100">IFERROR(XLOOKUP($C100,HNCxTIPO!$D:$D,HNCxTIPO!F:F),"")</f>
        <v/>
      </c>
      <c r="N100" s="171" t="str">
        <f t="array" ref="N100">IFERROR(XLOOKUP($C100,HNCxTIPO!$D:$D,HNCxTIPO!G:G),"")</f>
        <v/>
      </c>
      <c r="O100" s="172" t="str">
        <f t="shared" si="3"/>
        <v/>
      </c>
      <c r="P100" s="172" t="str">
        <f t="shared" si="4"/>
        <v/>
      </c>
      <c r="Q100" s="172" t="str">
        <f t="shared" ref="Q100:R100" si="99">IF(I100="","",$J100*O100)</f>
        <v/>
      </c>
      <c r="R100" s="172" t="str">
        <f t="shared" si="99"/>
        <v/>
      </c>
      <c r="S100" s="176" t="str">
        <f t="shared" si="7"/>
        <v/>
      </c>
      <c r="T100" s="176" t="str">
        <f t="shared" si="8"/>
        <v/>
      </c>
      <c r="U100" s="175"/>
    </row>
    <row r="101" ht="24.75" customHeight="1">
      <c r="A101" s="170"/>
      <c r="B101" s="170"/>
      <c r="C101" s="170"/>
      <c r="D101" s="170"/>
      <c r="E101" s="170"/>
      <c r="F101" s="170"/>
      <c r="G101" s="170"/>
      <c r="H101" s="170"/>
      <c r="I101" s="170"/>
      <c r="J101" s="170"/>
      <c r="K101" s="170"/>
      <c r="L101" s="171" t="str">
        <f t="array" ref="L101">IFERROR(XLOOKUP($C101,HNCxTIPO!$D:$D,HNCxTIPO!E:E),"")</f>
        <v/>
      </c>
      <c r="M101" s="171" t="str">
        <f t="array" ref="M101">IFERROR(XLOOKUP($C101,HNCxTIPO!$D:$D,HNCxTIPO!F:F),"")</f>
        <v/>
      </c>
      <c r="N101" s="171" t="str">
        <f t="array" ref="N101">IFERROR(XLOOKUP($C101,HNCxTIPO!$D:$D,HNCxTIPO!G:G),"")</f>
        <v/>
      </c>
      <c r="O101" s="172" t="str">
        <f t="shared" si="3"/>
        <v/>
      </c>
      <c r="P101" s="172" t="str">
        <f t="shared" si="4"/>
        <v/>
      </c>
      <c r="Q101" s="172" t="str">
        <f t="shared" ref="Q101:R101" si="100">IF(I101="","",$J101*O101)</f>
        <v/>
      </c>
      <c r="R101" s="172" t="str">
        <f t="shared" si="100"/>
        <v/>
      </c>
      <c r="S101" s="173" t="str">
        <f t="shared" si="7"/>
        <v/>
      </c>
      <c r="T101" s="173" t="str">
        <f t="shared" si="8"/>
        <v/>
      </c>
      <c r="U101" s="170"/>
    </row>
    <row r="102" ht="24.75" customHeight="1">
      <c r="A102" s="175"/>
      <c r="B102" s="175"/>
      <c r="C102" s="175"/>
      <c r="D102" s="175"/>
      <c r="E102" s="175"/>
      <c r="F102" s="175"/>
      <c r="G102" s="175"/>
      <c r="H102" s="175"/>
      <c r="I102" s="175"/>
      <c r="J102" s="175"/>
      <c r="K102" s="175"/>
      <c r="L102" s="171" t="str">
        <f t="array" ref="L102">IFERROR(XLOOKUP($C102,HNCxTIPO!$D:$D,HNCxTIPO!E:E),"")</f>
        <v/>
      </c>
      <c r="M102" s="171" t="str">
        <f t="array" ref="M102">IFERROR(XLOOKUP($C102,HNCxTIPO!$D:$D,HNCxTIPO!F:F),"")</f>
        <v/>
      </c>
      <c r="N102" s="171" t="str">
        <f t="array" ref="N102">IFERROR(XLOOKUP($C102,HNCxTIPO!$D:$D,HNCxTIPO!G:G),"")</f>
        <v/>
      </c>
      <c r="O102" s="172" t="str">
        <f t="shared" si="3"/>
        <v/>
      </c>
      <c r="P102" s="172" t="str">
        <f t="shared" si="4"/>
        <v/>
      </c>
      <c r="Q102" s="172" t="str">
        <f t="shared" ref="Q102:R102" si="101">IF(I102="","",$J102*O102)</f>
        <v/>
      </c>
      <c r="R102" s="172" t="str">
        <f t="shared" si="101"/>
        <v/>
      </c>
      <c r="S102" s="176" t="str">
        <f t="shared" si="7"/>
        <v/>
      </c>
      <c r="T102" s="176" t="str">
        <f t="shared" si="8"/>
        <v/>
      </c>
      <c r="U102" s="175"/>
    </row>
    <row r="103" ht="24.75" customHeight="1">
      <c r="A103" s="170"/>
      <c r="B103" s="170"/>
      <c r="C103" s="170"/>
      <c r="D103" s="170"/>
      <c r="E103" s="170"/>
      <c r="F103" s="170"/>
      <c r="G103" s="170"/>
      <c r="H103" s="170"/>
      <c r="I103" s="170"/>
      <c r="J103" s="170"/>
      <c r="K103" s="170"/>
      <c r="L103" s="171" t="str">
        <f t="array" ref="L103">IFERROR(XLOOKUP($C103,HNCxTIPO!$D:$D,HNCxTIPO!E:E),"")</f>
        <v/>
      </c>
      <c r="M103" s="171" t="str">
        <f t="array" ref="M103">IFERROR(XLOOKUP($C103,HNCxTIPO!$D:$D,HNCxTIPO!F:F),"")</f>
        <v/>
      </c>
      <c r="N103" s="171" t="str">
        <f t="array" ref="N103">IFERROR(XLOOKUP($C103,HNCxTIPO!$D:$D,HNCxTIPO!G:G),"")</f>
        <v/>
      </c>
      <c r="O103" s="172" t="str">
        <f t="shared" si="3"/>
        <v/>
      </c>
      <c r="P103" s="172" t="str">
        <f t="shared" si="4"/>
        <v/>
      </c>
      <c r="Q103" s="172" t="str">
        <f t="shared" ref="Q103:R103" si="102">IF(I103="","",$J103*O103)</f>
        <v/>
      </c>
      <c r="R103" s="172" t="str">
        <f t="shared" si="102"/>
        <v/>
      </c>
      <c r="S103" s="173" t="str">
        <f t="shared" si="7"/>
        <v/>
      </c>
      <c r="T103" s="173" t="str">
        <f t="shared" si="8"/>
        <v/>
      </c>
      <c r="U103" s="170"/>
    </row>
    <row r="104" ht="24.75" customHeight="1">
      <c r="A104" s="175"/>
      <c r="B104" s="175"/>
      <c r="C104" s="175"/>
      <c r="D104" s="175"/>
      <c r="E104" s="175"/>
      <c r="F104" s="175"/>
      <c r="G104" s="175"/>
      <c r="H104" s="175"/>
      <c r="I104" s="175"/>
      <c r="J104" s="175"/>
      <c r="K104" s="175"/>
      <c r="L104" s="171" t="str">
        <f t="array" ref="L104">IFERROR(XLOOKUP($C104,HNCxTIPO!$D:$D,HNCxTIPO!E:E),"")</f>
        <v/>
      </c>
      <c r="M104" s="171" t="str">
        <f t="array" ref="M104">IFERROR(XLOOKUP($C104,HNCxTIPO!$D:$D,HNCxTIPO!F:F),"")</f>
        <v/>
      </c>
      <c r="N104" s="171" t="str">
        <f t="array" ref="N104">IFERROR(XLOOKUP($C104,HNCxTIPO!$D:$D,HNCxTIPO!G:G),"")</f>
        <v/>
      </c>
      <c r="O104" s="172" t="str">
        <f t="shared" si="3"/>
        <v/>
      </c>
      <c r="P104" s="172" t="str">
        <f t="shared" si="4"/>
        <v/>
      </c>
      <c r="Q104" s="172" t="str">
        <f t="shared" ref="Q104:R104" si="103">IF(I104="","",$J104*O104)</f>
        <v/>
      </c>
      <c r="R104" s="172" t="str">
        <f t="shared" si="103"/>
        <v/>
      </c>
      <c r="S104" s="176" t="str">
        <f t="shared" si="7"/>
        <v/>
      </c>
      <c r="T104" s="176" t="str">
        <f t="shared" si="8"/>
        <v/>
      </c>
      <c r="U104" s="175"/>
    </row>
    <row r="105" ht="24.75" customHeight="1">
      <c r="A105" s="170"/>
      <c r="B105" s="170"/>
      <c r="C105" s="170"/>
      <c r="D105" s="170"/>
      <c r="E105" s="170"/>
      <c r="F105" s="170"/>
      <c r="G105" s="170"/>
      <c r="H105" s="170"/>
      <c r="I105" s="170"/>
      <c r="J105" s="170"/>
      <c r="K105" s="170"/>
      <c r="L105" s="171" t="str">
        <f t="array" ref="L105">IFERROR(XLOOKUP($C105,HNCxTIPO!$D:$D,HNCxTIPO!E:E),"")</f>
        <v/>
      </c>
      <c r="M105" s="171" t="str">
        <f t="array" ref="M105">IFERROR(XLOOKUP($C105,HNCxTIPO!$D:$D,HNCxTIPO!F:F),"")</f>
        <v/>
      </c>
      <c r="N105" s="171" t="str">
        <f t="array" ref="N105">IFERROR(XLOOKUP($C105,HNCxTIPO!$D:$D,HNCxTIPO!G:G),"")</f>
        <v/>
      </c>
      <c r="O105" s="172" t="str">
        <f t="shared" si="3"/>
        <v/>
      </c>
      <c r="P105" s="172" t="str">
        <f t="shared" si="4"/>
        <v/>
      </c>
      <c r="Q105" s="172" t="str">
        <f t="shared" ref="Q105:R105" si="104">IF(I105="","",$J105*O105)</f>
        <v/>
      </c>
      <c r="R105" s="172" t="str">
        <f t="shared" si="104"/>
        <v/>
      </c>
      <c r="S105" s="173" t="str">
        <f t="shared" si="7"/>
        <v/>
      </c>
      <c r="T105" s="173" t="str">
        <f t="shared" si="8"/>
        <v/>
      </c>
      <c r="U105" s="170"/>
    </row>
    <row r="106" ht="24.75" customHeight="1">
      <c r="A106" s="175"/>
      <c r="B106" s="175"/>
      <c r="C106" s="175"/>
      <c r="D106" s="175"/>
      <c r="E106" s="175"/>
      <c r="F106" s="175"/>
      <c r="G106" s="175"/>
      <c r="H106" s="175"/>
      <c r="I106" s="175"/>
      <c r="J106" s="175"/>
      <c r="K106" s="175"/>
      <c r="L106" s="171" t="str">
        <f t="array" ref="L106">IFERROR(XLOOKUP($C106,HNCxTIPO!$D:$D,HNCxTIPO!E:E),"")</f>
        <v/>
      </c>
      <c r="M106" s="171" t="str">
        <f t="array" ref="M106">IFERROR(XLOOKUP($C106,HNCxTIPO!$D:$D,HNCxTIPO!F:F),"")</f>
        <v/>
      </c>
      <c r="N106" s="171" t="str">
        <f t="array" ref="N106">IFERROR(XLOOKUP($C106,HNCxTIPO!$D:$D,HNCxTIPO!G:G),"")</f>
        <v/>
      </c>
      <c r="O106" s="172" t="str">
        <f t="shared" si="3"/>
        <v/>
      </c>
      <c r="P106" s="172" t="str">
        <f t="shared" si="4"/>
        <v/>
      </c>
      <c r="Q106" s="172" t="str">
        <f t="shared" ref="Q106:R106" si="105">IF(I106="","",$J106*O106)</f>
        <v/>
      </c>
      <c r="R106" s="172" t="str">
        <f t="shared" si="105"/>
        <v/>
      </c>
      <c r="S106" s="176" t="str">
        <f t="shared" si="7"/>
        <v/>
      </c>
      <c r="T106" s="176" t="str">
        <f t="shared" si="8"/>
        <v/>
      </c>
      <c r="U106" s="175"/>
    </row>
    <row r="107" ht="24.75" customHeight="1">
      <c r="A107" s="170"/>
      <c r="B107" s="170"/>
      <c r="C107" s="170"/>
      <c r="D107" s="170"/>
      <c r="E107" s="170"/>
      <c r="F107" s="170"/>
      <c r="G107" s="170"/>
      <c r="H107" s="170"/>
      <c r="I107" s="170"/>
      <c r="J107" s="170"/>
      <c r="K107" s="170"/>
      <c r="L107" s="171" t="str">
        <f t="array" ref="L107">IFERROR(XLOOKUP($C107,HNCxTIPO!$D:$D,HNCxTIPO!E:E),"")</f>
        <v/>
      </c>
      <c r="M107" s="171" t="str">
        <f t="array" ref="M107">IFERROR(XLOOKUP($C107,HNCxTIPO!$D:$D,HNCxTIPO!F:F),"")</f>
        <v/>
      </c>
      <c r="N107" s="171" t="str">
        <f t="array" ref="N107">IFERROR(XLOOKUP($C107,HNCxTIPO!$D:$D,HNCxTIPO!G:G),"")</f>
        <v/>
      </c>
      <c r="O107" s="172" t="str">
        <f t="shared" si="3"/>
        <v/>
      </c>
      <c r="P107" s="172" t="str">
        <f t="shared" si="4"/>
        <v/>
      </c>
      <c r="Q107" s="172" t="str">
        <f t="shared" ref="Q107:R107" si="106">IF(I107="","",$J107*O107)</f>
        <v/>
      </c>
      <c r="R107" s="172" t="str">
        <f t="shared" si="106"/>
        <v/>
      </c>
      <c r="S107" s="173" t="str">
        <f t="shared" si="7"/>
        <v/>
      </c>
      <c r="T107" s="173" t="str">
        <f t="shared" si="8"/>
        <v/>
      </c>
      <c r="U107" s="170"/>
    </row>
    <row r="108" ht="24.75" customHeight="1">
      <c r="A108" s="175"/>
      <c r="B108" s="175"/>
      <c r="C108" s="175"/>
      <c r="D108" s="175"/>
      <c r="E108" s="175"/>
      <c r="F108" s="175"/>
      <c r="G108" s="175"/>
      <c r="H108" s="175"/>
      <c r="I108" s="175"/>
      <c r="J108" s="175"/>
      <c r="K108" s="175"/>
      <c r="L108" s="171" t="str">
        <f t="array" ref="L108">IFERROR(XLOOKUP($C108,HNCxTIPO!$D:$D,HNCxTIPO!E:E),"")</f>
        <v/>
      </c>
      <c r="M108" s="171" t="str">
        <f t="array" ref="M108">IFERROR(XLOOKUP($C108,HNCxTIPO!$D:$D,HNCxTIPO!F:F),"")</f>
        <v/>
      </c>
      <c r="N108" s="171" t="str">
        <f t="array" ref="N108">IFERROR(XLOOKUP($C108,HNCxTIPO!$D:$D,HNCxTIPO!G:G),"")</f>
        <v/>
      </c>
      <c r="O108" s="172" t="str">
        <f t="shared" si="3"/>
        <v/>
      </c>
      <c r="P108" s="172" t="str">
        <f t="shared" si="4"/>
        <v/>
      </c>
      <c r="Q108" s="172" t="str">
        <f t="shared" ref="Q108:R108" si="107">IF(I108="","",$J108*O108)</f>
        <v/>
      </c>
      <c r="R108" s="172" t="str">
        <f t="shared" si="107"/>
        <v/>
      </c>
      <c r="S108" s="176" t="str">
        <f t="shared" si="7"/>
        <v/>
      </c>
      <c r="T108" s="176" t="str">
        <f t="shared" si="8"/>
        <v/>
      </c>
      <c r="U108" s="175"/>
    </row>
    <row r="109" ht="24.75" customHeight="1">
      <c r="A109" s="170"/>
      <c r="B109" s="170"/>
      <c r="C109" s="170"/>
      <c r="D109" s="170"/>
      <c r="E109" s="170"/>
      <c r="F109" s="170"/>
      <c r="G109" s="170"/>
      <c r="H109" s="170"/>
      <c r="I109" s="170"/>
      <c r="J109" s="170"/>
      <c r="K109" s="170"/>
      <c r="L109" s="171" t="str">
        <f t="array" ref="L109">IFERROR(XLOOKUP($C109,HNCxTIPO!$D:$D,HNCxTIPO!E:E),"")</f>
        <v/>
      </c>
      <c r="M109" s="171" t="str">
        <f t="array" ref="M109">IFERROR(XLOOKUP($C109,HNCxTIPO!$D:$D,HNCxTIPO!F:F),"")</f>
        <v/>
      </c>
      <c r="N109" s="171" t="str">
        <f t="array" ref="N109">IFERROR(XLOOKUP($C109,HNCxTIPO!$D:$D,HNCxTIPO!G:G),"")</f>
        <v/>
      </c>
      <c r="O109" s="172" t="str">
        <f t="shared" si="3"/>
        <v/>
      </c>
      <c r="P109" s="172" t="str">
        <f t="shared" si="4"/>
        <v/>
      </c>
      <c r="Q109" s="172" t="str">
        <f t="shared" ref="Q109:R109" si="108">IF(I109="","",$J109*O109)</f>
        <v/>
      </c>
      <c r="R109" s="172" t="str">
        <f t="shared" si="108"/>
        <v/>
      </c>
      <c r="S109" s="173" t="str">
        <f t="shared" si="7"/>
        <v/>
      </c>
      <c r="T109" s="173" t="str">
        <f t="shared" si="8"/>
        <v/>
      </c>
      <c r="U109" s="170"/>
    </row>
    <row r="110" ht="24.75" customHeight="1">
      <c r="A110" s="175"/>
      <c r="B110" s="175"/>
      <c r="C110" s="175"/>
      <c r="D110" s="175"/>
      <c r="E110" s="175"/>
      <c r="F110" s="175"/>
      <c r="G110" s="175"/>
      <c r="H110" s="175"/>
      <c r="I110" s="175"/>
      <c r="J110" s="175"/>
      <c r="K110" s="175"/>
      <c r="L110" s="171" t="str">
        <f t="array" ref="L110">IFERROR(XLOOKUP($C110,HNCxTIPO!$D:$D,HNCxTIPO!E:E),"")</f>
        <v/>
      </c>
      <c r="M110" s="171" t="str">
        <f t="array" ref="M110">IFERROR(XLOOKUP($C110,HNCxTIPO!$D:$D,HNCxTIPO!F:F),"")</f>
        <v/>
      </c>
      <c r="N110" s="171" t="str">
        <f t="array" ref="N110">IFERROR(XLOOKUP($C110,HNCxTIPO!$D:$D,HNCxTIPO!G:G),"")</f>
        <v/>
      </c>
      <c r="O110" s="172" t="str">
        <f t="shared" si="3"/>
        <v/>
      </c>
      <c r="P110" s="172" t="str">
        <f t="shared" si="4"/>
        <v/>
      </c>
      <c r="Q110" s="172" t="str">
        <f t="shared" ref="Q110:R110" si="109">IF(I110="","",$J110*O110)</f>
        <v/>
      </c>
      <c r="R110" s="172" t="str">
        <f t="shared" si="109"/>
        <v/>
      </c>
      <c r="S110" s="176" t="str">
        <f t="shared" si="7"/>
        <v/>
      </c>
      <c r="T110" s="176" t="str">
        <f t="shared" si="8"/>
        <v/>
      </c>
      <c r="U110" s="175"/>
    </row>
    <row r="111" ht="24.75" customHeight="1">
      <c r="A111" s="170"/>
      <c r="B111" s="170"/>
      <c r="C111" s="170"/>
      <c r="D111" s="170"/>
      <c r="E111" s="170"/>
      <c r="F111" s="170"/>
      <c r="G111" s="170"/>
      <c r="H111" s="170"/>
      <c r="I111" s="170"/>
      <c r="J111" s="170"/>
      <c r="K111" s="170"/>
      <c r="L111" s="171" t="str">
        <f t="array" ref="L111">IFERROR(XLOOKUP($C111,HNCxTIPO!$D:$D,HNCxTIPO!E:E),"")</f>
        <v/>
      </c>
      <c r="M111" s="171" t="str">
        <f t="array" ref="M111">IFERROR(XLOOKUP($C111,HNCxTIPO!$D:$D,HNCxTIPO!F:F),"")</f>
        <v/>
      </c>
      <c r="N111" s="171" t="str">
        <f t="array" ref="N111">IFERROR(XLOOKUP($C111,HNCxTIPO!$D:$D,HNCxTIPO!G:G),"")</f>
        <v/>
      </c>
      <c r="O111" s="172" t="str">
        <f t="shared" si="3"/>
        <v/>
      </c>
      <c r="P111" s="172" t="str">
        <f t="shared" si="4"/>
        <v/>
      </c>
      <c r="Q111" s="172" t="str">
        <f t="shared" ref="Q111:R111" si="110">IF(I111="","",$J111*O111)</f>
        <v/>
      </c>
      <c r="R111" s="172" t="str">
        <f t="shared" si="110"/>
        <v/>
      </c>
      <c r="S111" s="173" t="str">
        <f t="shared" si="7"/>
        <v/>
      </c>
      <c r="T111" s="173" t="str">
        <f t="shared" si="8"/>
        <v/>
      </c>
      <c r="U111" s="170"/>
    </row>
    <row r="112" ht="24.75" customHeight="1">
      <c r="A112" s="175"/>
      <c r="B112" s="175"/>
      <c r="C112" s="175"/>
      <c r="D112" s="175"/>
      <c r="E112" s="175"/>
      <c r="F112" s="175"/>
      <c r="G112" s="175"/>
      <c r="H112" s="175"/>
      <c r="I112" s="175"/>
      <c r="J112" s="175"/>
      <c r="K112" s="175"/>
      <c r="L112" s="171" t="str">
        <f t="array" ref="L112">IFERROR(XLOOKUP($C112,HNCxTIPO!$D:$D,HNCxTIPO!E:E),"")</f>
        <v/>
      </c>
      <c r="M112" s="171" t="str">
        <f t="array" ref="M112">IFERROR(XLOOKUP($C112,HNCxTIPO!$D:$D,HNCxTIPO!F:F),"")</f>
        <v/>
      </c>
      <c r="N112" s="171" t="str">
        <f t="array" ref="N112">IFERROR(XLOOKUP($C112,HNCxTIPO!$D:$D,HNCxTIPO!G:G),"")</f>
        <v/>
      </c>
      <c r="O112" s="172" t="str">
        <f t="shared" si="3"/>
        <v/>
      </c>
      <c r="P112" s="172" t="str">
        <f t="shared" si="4"/>
        <v/>
      </c>
      <c r="Q112" s="172" t="str">
        <f t="shared" ref="Q112:R112" si="111">IF(I112="","",$J112*O112)</f>
        <v/>
      </c>
      <c r="R112" s="172" t="str">
        <f t="shared" si="111"/>
        <v/>
      </c>
      <c r="S112" s="176" t="str">
        <f t="shared" si="7"/>
        <v/>
      </c>
      <c r="T112" s="176" t="str">
        <f t="shared" si="8"/>
        <v/>
      </c>
      <c r="U112" s="175"/>
    </row>
    <row r="113" ht="24.75" customHeight="1">
      <c r="A113" s="170"/>
      <c r="B113" s="170"/>
      <c r="C113" s="170"/>
      <c r="D113" s="170"/>
      <c r="E113" s="170"/>
      <c r="F113" s="170"/>
      <c r="G113" s="170"/>
      <c r="H113" s="170"/>
      <c r="I113" s="170"/>
      <c r="J113" s="170"/>
      <c r="K113" s="170"/>
      <c r="L113" s="171" t="str">
        <f t="array" ref="L113">IFERROR(XLOOKUP($C113,HNCxTIPO!$D:$D,HNCxTIPO!E:E),"")</f>
        <v/>
      </c>
      <c r="M113" s="171" t="str">
        <f t="array" ref="M113">IFERROR(XLOOKUP($C113,HNCxTIPO!$D:$D,HNCxTIPO!F:F),"")</f>
        <v/>
      </c>
      <c r="N113" s="171" t="str">
        <f t="array" ref="N113">IFERROR(XLOOKUP($C113,HNCxTIPO!$D:$D,HNCxTIPO!G:G),"")</f>
        <v/>
      </c>
      <c r="O113" s="172" t="str">
        <f t="shared" si="3"/>
        <v/>
      </c>
      <c r="P113" s="172" t="str">
        <f t="shared" si="4"/>
        <v/>
      </c>
      <c r="Q113" s="172" t="str">
        <f t="shared" ref="Q113:R113" si="112">IF(I113="","",$J113*O113)</f>
        <v/>
      </c>
      <c r="R113" s="172" t="str">
        <f t="shared" si="112"/>
        <v/>
      </c>
      <c r="S113" s="173" t="str">
        <f t="shared" si="7"/>
        <v/>
      </c>
      <c r="T113" s="173" t="str">
        <f t="shared" si="8"/>
        <v/>
      </c>
      <c r="U113" s="170"/>
    </row>
    <row r="114" ht="24.75" customHeight="1">
      <c r="A114" s="175"/>
      <c r="B114" s="175"/>
      <c r="C114" s="175"/>
      <c r="D114" s="175"/>
      <c r="E114" s="175"/>
      <c r="F114" s="175"/>
      <c r="G114" s="175"/>
      <c r="H114" s="175"/>
      <c r="I114" s="175"/>
      <c r="J114" s="175"/>
      <c r="K114" s="175"/>
      <c r="L114" s="171" t="str">
        <f t="array" ref="L114">IFERROR(XLOOKUP($C114,HNCxTIPO!$D:$D,HNCxTIPO!E:E),"")</f>
        <v/>
      </c>
      <c r="M114" s="171" t="str">
        <f t="array" ref="M114">IFERROR(XLOOKUP($C114,HNCxTIPO!$D:$D,HNCxTIPO!F:F),"")</f>
        <v/>
      </c>
      <c r="N114" s="171" t="str">
        <f t="array" ref="N114">IFERROR(XLOOKUP($C114,HNCxTIPO!$D:$D,HNCxTIPO!G:G),"")</f>
        <v/>
      </c>
      <c r="O114" s="172" t="str">
        <f t="shared" si="3"/>
        <v/>
      </c>
      <c r="P114" s="172" t="str">
        <f t="shared" si="4"/>
        <v/>
      </c>
      <c r="Q114" s="172" t="str">
        <f t="shared" ref="Q114:R114" si="113">IF(I114="","",$J114*O114)</f>
        <v/>
      </c>
      <c r="R114" s="172" t="str">
        <f t="shared" si="113"/>
        <v/>
      </c>
      <c r="S114" s="176" t="str">
        <f t="shared" si="7"/>
        <v/>
      </c>
      <c r="T114" s="176" t="str">
        <f t="shared" si="8"/>
        <v/>
      </c>
      <c r="U114" s="175"/>
    </row>
    <row r="115" ht="24.75" customHeight="1">
      <c r="A115" s="170"/>
      <c r="B115" s="170"/>
      <c r="C115" s="170"/>
      <c r="D115" s="170"/>
      <c r="E115" s="170"/>
      <c r="F115" s="170"/>
      <c r="G115" s="170"/>
      <c r="H115" s="170"/>
      <c r="I115" s="170"/>
      <c r="J115" s="170"/>
      <c r="K115" s="170"/>
      <c r="L115" s="171" t="str">
        <f t="array" ref="L115">IFERROR(XLOOKUP($C115,HNCxTIPO!$D:$D,HNCxTIPO!E:E),"")</f>
        <v/>
      </c>
      <c r="M115" s="171" t="str">
        <f t="array" ref="M115">IFERROR(XLOOKUP($C115,HNCxTIPO!$D:$D,HNCxTIPO!F:F),"")</f>
        <v/>
      </c>
      <c r="N115" s="171" t="str">
        <f t="array" ref="N115">IFERROR(XLOOKUP($C115,HNCxTIPO!$D:$D,HNCxTIPO!G:G),"")</f>
        <v/>
      </c>
      <c r="O115" s="172" t="str">
        <f t="shared" si="3"/>
        <v/>
      </c>
      <c r="P115" s="172" t="str">
        <f t="shared" si="4"/>
        <v/>
      </c>
      <c r="Q115" s="172" t="str">
        <f t="shared" ref="Q115:R115" si="114">IF(I115="","",$J115*O115)</f>
        <v/>
      </c>
      <c r="R115" s="172" t="str">
        <f t="shared" si="114"/>
        <v/>
      </c>
      <c r="S115" s="173" t="str">
        <f t="shared" si="7"/>
        <v/>
      </c>
      <c r="T115" s="173" t="str">
        <f t="shared" si="8"/>
        <v/>
      </c>
      <c r="U115" s="170"/>
    </row>
    <row r="116" ht="24.75" customHeight="1">
      <c r="A116" s="175"/>
      <c r="B116" s="175"/>
      <c r="C116" s="175"/>
      <c r="D116" s="175"/>
      <c r="E116" s="175"/>
      <c r="F116" s="175"/>
      <c r="G116" s="175"/>
      <c r="H116" s="175"/>
      <c r="I116" s="175"/>
      <c r="J116" s="175"/>
      <c r="K116" s="175"/>
      <c r="L116" s="171" t="str">
        <f t="array" ref="L116">IFERROR(XLOOKUP($C116,HNCxTIPO!$D:$D,HNCxTIPO!E:E),"")</f>
        <v/>
      </c>
      <c r="M116" s="171" t="str">
        <f t="array" ref="M116">IFERROR(XLOOKUP($C116,HNCxTIPO!$D:$D,HNCxTIPO!F:F),"")</f>
        <v/>
      </c>
      <c r="N116" s="171" t="str">
        <f t="array" ref="N116">IFERROR(XLOOKUP($C116,HNCxTIPO!$D:$D,HNCxTIPO!G:G),"")</f>
        <v/>
      </c>
      <c r="O116" s="172" t="str">
        <f t="shared" si="3"/>
        <v/>
      </c>
      <c r="P116" s="172" t="str">
        <f t="shared" si="4"/>
        <v/>
      </c>
      <c r="Q116" s="172" t="str">
        <f t="shared" ref="Q116:R116" si="115">IF(I116="","",$J116*O116)</f>
        <v/>
      </c>
      <c r="R116" s="172" t="str">
        <f t="shared" si="115"/>
        <v/>
      </c>
      <c r="S116" s="176" t="str">
        <f t="shared" si="7"/>
        <v/>
      </c>
      <c r="T116" s="176" t="str">
        <f t="shared" si="8"/>
        <v/>
      </c>
      <c r="U116" s="175"/>
    </row>
    <row r="117" ht="24.75" customHeight="1">
      <c r="A117" s="170"/>
      <c r="B117" s="170"/>
      <c r="C117" s="170"/>
      <c r="D117" s="170"/>
      <c r="E117" s="170"/>
      <c r="F117" s="170"/>
      <c r="G117" s="170"/>
      <c r="H117" s="170"/>
      <c r="I117" s="170"/>
      <c r="J117" s="170"/>
      <c r="K117" s="170"/>
      <c r="L117" s="171" t="str">
        <f t="array" ref="L117">IFERROR(XLOOKUP($C117,HNCxTIPO!$D:$D,HNCxTIPO!E:E),"")</f>
        <v/>
      </c>
      <c r="M117" s="171" t="str">
        <f t="array" ref="M117">IFERROR(XLOOKUP($C117,HNCxTIPO!$D:$D,HNCxTIPO!F:F),"")</f>
        <v/>
      </c>
      <c r="N117" s="171" t="str">
        <f t="array" ref="N117">IFERROR(XLOOKUP($C117,HNCxTIPO!$D:$D,HNCxTIPO!G:G),"")</f>
        <v/>
      </c>
      <c r="O117" s="172" t="str">
        <f t="shared" si="3"/>
        <v/>
      </c>
      <c r="P117" s="172" t="str">
        <f t="shared" si="4"/>
        <v/>
      </c>
      <c r="Q117" s="172" t="str">
        <f t="shared" ref="Q117:R117" si="116">IF(I117="","",$J117*O117)</f>
        <v/>
      </c>
      <c r="R117" s="172" t="str">
        <f t="shared" si="116"/>
        <v/>
      </c>
      <c r="S117" s="173" t="str">
        <f t="shared" si="7"/>
        <v/>
      </c>
      <c r="T117" s="173" t="str">
        <f t="shared" si="8"/>
        <v/>
      </c>
      <c r="U117" s="170"/>
    </row>
    <row r="118" ht="24.75" customHeight="1">
      <c r="A118" s="175"/>
      <c r="B118" s="175"/>
      <c r="C118" s="175"/>
      <c r="D118" s="175"/>
      <c r="E118" s="175"/>
      <c r="F118" s="175"/>
      <c r="G118" s="175"/>
      <c r="H118" s="175"/>
      <c r="I118" s="175"/>
      <c r="J118" s="175"/>
      <c r="K118" s="175"/>
      <c r="L118" s="171" t="str">
        <f t="array" ref="L118">IFERROR(XLOOKUP($C118,HNCxTIPO!$D:$D,HNCxTIPO!E:E),"")</f>
        <v/>
      </c>
      <c r="M118" s="171" t="str">
        <f t="array" ref="M118">IFERROR(XLOOKUP($C118,HNCxTIPO!$D:$D,HNCxTIPO!F:F),"")</f>
        <v/>
      </c>
      <c r="N118" s="171" t="str">
        <f t="array" ref="N118">IFERROR(XLOOKUP($C118,HNCxTIPO!$D:$D,HNCxTIPO!G:G),"")</f>
        <v/>
      </c>
      <c r="O118" s="172" t="str">
        <f t="shared" si="3"/>
        <v/>
      </c>
      <c r="P118" s="172" t="str">
        <f t="shared" si="4"/>
        <v/>
      </c>
      <c r="Q118" s="172" t="str">
        <f t="shared" ref="Q118:R118" si="117">IF(I118="","",$J118*O118)</f>
        <v/>
      </c>
      <c r="R118" s="172" t="str">
        <f t="shared" si="117"/>
        <v/>
      </c>
      <c r="S118" s="176" t="str">
        <f t="shared" si="7"/>
        <v/>
      </c>
      <c r="T118" s="176" t="str">
        <f t="shared" si="8"/>
        <v/>
      </c>
      <c r="U118" s="175"/>
    </row>
    <row r="119" ht="24.75" customHeight="1">
      <c r="A119" s="170"/>
      <c r="B119" s="170"/>
      <c r="C119" s="170"/>
      <c r="D119" s="170"/>
      <c r="E119" s="170"/>
      <c r="F119" s="170"/>
      <c r="G119" s="170"/>
      <c r="H119" s="170"/>
      <c r="I119" s="170"/>
      <c r="J119" s="170"/>
      <c r="K119" s="170"/>
      <c r="L119" s="171" t="str">
        <f t="array" ref="L119">IFERROR(XLOOKUP($C119,HNCxTIPO!$D:$D,HNCxTIPO!E:E),"")</f>
        <v/>
      </c>
      <c r="M119" s="171" t="str">
        <f t="array" ref="M119">IFERROR(XLOOKUP($C119,HNCxTIPO!$D:$D,HNCxTIPO!F:F),"")</f>
        <v/>
      </c>
      <c r="N119" s="171" t="str">
        <f t="array" ref="N119">IFERROR(XLOOKUP($C119,HNCxTIPO!$D:$D,HNCxTIPO!G:G),"")</f>
        <v/>
      </c>
      <c r="O119" s="172" t="str">
        <f t="shared" si="3"/>
        <v/>
      </c>
      <c r="P119" s="172" t="str">
        <f t="shared" si="4"/>
        <v/>
      </c>
      <c r="Q119" s="172" t="str">
        <f t="shared" ref="Q119:R119" si="118">IF(I119="","",$J119*O119)</f>
        <v/>
      </c>
      <c r="R119" s="172" t="str">
        <f t="shared" si="118"/>
        <v/>
      </c>
      <c r="S119" s="173" t="str">
        <f t="shared" si="7"/>
        <v/>
      </c>
      <c r="T119" s="173" t="str">
        <f t="shared" si="8"/>
        <v/>
      </c>
      <c r="U119" s="170"/>
    </row>
    <row r="120" ht="24.75" customHeight="1">
      <c r="A120" s="175"/>
      <c r="B120" s="175"/>
      <c r="C120" s="175"/>
      <c r="D120" s="175"/>
      <c r="E120" s="175"/>
      <c r="F120" s="175"/>
      <c r="G120" s="175"/>
      <c r="H120" s="175"/>
      <c r="I120" s="175"/>
      <c r="J120" s="175"/>
      <c r="K120" s="175"/>
      <c r="L120" s="171" t="str">
        <f t="array" ref="L120">IFERROR(XLOOKUP($C120,HNCxTIPO!$D:$D,HNCxTIPO!E:E),"")</f>
        <v/>
      </c>
      <c r="M120" s="171" t="str">
        <f t="array" ref="M120">IFERROR(XLOOKUP($C120,HNCxTIPO!$D:$D,HNCxTIPO!F:F),"")</f>
        <v/>
      </c>
      <c r="N120" s="171" t="str">
        <f t="array" ref="N120">IFERROR(XLOOKUP($C120,HNCxTIPO!$D:$D,HNCxTIPO!G:G),"")</f>
        <v/>
      </c>
      <c r="O120" s="172" t="str">
        <f t="shared" si="3"/>
        <v/>
      </c>
      <c r="P120" s="172" t="str">
        <f t="shared" si="4"/>
        <v/>
      </c>
      <c r="Q120" s="172" t="str">
        <f t="shared" ref="Q120:R120" si="119">IF(I120="","",$J120*O120)</f>
        <v/>
      </c>
      <c r="R120" s="172" t="str">
        <f t="shared" si="119"/>
        <v/>
      </c>
      <c r="S120" s="176" t="str">
        <f t="shared" si="7"/>
        <v/>
      </c>
      <c r="T120" s="176" t="str">
        <f t="shared" si="8"/>
        <v/>
      </c>
      <c r="U120" s="175"/>
    </row>
    <row r="121" ht="24.75" customHeight="1">
      <c r="A121" s="170"/>
      <c r="B121" s="170"/>
      <c r="C121" s="170"/>
      <c r="D121" s="170"/>
      <c r="E121" s="170"/>
      <c r="F121" s="170"/>
      <c r="G121" s="170"/>
      <c r="H121" s="170"/>
      <c r="I121" s="170"/>
      <c r="J121" s="170"/>
      <c r="K121" s="170"/>
      <c r="L121" s="171" t="str">
        <f t="array" ref="L121">IFERROR(XLOOKUP($C121,HNCxTIPO!$D:$D,HNCxTIPO!E:E),"")</f>
        <v/>
      </c>
      <c r="M121" s="171" t="str">
        <f t="array" ref="M121">IFERROR(XLOOKUP($C121,HNCxTIPO!$D:$D,HNCxTIPO!F:F),"")</f>
        <v/>
      </c>
      <c r="N121" s="171" t="str">
        <f t="array" ref="N121">IFERROR(XLOOKUP($C121,HNCxTIPO!$D:$D,HNCxTIPO!G:G),"")</f>
        <v/>
      </c>
      <c r="O121" s="172" t="str">
        <f t="shared" si="3"/>
        <v/>
      </c>
      <c r="P121" s="172" t="str">
        <f t="shared" si="4"/>
        <v/>
      </c>
      <c r="Q121" s="172" t="str">
        <f t="shared" ref="Q121:R121" si="120">IF(I121="","",$J121*O121)</f>
        <v/>
      </c>
      <c r="R121" s="172" t="str">
        <f t="shared" si="120"/>
        <v/>
      </c>
      <c r="S121" s="173" t="str">
        <f t="shared" si="7"/>
        <v/>
      </c>
      <c r="T121" s="173" t="str">
        <f t="shared" si="8"/>
        <v/>
      </c>
      <c r="U121" s="170"/>
    </row>
    <row r="122" ht="24.75" customHeight="1">
      <c r="A122" s="175"/>
      <c r="B122" s="175"/>
      <c r="C122" s="175"/>
      <c r="D122" s="175"/>
      <c r="E122" s="175"/>
      <c r="F122" s="175"/>
      <c r="G122" s="175"/>
      <c r="H122" s="175"/>
      <c r="I122" s="175"/>
      <c r="J122" s="175"/>
      <c r="K122" s="175"/>
      <c r="L122" s="171" t="str">
        <f t="array" ref="L122">IFERROR(XLOOKUP($C122,HNCxTIPO!$D:$D,HNCxTIPO!E:E),"")</f>
        <v/>
      </c>
      <c r="M122" s="171" t="str">
        <f t="array" ref="M122">IFERROR(XLOOKUP($C122,HNCxTIPO!$D:$D,HNCxTIPO!F:F),"")</f>
        <v/>
      </c>
      <c r="N122" s="171" t="str">
        <f t="array" ref="N122">IFERROR(XLOOKUP($C122,HNCxTIPO!$D:$D,HNCxTIPO!G:G),"")</f>
        <v/>
      </c>
      <c r="O122" s="172" t="str">
        <f t="shared" si="3"/>
        <v/>
      </c>
      <c r="P122" s="172" t="str">
        <f t="shared" si="4"/>
        <v/>
      </c>
      <c r="Q122" s="172" t="str">
        <f t="shared" ref="Q122:R122" si="121">IF(I122="","",$J122*O122)</f>
        <v/>
      </c>
      <c r="R122" s="172" t="str">
        <f t="shared" si="121"/>
        <v/>
      </c>
      <c r="S122" s="176" t="str">
        <f t="shared" si="7"/>
        <v/>
      </c>
      <c r="T122" s="176" t="str">
        <f t="shared" si="8"/>
        <v/>
      </c>
      <c r="U122" s="175"/>
    </row>
    <row r="123" ht="24.75" customHeight="1">
      <c r="A123" s="170"/>
      <c r="B123" s="170"/>
      <c r="C123" s="170"/>
      <c r="D123" s="170"/>
      <c r="E123" s="170"/>
      <c r="F123" s="170"/>
      <c r="G123" s="170"/>
      <c r="H123" s="170"/>
      <c r="I123" s="170"/>
      <c r="J123" s="170"/>
      <c r="K123" s="170"/>
      <c r="L123" s="171" t="str">
        <f t="array" ref="L123">IFERROR(XLOOKUP($C123,HNCxTIPO!$D:$D,HNCxTIPO!E:E),"")</f>
        <v/>
      </c>
      <c r="M123" s="171" t="str">
        <f t="array" ref="M123">IFERROR(XLOOKUP($C123,HNCxTIPO!$D:$D,HNCxTIPO!F:F),"")</f>
        <v/>
      </c>
      <c r="N123" s="171" t="str">
        <f t="array" ref="N123">IFERROR(XLOOKUP($C123,HNCxTIPO!$D:$D,HNCxTIPO!G:G),"")</f>
        <v/>
      </c>
      <c r="O123" s="172" t="str">
        <f t="shared" si="3"/>
        <v/>
      </c>
      <c r="P123" s="172" t="str">
        <f t="shared" si="4"/>
        <v/>
      </c>
      <c r="Q123" s="172" t="str">
        <f t="shared" ref="Q123:R123" si="122">IF(I123="","",$J123*O123)</f>
        <v/>
      </c>
      <c r="R123" s="172" t="str">
        <f t="shared" si="122"/>
        <v/>
      </c>
      <c r="S123" s="173" t="str">
        <f t="shared" si="7"/>
        <v/>
      </c>
      <c r="T123" s="173" t="str">
        <f t="shared" si="8"/>
        <v/>
      </c>
      <c r="U123" s="170"/>
    </row>
    <row r="124" ht="24.75" customHeight="1">
      <c r="A124" s="175"/>
      <c r="B124" s="175"/>
      <c r="C124" s="175"/>
      <c r="D124" s="175"/>
      <c r="E124" s="175"/>
      <c r="F124" s="175"/>
      <c r="G124" s="175"/>
      <c r="H124" s="175"/>
      <c r="I124" s="175"/>
      <c r="J124" s="175"/>
      <c r="K124" s="175"/>
      <c r="L124" s="171" t="str">
        <f t="array" ref="L124">IFERROR(XLOOKUP($C124,HNCxTIPO!$D:$D,HNCxTIPO!E:E),"")</f>
        <v/>
      </c>
      <c r="M124" s="171" t="str">
        <f t="array" ref="M124">IFERROR(XLOOKUP($C124,HNCxTIPO!$D:$D,HNCxTIPO!F:F),"")</f>
        <v/>
      </c>
      <c r="N124" s="171" t="str">
        <f t="array" ref="N124">IFERROR(XLOOKUP($C124,HNCxTIPO!$D:$D,HNCxTIPO!G:G),"")</f>
        <v/>
      </c>
      <c r="O124" s="172" t="str">
        <f t="shared" si="3"/>
        <v/>
      </c>
      <c r="P124" s="172" t="str">
        <f t="shared" si="4"/>
        <v/>
      </c>
      <c r="Q124" s="172" t="str">
        <f t="shared" ref="Q124:R124" si="123">IF(I124="","",$J124*O124)</f>
        <v/>
      </c>
      <c r="R124" s="172" t="str">
        <f t="shared" si="123"/>
        <v/>
      </c>
      <c r="S124" s="176" t="str">
        <f t="shared" si="7"/>
        <v/>
      </c>
      <c r="T124" s="176" t="str">
        <f t="shared" si="8"/>
        <v/>
      </c>
      <c r="U124" s="175"/>
    </row>
    <row r="125" ht="24.75" customHeight="1">
      <c r="A125" s="170"/>
      <c r="B125" s="170"/>
      <c r="C125" s="170"/>
      <c r="D125" s="170"/>
      <c r="E125" s="170"/>
      <c r="F125" s="170"/>
      <c r="G125" s="170"/>
      <c r="H125" s="170"/>
      <c r="I125" s="170"/>
      <c r="J125" s="170"/>
      <c r="K125" s="170"/>
      <c r="L125" s="171" t="str">
        <f t="array" ref="L125">IFERROR(XLOOKUP($C125,HNCxTIPO!$D:$D,HNCxTIPO!E:E),"")</f>
        <v/>
      </c>
      <c r="M125" s="171" t="str">
        <f t="array" ref="M125">IFERROR(XLOOKUP($C125,HNCxTIPO!$D:$D,HNCxTIPO!F:F),"")</f>
        <v/>
      </c>
      <c r="N125" s="171" t="str">
        <f t="array" ref="N125">IFERROR(XLOOKUP($C125,HNCxTIPO!$D:$D,HNCxTIPO!G:G),"")</f>
        <v/>
      </c>
      <c r="O125" s="172" t="str">
        <f t="shared" si="3"/>
        <v/>
      </c>
      <c r="P125" s="172" t="str">
        <f t="shared" si="4"/>
        <v/>
      </c>
      <c r="Q125" s="172" t="str">
        <f t="shared" ref="Q125:R125" si="124">IF(I125="","",$J125*O125)</f>
        <v/>
      </c>
      <c r="R125" s="172" t="str">
        <f t="shared" si="124"/>
        <v/>
      </c>
      <c r="S125" s="173" t="str">
        <f t="shared" si="7"/>
        <v/>
      </c>
      <c r="T125" s="173" t="str">
        <f t="shared" si="8"/>
        <v/>
      </c>
      <c r="U125" s="170"/>
    </row>
    <row r="126" ht="24.75" customHeight="1">
      <c r="A126" s="175"/>
      <c r="B126" s="175"/>
      <c r="C126" s="175"/>
      <c r="D126" s="175"/>
      <c r="E126" s="175"/>
      <c r="F126" s="175"/>
      <c r="G126" s="175"/>
      <c r="H126" s="175"/>
      <c r="I126" s="175"/>
      <c r="J126" s="175"/>
      <c r="K126" s="175"/>
      <c r="L126" s="171" t="str">
        <f t="array" ref="L126">IFERROR(XLOOKUP($C126,HNCxTIPO!$D:$D,HNCxTIPO!E:E),"")</f>
        <v/>
      </c>
      <c r="M126" s="171" t="str">
        <f t="array" ref="M126">IFERROR(XLOOKUP($C126,HNCxTIPO!$D:$D,HNCxTIPO!F:F),"")</f>
        <v/>
      </c>
      <c r="N126" s="171" t="str">
        <f t="array" ref="N126">IFERROR(XLOOKUP($C126,HNCxTIPO!$D:$D,HNCxTIPO!G:G),"")</f>
        <v/>
      </c>
      <c r="O126" s="172" t="str">
        <f t="shared" si="3"/>
        <v/>
      </c>
      <c r="P126" s="172" t="str">
        <f t="shared" si="4"/>
        <v/>
      </c>
      <c r="Q126" s="172" t="str">
        <f t="shared" ref="Q126:R126" si="125">IF(I126="","",$J126*O126)</f>
        <v/>
      </c>
      <c r="R126" s="172" t="str">
        <f t="shared" si="125"/>
        <v/>
      </c>
      <c r="S126" s="176" t="str">
        <f t="shared" si="7"/>
        <v/>
      </c>
      <c r="T126" s="176" t="str">
        <f t="shared" si="8"/>
        <v/>
      </c>
      <c r="U126" s="175"/>
    </row>
    <row r="127" ht="24.75" customHeight="1">
      <c r="A127" s="170"/>
      <c r="B127" s="170"/>
      <c r="C127" s="170"/>
      <c r="D127" s="170"/>
      <c r="E127" s="170"/>
      <c r="F127" s="170"/>
      <c r="G127" s="170"/>
      <c r="H127" s="170"/>
      <c r="I127" s="170"/>
      <c r="J127" s="170"/>
      <c r="K127" s="170"/>
      <c r="L127" s="171" t="str">
        <f t="array" ref="L127">IFERROR(XLOOKUP($C127,HNCxTIPO!$D:$D,HNCxTIPO!E:E),"")</f>
        <v/>
      </c>
      <c r="M127" s="171" t="str">
        <f t="array" ref="M127">IFERROR(XLOOKUP($C127,HNCxTIPO!$D:$D,HNCxTIPO!F:F),"")</f>
        <v/>
      </c>
      <c r="N127" s="171" t="str">
        <f t="array" ref="N127">IFERROR(XLOOKUP($C127,HNCxTIPO!$D:$D,HNCxTIPO!G:G),"")</f>
        <v/>
      </c>
      <c r="O127" s="172" t="str">
        <f t="shared" si="3"/>
        <v/>
      </c>
      <c r="P127" s="172" t="str">
        <f t="shared" si="4"/>
        <v/>
      </c>
      <c r="Q127" s="172" t="str">
        <f t="shared" ref="Q127:R127" si="126">IF(I127="","",$J127*O127)</f>
        <v/>
      </c>
      <c r="R127" s="172" t="str">
        <f t="shared" si="126"/>
        <v/>
      </c>
      <c r="S127" s="173" t="str">
        <f t="shared" si="7"/>
        <v/>
      </c>
      <c r="T127" s="173" t="str">
        <f t="shared" si="8"/>
        <v/>
      </c>
      <c r="U127" s="170"/>
    </row>
    <row r="128" ht="24.75" customHeight="1">
      <c r="A128" s="175"/>
      <c r="B128" s="175"/>
      <c r="C128" s="175"/>
      <c r="D128" s="175"/>
      <c r="E128" s="175"/>
      <c r="F128" s="175"/>
      <c r="G128" s="175"/>
      <c r="H128" s="175"/>
      <c r="I128" s="175"/>
      <c r="J128" s="175"/>
      <c r="K128" s="175"/>
      <c r="L128" s="171" t="str">
        <f t="array" ref="L128">IFERROR(XLOOKUP($C128,HNCxTIPO!$D:$D,HNCxTIPO!E:E),"")</f>
        <v/>
      </c>
      <c r="M128" s="171" t="str">
        <f t="array" ref="M128">IFERROR(XLOOKUP($C128,HNCxTIPO!$D:$D,HNCxTIPO!F:F),"")</f>
        <v/>
      </c>
      <c r="N128" s="171" t="str">
        <f t="array" ref="N128">IFERROR(XLOOKUP($C128,HNCxTIPO!$D:$D,HNCxTIPO!G:G),"")</f>
        <v/>
      </c>
      <c r="O128" s="172" t="str">
        <f t="shared" si="3"/>
        <v/>
      </c>
      <c r="P128" s="172" t="str">
        <f t="shared" si="4"/>
        <v/>
      </c>
      <c r="Q128" s="172" t="str">
        <f t="shared" ref="Q128:R128" si="127">IF(I128="","",$J128*O128)</f>
        <v/>
      </c>
      <c r="R128" s="172" t="str">
        <f t="shared" si="127"/>
        <v/>
      </c>
      <c r="S128" s="176" t="str">
        <f t="shared" si="7"/>
        <v/>
      </c>
      <c r="T128" s="176" t="str">
        <f t="shared" si="8"/>
        <v/>
      </c>
      <c r="U128" s="175"/>
    </row>
    <row r="129" ht="24.75" customHeight="1">
      <c r="A129" s="170"/>
      <c r="B129" s="170"/>
      <c r="C129" s="170"/>
      <c r="D129" s="170"/>
      <c r="E129" s="170"/>
      <c r="F129" s="170"/>
      <c r="G129" s="170"/>
      <c r="H129" s="170"/>
      <c r="I129" s="170"/>
      <c r="J129" s="170"/>
      <c r="K129" s="170"/>
      <c r="L129" s="171" t="str">
        <f t="array" ref="L129">IFERROR(XLOOKUP($C129,HNCxTIPO!$D:$D,HNCxTIPO!E:E),"")</f>
        <v/>
      </c>
      <c r="M129" s="171" t="str">
        <f t="array" ref="M129">IFERROR(XLOOKUP($C129,HNCxTIPO!$D:$D,HNCxTIPO!F:F),"")</f>
        <v/>
      </c>
      <c r="N129" s="171" t="str">
        <f t="array" ref="N129">IFERROR(XLOOKUP($C129,HNCxTIPO!$D:$D,HNCxTIPO!G:G),"")</f>
        <v/>
      </c>
      <c r="O129" s="172" t="str">
        <f t="shared" si="3"/>
        <v/>
      </c>
      <c r="P129" s="172" t="str">
        <f t="shared" si="4"/>
        <v/>
      </c>
      <c r="Q129" s="172" t="str">
        <f t="shared" ref="Q129:R129" si="128">IF(I129="","",$J129*O129)</f>
        <v/>
      </c>
      <c r="R129" s="172" t="str">
        <f t="shared" si="128"/>
        <v/>
      </c>
      <c r="S129" s="173" t="str">
        <f t="shared" si="7"/>
        <v/>
      </c>
      <c r="T129" s="173" t="str">
        <f t="shared" si="8"/>
        <v/>
      </c>
      <c r="U129" s="170"/>
    </row>
    <row r="130" ht="24.75" customHeight="1">
      <c r="A130" s="175"/>
      <c r="B130" s="175"/>
      <c r="C130" s="175"/>
      <c r="D130" s="175"/>
      <c r="E130" s="175"/>
      <c r="F130" s="175"/>
      <c r="G130" s="175"/>
      <c r="H130" s="175"/>
      <c r="I130" s="175"/>
      <c r="J130" s="175"/>
      <c r="K130" s="175"/>
      <c r="L130" s="171" t="str">
        <f t="array" ref="L130">IFERROR(XLOOKUP($C130,HNCxTIPO!$D:$D,HNCxTIPO!E:E),"")</f>
        <v/>
      </c>
      <c r="M130" s="171" t="str">
        <f t="array" ref="M130">IFERROR(XLOOKUP($C130,HNCxTIPO!$D:$D,HNCxTIPO!F:F),"")</f>
        <v/>
      </c>
      <c r="N130" s="171" t="str">
        <f t="array" ref="N130">IFERROR(XLOOKUP($C130,HNCxTIPO!$D:$D,HNCxTIPO!G:G),"")</f>
        <v/>
      </c>
      <c r="O130" s="172" t="str">
        <f t="shared" si="3"/>
        <v/>
      </c>
      <c r="P130" s="172" t="str">
        <f t="shared" si="4"/>
        <v/>
      </c>
      <c r="Q130" s="172" t="str">
        <f t="shared" ref="Q130:R130" si="129">IF(I130="","",$J130*O130)</f>
        <v/>
      </c>
      <c r="R130" s="172" t="str">
        <f t="shared" si="129"/>
        <v/>
      </c>
      <c r="S130" s="176" t="str">
        <f t="shared" si="7"/>
        <v/>
      </c>
      <c r="T130" s="176" t="str">
        <f t="shared" si="8"/>
        <v/>
      </c>
      <c r="U130" s="175"/>
    </row>
    <row r="131" ht="24.75" customHeight="1">
      <c r="A131" s="170"/>
      <c r="B131" s="170"/>
      <c r="C131" s="170"/>
      <c r="D131" s="170"/>
      <c r="E131" s="170"/>
      <c r="F131" s="170"/>
      <c r="G131" s="170"/>
      <c r="H131" s="170"/>
      <c r="I131" s="170"/>
      <c r="J131" s="170"/>
      <c r="K131" s="170"/>
      <c r="L131" s="171" t="str">
        <f t="array" ref="L131">IFERROR(XLOOKUP($C131,HNCxTIPO!$D:$D,HNCxTIPO!E:E),"")</f>
        <v/>
      </c>
      <c r="M131" s="171" t="str">
        <f t="array" ref="M131">IFERROR(XLOOKUP($C131,HNCxTIPO!$D:$D,HNCxTIPO!F:F),"")</f>
        <v/>
      </c>
      <c r="N131" s="171" t="str">
        <f t="array" ref="N131">IFERROR(XLOOKUP($C131,HNCxTIPO!$D:$D,HNCxTIPO!G:G),"")</f>
        <v/>
      </c>
      <c r="O131" s="172" t="str">
        <f t="shared" si="3"/>
        <v/>
      </c>
      <c r="P131" s="172" t="str">
        <f t="shared" si="4"/>
        <v/>
      </c>
      <c r="Q131" s="172" t="str">
        <f t="shared" ref="Q131:R131" si="130">IF(I131="","",$J131*O131)</f>
        <v/>
      </c>
      <c r="R131" s="172" t="str">
        <f t="shared" si="130"/>
        <v/>
      </c>
      <c r="S131" s="173" t="str">
        <f t="shared" si="7"/>
        <v/>
      </c>
      <c r="T131" s="173" t="str">
        <f t="shared" si="8"/>
        <v/>
      </c>
      <c r="U131" s="170"/>
    </row>
    <row r="132" ht="24.75" customHeight="1">
      <c r="A132" s="175"/>
      <c r="B132" s="175"/>
      <c r="C132" s="175"/>
      <c r="D132" s="175"/>
      <c r="E132" s="175"/>
      <c r="F132" s="175"/>
      <c r="G132" s="175"/>
      <c r="H132" s="175"/>
      <c r="I132" s="175"/>
      <c r="J132" s="175"/>
      <c r="K132" s="175"/>
      <c r="L132" s="171" t="str">
        <f t="array" ref="L132">IFERROR(XLOOKUP($C132,HNCxTIPO!$D:$D,HNCxTIPO!E:E),"")</f>
        <v/>
      </c>
      <c r="M132" s="171" t="str">
        <f t="array" ref="M132">IFERROR(XLOOKUP($C132,HNCxTIPO!$D:$D,HNCxTIPO!F:F),"")</f>
        <v/>
      </c>
      <c r="N132" s="171" t="str">
        <f t="array" ref="N132">IFERROR(XLOOKUP($C132,HNCxTIPO!$D:$D,HNCxTIPO!G:G),"")</f>
        <v/>
      </c>
      <c r="O132" s="172" t="str">
        <f t="shared" si="3"/>
        <v/>
      </c>
      <c r="P132" s="172" t="str">
        <f t="shared" si="4"/>
        <v/>
      </c>
      <c r="Q132" s="172" t="str">
        <f t="shared" ref="Q132:R132" si="131">IF(I132="","",$J132*O132)</f>
        <v/>
      </c>
      <c r="R132" s="172" t="str">
        <f t="shared" si="131"/>
        <v/>
      </c>
      <c r="S132" s="176" t="str">
        <f t="shared" si="7"/>
        <v/>
      </c>
      <c r="T132" s="176" t="str">
        <f t="shared" si="8"/>
        <v/>
      </c>
      <c r="U132" s="175"/>
    </row>
    <row r="133" ht="24.75" customHeight="1">
      <c r="A133" s="170"/>
      <c r="B133" s="170"/>
      <c r="C133" s="170"/>
      <c r="D133" s="170"/>
      <c r="E133" s="170"/>
      <c r="F133" s="170"/>
      <c r="G133" s="170"/>
      <c r="H133" s="170"/>
      <c r="I133" s="170"/>
      <c r="J133" s="170"/>
      <c r="K133" s="170"/>
      <c r="L133" s="171" t="str">
        <f t="array" ref="L133">IFERROR(XLOOKUP($C133,HNCxTIPO!$D:$D,HNCxTIPO!E:E),"")</f>
        <v/>
      </c>
      <c r="M133" s="171" t="str">
        <f t="array" ref="M133">IFERROR(XLOOKUP($C133,HNCxTIPO!$D:$D,HNCxTIPO!F:F),"")</f>
        <v/>
      </c>
      <c r="N133" s="171" t="str">
        <f t="array" ref="N133">IFERROR(XLOOKUP($C133,HNCxTIPO!$D:$D,HNCxTIPO!G:G),"")</f>
        <v/>
      </c>
      <c r="O133" s="172" t="str">
        <f t="shared" si="3"/>
        <v/>
      </c>
      <c r="P133" s="172" t="str">
        <f t="shared" si="4"/>
        <v/>
      </c>
      <c r="Q133" s="172" t="str">
        <f t="shared" ref="Q133:R133" si="132">IF(I133="","",$J133*O133)</f>
        <v/>
      </c>
      <c r="R133" s="172" t="str">
        <f t="shared" si="132"/>
        <v/>
      </c>
      <c r="S133" s="173" t="str">
        <f t="shared" si="7"/>
        <v/>
      </c>
      <c r="T133" s="173" t="str">
        <f t="shared" si="8"/>
        <v/>
      </c>
      <c r="U133" s="170"/>
    </row>
    <row r="134" ht="24.75" customHeight="1">
      <c r="A134" s="175"/>
      <c r="B134" s="175"/>
      <c r="C134" s="175"/>
      <c r="D134" s="175"/>
      <c r="E134" s="175"/>
      <c r="F134" s="175"/>
      <c r="G134" s="175"/>
      <c r="H134" s="175"/>
      <c r="I134" s="175"/>
      <c r="J134" s="175"/>
      <c r="K134" s="175"/>
      <c r="L134" s="171" t="str">
        <f t="array" ref="L134">IFERROR(XLOOKUP($C134,HNCxTIPO!$D:$D,HNCxTIPO!E:E),"")</f>
        <v/>
      </c>
      <c r="M134" s="171" t="str">
        <f t="array" ref="M134">IFERROR(XLOOKUP($C134,HNCxTIPO!$D:$D,HNCxTIPO!F:F),"")</f>
        <v/>
      </c>
      <c r="N134" s="171" t="str">
        <f t="array" ref="N134">IFERROR(XLOOKUP($C134,HNCxTIPO!$D:$D,HNCxTIPO!G:G),"")</f>
        <v/>
      </c>
      <c r="O134" s="172" t="str">
        <f t="shared" si="3"/>
        <v/>
      </c>
      <c r="P134" s="172" t="str">
        <f t="shared" si="4"/>
        <v/>
      </c>
      <c r="Q134" s="172" t="str">
        <f t="shared" ref="Q134:R134" si="133">IF(I134="","",$J134*O134)</f>
        <v/>
      </c>
      <c r="R134" s="172" t="str">
        <f t="shared" si="133"/>
        <v/>
      </c>
      <c r="S134" s="176" t="str">
        <f t="shared" si="7"/>
        <v/>
      </c>
      <c r="T134" s="176" t="str">
        <f t="shared" si="8"/>
        <v/>
      </c>
      <c r="U134" s="175"/>
    </row>
    <row r="135" ht="24.75" customHeight="1">
      <c r="A135" s="170"/>
      <c r="B135" s="170"/>
      <c r="C135" s="170"/>
      <c r="D135" s="170"/>
      <c r="E135" s="170"/>
      <c r="F135" s="170"/>
      <c r="G135" s="170"/>
      <c r="H135" s="170"/>
      <c r="I135" s="170"/>
      <c r="J135" s="170"/>
      <c r="K135" s="170"/>
      <c r="L135" s="171" t="str">
        <f t="array" ref="L135">IFERROR(XLOOKUP($C135,HNCxTIPO!$D:$D,HNCxTIPO!E:E),"")</f>
        <v/>
      </c>
      <c r="M135" s="171" t="str">
        <f t="array" ref="M135">IFERROR(XLOOKUP($C135,HNCxTIPO!$D:$D,HNCxTIPO!F:F),"")</f>
        <v/>
      </c>
      <c r="N135" s="171" t="str">
        <f t="array" ref="N135">IFERROR(XLOOKUP($C135,HNCxTIPO!$D:$D,HNCxTIPO!G:G),"")</f>
        <v/>
      </c>
      <c r="O135" s="172" t="str">
        <f t="shared" si="3"/>
        <v/>
      </c>
      <c r="P135" s="172" t="str">
        <f t="shared" si="4"/>
        <v/>
      </c>
      <c r="Q135" s="172" t="str">
        <f t="shared" ref="Q135:R135" si="134">IF(I135="","",$J135*O135)</f>
        <v/>
      </c>
      <c r="R135" s="172" t="str">
        <f t="shared" si="134"/>
        <v/>
      </c>
      <c r="S135" s="173" t="str">
        <f t="shared" si="7"/>
        <v/>
      </c>
      <c r="T135" s="173" t="str">
        <f t="shared" si="8"/>
        <v/>
      </c>
      <c r="U135" s="170"/>
    </row>
    <row r="136" ht="24.75" customHeight="1">
      <c r="A136" s="175"/>
      <c r="B136" s="175"/>
      <c r="C136" s="175"/>
      <c r="D136" s="175"/>
      <c r="E136" s="175"/>
      <c r="F136" s="175"/>
      <c r="G136" s="175"/>
      <c r="H136" s="175"/>
      <c r="I136" s="175"/>
      <c r="J136" s="175"/>
      <c r="K136" s="175"/>
      <c r="L136" s="171" t="str">
        <f t="array" ref="L136">IFERROR(XLOOKUP($C136,HNCxTIPO!$D:$D,HNCxTIPO!E:E),"")</f>
        <v/>
      </c>
      <c r="M136" s="171" t="str">
        <f t="array" ref="M136">IFERROR(XLOOKUP($C136,HNCxTIPO!$D:$D,HNCxTIPO!F:F),"")</f>
        <v/>
      </c>
      <c r="N136" s="171" t="str">
        <f t="array" ref="N136">IFERROR(XLOOKUP($C136,HNCxTIPO!$D:$D,HNCxTIPO!G:G),"")</f>
        <v/>
      </c>
      <c r="O136" s="172" t="str">
        <f t="shared" si="3"/>
        <v/>
      </c>
      <c r="P136" s="172" t="str">
        <f t="shared" si="4"/>
        <v/>
      </c>
      <c r="Q136" s="172" t="str">
        <f t="shared" ref="Q136:R136" si="135">IF(I136="","",$J136*O136)</f>
        <v/>
      </c>
      <c r="R136" s="172" t="str">
        <f t="shared" si="135"/>
        <v/>
      </c>
      <c r="S136" s="176" t="str">
        <f t="shared" si="7"/>
        <v/>
      </c>
      <c r="T136" s="176" t="str">
        <f t="shared" si="8"/>
        <v/>
      </c>
      <c r="U136" s="175"/>
    </row>
    <row r="137" ht="24.75" customHeight="1">
      <c r="A137" s="170"/>
      <c r="B137" s="170"/>
      <c r="C137" s="170"/>
      <c r="D137" s="170"/>
      <c r="E137" s="170"/>
      <c r="F137" s="170"/>
      <c r="G137" s="170"/>
      <c r="H137" s="170"/>
      <c r="I137" s="170"/>
      <c r="J137" s="170"/>
      <c r="K137" s="170"/>
      <c r="L137" s="171" t="str">
        <f t="array" ref="L137">IFERROR(XLOOKUP($C137,HNCxTIPO!$D:$D,HNCxTIPO!E:E),"")</f>
        <v/>
      </c>
      <c r="M137" s="171" t="str">
        <f t="array" ref="M137">IFERROR(XLOOKUP($C137,HNCxTIPO!$D:$D,HNCxTIPO!F:F),"")</f>
        <v/>
      </c>
      <c r="N137" s="171" t="str">
        <f t="array" ref="N137">IFERROR(XLOOKUP($C137,HNCxTIPO!$D:$D,HNCxTIPO!G:G),"")</f>
        <v/>
      </c>
      <c r="O137" s="172" t="str">
        <f t="shared" si="3"/>
        <v/>
      </c>
      <c r="P137" s="172" t="str">
        <f t="shared" si="4"/>
        <v/>
      </c>
      <c r="Q137" s="172" t="str">
        <f t="shared" ref="Q137:R137" si="136">IF(I137="","",$J137*O137)</f>
        <v/>
      </c>
      <c r="R137" s="172" t="str">
        <f t="shared" si="136"/>
        <v/>
      </c>
      <c r="S137" s="173" t="str">
        <f t="shared" si="7"/>
        <v/>
      </c>
      <c r="T137" s="173" t="str">
        <f t="shared" si="8"/>
        <v/>
      </c>
      <c r="U137" s="170"/>
    </row>
    <row r="138" ht="24.75" customHeight="1">
      <c r="A138" s="175"/>
      <c r="B138" s="175"/>
      <c r="C138" s="175"/>
      <c r="D138" s="175"/>
      <c r="E138" s="175"/>
      <c r="F138" s="175"/>
      <c r="G138" s="175"/>
      <c r="H138" s="175"/>
      <c r="I138" s="175"/>
      <c r="J138" s="175"/>
      <c r="K138" s="175"/>
      <c r="L138" s="171" t="str">
        <f t="array" ref="L138">IFERROR(XLOOKUP($C138,HNCxTIPO!$D:$D,HNCxTIPO!E:E),"")</f>
        <v/>
      </c>
      <c r="M138" s="171" t="str">
        <f t="array" ref="M138">IFERROR(XLOOKUP($C138,HNCxTIPO!$D:$D,HNCxTIPO!F:F),"")</f>
        <v/>
      </c>
      <c r="N138" s="171" t="str">
        <f t="array" ref="N138">IFERROR(XLOOKUP($C138,HNCxTIPO!$D:$D,HNCxTIPO!G:G),"")</f>
        <v/>
      </c>
      <c r="O138" s="172" t="str">
        <f t="shared" si="3"/>
        <v/>
      </c>
      <c r="P138" s="172" t="str">
        <f t="shared" si="4"/>
        <v/>
      </c>
      <c r="Q138" s="172" t="str">
        <f t="shared" ref="Q138:R138" si="137">IF(I138="","",$J138*O138)</f>
        <v/>
      </c>
      <c r="R138" s="172" t="str">
        <f t="shared" si="137"/>
        <v/>
      </c>
      <c r="S138" s="176" t="str">
        <f t="shared" si="7"/>
        <v/>
      </c>
      <c r="T138" s="176" t="str">
        <f t="shared" si="8"/>
        <v/>
      </c>
      <c r="U138" s="175"/>
    </row>
    <row r="139" ht="24.75" customHeight="1">
      <c r="A139" s="170"/>
      <c r="B139" s="170"/>
      <c r="C139" s="170"/>
      <c r="D139" s="170"/>
      <c r="E139" s="170"/>
      <c r="F139" s="170"/>
      <c r="G139" s="170"/>
      <c r="H139" s="170"/>
      <c r="I139" s="170"/>
      <c r="J139" s="170"/>
      <c r="K139" s="170"/>
      <c r="L139" s="171" t="str">
        <f t="array" ref="L139">IFERROR(XLOOKUP($C139,HNCxTIPO!$D:$D,HNCxTIPO!E:E),"")</f>
        <v/>
      </c>
      <c r="M139" s="171" t="str">
        <f t="array" ref="M139">IFERROR(XLOOKUP($C139,HNCxTIPO!$D:$D,HNCxTIPO!F:F),"")</f>
        <v/>
      </c>
      <c r="N139" s="171" t="str">
        <f t="array" ref="N139">IFERROR(XLOOKUP($C139,HNCxTIPO!$D:$D,HNCxTIPO!G:G),"")</f>
        <v/>
      </c>
      <c r="O139" s="172" t="str">
        <f t="shared" si="3"/>
        <v/>
      </c>
      <c r="P139" s="172" t="str">
        <f t="shared" si="4"/>
        <v/>
      </c>
      <c r="Q139" s="172" t="str">
        <f t="shared" ref="Q139:R139" si="138">IF(I139="","",$J139*O139)</f>
        <v/>
      </c>
      <c r="R139" s="172" t="str">
        <f t="shared" si="138"/>
        <v/>
      </c>
      <c r="S139" s="173" t="str">
        <f t="shared" si="7"/>
        <v/>
      </c>
      <c r="T139" s="173" t="str">
        <f t="shared" si="8"/>
        <v/>
      </c>
      <c r="U139" s="170"/>
    </row>
    <row r="140" ht="24.75" customHeight="1">
      <c r="A140" s="175"/>
      <c r="B140" s="175"/>
      <c r="C140" s="175"/>
      <c r="D140" s="175"/>
      <c r="E140" s="175"/>
      <c r="F140" s="175"/>
      <c r="G140" s="175"/>
      <c r="H140" s="175"/>
      <c r="I140" s="175"/>
      <c r="J140" s="175"/>
      <c r="K140" s="175"/>
      <c r="L140" s="171" t="str">
        <f t="array" ref="L140">IFERROR(XLOOKUP($C140,HNCxTIPO!$D:$D,HNCxTIPO!E:E),"")</f>
        <v/>
      </c>
      <c r="M140" s="171" t="str">
        <f t="array" ref="M140">IFERROR(XLOOKUP($C140,HNCxTIPO!$D:$D,HNCxTIPO!F:F),"")</f>
        <v/>
      </c>
      <c r="N140" s="171" t="str">
        <f t="array" ref="N140">IFERROR(XLOOKUP($C140,HNCxTIPO!$D:$D,HNCxTIPO!G:G),"")</f>
        <v/>
      </c>
      <c r="O140" s="172" t="str">
        <f t="shared" si="3"/>
        <v/>
      </c>
      <c r="P140" s="172" t="str">
        <f t="shared" si="4"/>
        <v/>
      </c>
      <c r="Q140" s="172" t="str">
        <f t="shared" ref="Q140:R140" si="139">IF(I140="","",$J140*O140)</f>
        <v/>
      </c>
      <c r="R140" s="172" t="str">
        <f t="shared" si="139"/>
        <v/>
      </c>
      <c r="S140" s="176" t="str">
        <f t="shared" si="7"/>
        <v/>
      </c>
      <c r="T140" s="176" t="str">
        <f t="shared" si="8"/>
        <v/>
      </c>
      <c r="U140" s="175"/>
    </row>
    <row r="141" ht="24.75" customHeight="1">
      <c r="A141" s="170"/>
      <c r="B141" s="170"/>
      <c r="C141" s="170"/>
      <c r="D141" s="170"/>
      <c r="E141" s="170"/>
      <c r="F141" s="170"/>
      <c r="G141" s="170"/>
      <c r="H141" s="170"/>
      <c r="I141" s="170"/>
      <c r="J141" s="170"/>
      <c r="K141" s="170"/>
      <c r="L141" s="171" t="str">
        <f t="array" ref="L141">IFERROR(XLOOKUP($C141,HNCxTIPO!$D:$D,HNCxTIPO!E:E),"")</f>
        <v/>
      </c>
      <c r="M141" s="171" t="str">
        <f t="array" ref="M141">IFERROR(XLOOKUP($C141,HNCxTIPO!$D:$D,HNCxTIPO!F:F),"")</f>
        <v/>
      </c>
      <c r="N141" s="171" t="str">
        <f t="array" ref="N141">IFERROR(XLOOKUP($C141,HNCxTIPO!$D:$D,HNCxTIPO!G:G),"")</f>
        <v/>
      </c>
      <c r="O141" s="172" t="str">
        <f t="shared" si="3"/>
        <v/>
      </c>
      <c r="P141" s="172" t="str">
        <f t="shared" si="4"/>
        <v/>
      </c>
      <c r="Q141" s="172" t="str">
        <f t="shared" ref="Q141:R141" si="140">IF(I141="","",$J141*O141)</f>
        <v/>
      </c>
      <c r="R141" s="172" t="str">
        <f t="shared" si="140"/>
        <v/>
      </c>
      <c r="S141" s="173" t="str">
        <f t="shared" si="7"/>
        <v/>
      </c>
      <c r="T141" s="173" t="str">
        <f t="shared" si="8"/>
        <v/>
      </c>
      <c r="U141" s="170"/>
    </row>
    <row r="142" ht="24.75" customHeight="1">
      <c r="A142" s="175"/>
      <c r="B142" s="175"/>
      <c r="C142" s="175"/>
      <c r="D142" s="175"/>
      <c r="E142" s="175"/>
      <c r="F142" s="175"/>
      <c r="G142" s="175"/>
      <c r="H142" s="175"/>
      <c r="I142" s="175"/>
      <c r="J142" s="175"/>
      <c r="K142" s="175"/>
      <c r="L142" s="171" t="str">
        <f t="array" ref="L142">IFERROR(XLOOKUP($C142,HNCxTIPO!$D:$D,HNCxTIPO!E:E),"")</f>
        <v/>
      </c>
      <c r="M142" s="171" t="str">
        <f t="array" ref="M142">IFERROR(XLOOKUP($C142,HNCxTIPO!$D:$D,HNCxTIPO!F:F),"")</f>
        <v/>
      </c>
      <c r="N142" s="171" t="str">
        <f t="array" ref="N142">IFERROR(XLOOKUP($C142,HNCxTIPO!$D:$D,HNCxTIPO!G:G),"")</f>
        <v/>
      </c>
      <c r="O142" s="172" t="str">
        <f t="shared" si="3"/>
        <v/>
      </c>
      <c r="P142" s="172" t="str">
        <f t="shared" si="4"/>
        <v/>
      </c>
      <c r="Q142" s="172" t="str">
        <f t="shared" ref="Q142:R142" si="141">IF(I142="","",$J142*O142)</f>
        <v/>
      </c>
      <c r="R142" s="172" t="str">
        <f t="shared" si="141"/>
        <v/>
      </c>
      <c r="S142" s="176" t="str">
        <f t="shared" si="7"/>
        <v/>
      </c>
      <c r="T142" s="176" t="str">
        <f t="shared" si="8"/>
        <v/>
      </c>
      <c r="U142" s="175"/>
    </row>
    <row r="143" ht="24.75" customHeight="1">
      <c r="A143" s="170"/>
      <c r="B143" s="170"/>
      <c r="C143" s="170"/>
      <c r="D143" s="170"/>
      <c r="E143" s="170"/>
      <c r="F143" s="170"/>
      <c r="G143" s="170"/>
      <c r="H143" s="170"/>
      <c r="I143" s="170"/>
      <c r="J143" s="170"/>
      <c r="K143" s="170"/>
      <c r="L143" s="171" t="str">
        <f t="array" ref="L143">IFERROR(XLOOKUP($C143,HNCxTIPO!$D:$D,HNCxTIPO!E:E),"")</f>
        <v/>
      </c>
      <c r="M143" s="171" t="str">
        <f t="array" ref="M143">IFERROR(XLOOKUP($C143,HNCxTIPO!$D:$D,HNCxTIPO!F:F),"")</f>
        <v/>
      </c>
      <c r="N143" s="171" t="str">
        <f t="array" ref="N143">IFERROR(XLOOKUP($C143,HNCxTIPO!$D:$D,HNCxTIPO!G:G),"")</f>
        <v/>
      </c>
      <c r="O143" s="172" t="str">
        <f t="shared" si="3"/>
        <v/>
      </c>
      <c r="P143" s="172" t="str">
        <f t="shared" si="4"/>
        <v/>
      </c>
      <c r="Q143" s="172" t="str">
        <f t="shared" ref="Q143:R143" si="142">IF(I143="","",$J143*O143)</f>
        <v/>
      </c>
      <c r="R143" s="172" t="str">
        <f t="shared" si="142"/>
        <v/>
      </c>
      <c r="S143" s="173" t="str">
        <f t="shared" si="7"/>
        <v/>
      </c>
      <c r="T143" s="173" t="str">
        <f t="shared" si="8"/>
        <v/>
      </c>
      <c r="U143" s="170"/>
    </row>
    <row r="144" ht="24.75" customHeight="1">
      <c r="A144" s="175"/>
      <c r="B144" s="175"/>
      <c r="C144" s="175"/>
      <c r="D144" s="175"/>
      <c r="E144" s="175"/>
      <c r="F144" s="175"/>
      <c r="G144" s="175"/>
      <c r="H144" s="175"/>
      <c r="I144" s="175"/>
      <c r="J144" s="175"/>
      <c r="K144" s="175"/>
      <c r="L144" s="171" t="str">
        <f t="array" ref="L144">IFERROR(XLOOKUP($C144,HNCxTIPO!$D:$D,HNCxTIPO!E:E),"")</f>
        <v/>
      </c>
      <c r="M144" s="171" t="str">
        <f t="array" ref="M144">IFERROR(XLOOKUP($C144,HNCxTIPO!$D:$D,HNCxTIPO!F:F),"")</f>
        <v/>
      </c>
      <c r="N144" s="171" t="str">
        <f t="array" ref="N144">IFERROR(XLOOKUP($C144,HNCxTIPO!$D:$D,HNCxTIPO!G:G),"")</f>
        <v/>
      </c>
      <c r="O144" s="172" t="str">
        <f t="shared" si="3"/>
        <v/>
      </c>
      <c r="P144" s="172" t="str">
        <f t="shared" si="4"/>
        <v/>
      </c>
      <c r="Q144" s="172" t="str">
        <f t="shared" ref="Q144:R144" si="143">IF(I144="","",$J144*O144)</f>
        <v/>
      </c>
      <c r="R144" s="172" t="str">
        <f t="shared" si="143"/>
        <v/>
      </c>
      <c r="S144" s="176" t="str">
        <f t="shared" si="7"/>
        <v/>
      </c>
      <c r="T144" s="176" t="str">
        <f t="shared" si="8"/>
        <v/>
      </c>
      <c r="U144" s="175"/>
    </row>
    <row r="145" ht="24.75" customHeight="1">
      <c r="A145" s="170"/>
      <c r="B145" s="170"/>
      <c r="C145" s="170"/>
      <c r="D145" s="170"/>
      <c r="E145" s="170"/>
      <c r="F145" s="170"/>
      <c r="G145" s="170"/>
      <c r="H145" s="170"/>
      <c r="I145" s="170"/>
      <c r="J145" s="170"/>
      <c r="K145" s="170"/>
      <c r="L145" s="171" t="str">
        <f t="array" ref="L145">IFERROR(XLOOKUP($C145,HNCxTIPO!$D:$D,HNCxTIPO!E:E),"")</f>
        <v/>
      </c>
      <c r="M145" s="171" t="str">
        <f t="array" ref="M145">IFERROR(XLOOKUP($C145,HNCxTIPO!$D:$D,HNCxTIPO!F:F),"")</f>
        <v/>
      </c>
      <c r="N145" s="171" t="str">
        <f t="array" ref="N145">IFERROR(XLOOKUP($C145,HNCxTIPO!$D:$D,HNCxTIPO!G:G),"")</f>
        <v/>
      </c>
      <c r="O145" s="172" t="str">
        <f t="shared" si="3"/>
        <v/>
      </c>
      <c r="P145" s="172" t="str">
        <f t="shared" si="4"/>
        <v/>
      </c>
      <c r="Q145" s="172" t="str">
        <f t="shared" ref="Q145:R145" si="144">IF(I145="","",$J145*O145)</f>
        <v/>
      </c>
      <c r="R145" s="172" t="str">
        <f t="shared" si="144"/>
        <v/>
      </c>
      <c r="S145" s="173" t="str">
        <f t="shared" si="7"/>
        <v/>
      </c>
      <c r="T145" s="173" t="str">
        <f t="shared" si="8"/>
        <v/>
      </c>
      <c r="U145" s="170"/>
    </row>
    <row r="146" ht="24.75" customHeight="1">
      <c r="A146" s="175"/>
      <c r="B146" s="175"/>
      <c r="C146" s="175"/>
      <c r="D146" s="175"/>
      <c r="E146" s="175"/>
      <c r="F146" s="175"/>
      <c r="G146" s="175"/>
      <c r="H146" s="175"/>
      <c r="I146" s="175"/>
      <c r="J146" s="175"/>
      <c r="K146" s="175"/>
      <c r="L146" s="171" t="str">
        <f t="array" ref="L146">IFERROR(XLOOKUP($C146,HNCxTIPO!$D:$D,HNCxTIPO!E:E),"")</f>
        <v/>
      </c>
      <c r="M146" s="171" t="str">
        <f t="array" ref="M146">IFERROR(XLOOKUP($C146,HNCxTIPO!$D:$D,HNCxTIPO!F:F),"")</f>
        <v/>
      </c>
      <c r="N146" s="171" t="str">
        <f t="array" ref="N146">IFERROR(XLOOKUP($C146,HNCxTIPO!$D:$D,HNCxTIPO!G:G),"")</f>
        <v/>
      </c>
      <c r="O146" s="172" t="str">
        <f t="shared" si="3"/>
        <v/>
      </c>
      <c r="P146" s="172" t="str">
        <f t="shared" si="4"/>
        <v/>
      </c>
      <c r="Q146" s="172" t="str">
        <f t="shared" ref="Q146:R146" si="145">IF(I146="","",$J146*O146)</f>
        <v/>
      </c>
      <c r="R146" s="172" t="str">
        <f t="shared" si="145"/>
        <v/>
      </c>
      <c r="S146" s="176" t="str">
        <f t="shared" si="7"/>
        <v/>
      </c>
      <c r="T146" s="176" t="str">
        <f t="shared" si="8"/>
        <v/>
      </c>
      <c r="U146" s="175"/>
    </row>
    <row r="147" ht="24.75" customHeight="1">
      <c r="A147" s="170"/>
      <c r="B147" s="170"/>
      <c r="C147" s="170"/>
      <c r="D147" s="170"/>
      <c r="E147" s="170"/>
      <c r="F147" s="170"/>
      <c r="G147" s="170"/>
      <c r="H147" s="170"/>
      <c r="I147" s="170"/>
      <c r="J147" s="170"/>
      <c r="K147" s="170"/>
      <c r="L147" s="171" t="str">
        <f t="array" ref="L147">IFERROR(XLOOKUP($C147,HNCxTIPO!$D:$D,HNCxTIPO!E:E),"")</f>
        <v/>
      </c>
      <c r="M147" s="171" t="str">
        <f t="array" ref="M147">IFERROR(XLOOKUP($C147,HNCxTIPO!$D:$D,HNCxTIPO!F:F),"")</f>
        <v/>
      </c>
      <c r="N147" s="171" t="str">
        <f t="array" ref="N147">IFERROR(XLOOKUP($C147,HNCxTIPO!$D:$D,HNCxTIPO!G:G),"")</f>
        <v/>
      </c>
      <c r="O147" s="172" t="str">
        <f t="shared" si="3"/>
        <v/>
      </c>
      <c r="P147" s="172" t="str">
        <f t="shared" si="4"/>
        <v/>
      </c>
      <c r="Q147" s="172" t="str">
        <f t="shared" ref="Q147:R147" si="146">IF(I147="","",$J147*O147)</f>
        <v/>
      </c>
      <c r="R147" s="172" t="str">
        <f t="shared" si="146"/>
        <v/>
      </c>
      <c r="S147" s="173" t="str">
        <f t="shared" si="7"/>
        <v/>
      </c>
      <c r="T147" s="173" t="str">
        <f t="shared" si="8"/>
        <v/>
      </c>
      <c r="U147" s="170"/>
    </row>
    <row r="148" ht="24.75" customHeight="1">
      <c r="A148" s="175"/>
      <c r="B148" s="175"/>
      <c r="C148" s="175"/>
      <c r="D148" s="175"/>
      <c r="E148" s="175"/>
      <c r="F148" s="175"/>
      <c r="G148" s="175"/>
      <c r="H148" s="175"/>
      <c r="I148" s="175"/>
      <c r="J148" s="175"/>
      <c r="K148" s="175"/>
      <c r="L148" s="171" t="str">
        <f t="array" ref="L148">IFERROR(XLOOKUP($C148,HNCxTIPO!$D:$D,HNCxTIPO!E:E),"")</f>
        <v/>
      </c>
      <c r="M148" s="171" t="str">
        <f t="array" ref="M148">IFERROR(XLOOKUP($C148,HNCxTIPO!$D:$D,HNCxTIPO!F:F),"")</f>
        <v/>
      </c>
      <c r="N148" s="171" t="str">
        <f t="array" ref="N148">IFERROR(XLOOKUP($C148,HNCxTIPO!$D:$D,HNCxTIPO!G:G),"")</f>
        <v/>
      </c>
      <c r="O148" s="172" t="str">
        <f t="shared" si="3"/>
        <v/>
      </c>
      <c r="P148" s="172" t="str">
        <f t="shared" si="4"/>
        <v/>
      </c>
      <c r="Q148" s="172" t="str">
        <f t="shared" ref="Q148:R148" si="147">IF(I148="","",$J148*O148)</f>
        <v/>
      </c>
      <c r="R148" s="172" t="str">
        <f t="shared" si="147"/>
        <v/>
      </c>
      <c r="S148" s="176" t="str">
        <f t="shared" si="7"/>
        <v/>
      </c>
      <c r="T148" s="176" t="str">
        <f t="shared" si="8"/>
        <v/>
      </c>
      <c r="U148" s="175"/>
    </row>
    <row r="149" ht="24.75" customHeight="1">
      <c r="A149" s="170"/>
      <c r="B149" s="170"/>
      <c r="C149" s="170"/>
      <c r="D149" s="170"/>
      <c r="E149" s="170"/>
      <c r="F149" s="170"/>
      <c r="G149" s="170"/>
      <c r="H149" s="170"/>
      <c r="I149" s="170"/>
      <c r="J149" s="170"/>
      <c r="K149" s="170"/>
      <c r="L149" s="171" t="str">
        <f t="array" ref="L149">IFERROR(XLOOKUP($C149,HNCxTIPO!$D:$D,HNCxTIPO!E:E),"")</f>
        <v/>
      </c>
      <c r="M149" s="171" t="str">
        <f t="array" ref="M149">IFERROR(XLOOKUP($C149,HNCxTIPO!$D:$D,HNCxTIPO!F:F),"")</f>
        <v/>
      </c>
      <c r="N149" s="171" t="str">
        <f t="array" ref="N149">IFERROR(XLOOKUP($C149,HNCxTIPO!$D:$D,HNCxTIPO!G:G),"")</f>
        <v/>
      </c>
      <c r="O149" s="172" t="str">
        <f t="shared" si="3"/>
        <v/>
      </c>
      <c r="P149" s="172" t="str">
        <f t="shared" si="4"/>
        <v/>
      </c>
      <c r="Q149" s="172" t="str">
        <f t="shared" ref="Q149:R149" si="148">IF(I149="","",$J149*O149)</f>
        <v/>
      </c>
      <c r="R149" s="172" t="str">
        <f t="shared" si="148"/>
        <v/>
      </c>
      <c r="S149" s="173" t="str">
        <f t="shared" si="7"/>
        <v/>
      </c>
      <c r="T149" s="173" t="str">
        <f t="shared" si="8"/>
        <v/>
      </c>
      <c r="U149" s="170"/>
    </row>
    <row r="150" ht="24.75" customHeight="1">
      <c r="A150" s="175"/>
      <c r="B150" s="175"/>
      <c r="C150" s="175"/>
      <c r="D150" s="175"/>
      <c r="E150" s="175"/>
      <c r="F150" s="175"/>
      <c r="G150" s="175"/>
      <c r="H150" s="175"/>
      <c r="I150" s="175"/>
      <c r="J150" s="175"/>
      <c r="K150" s="175"/>
      <c r="L150" s="171" t="str">
        <f t="array" ref="L150">IFERROR(XLOOKUP($C150,HNCxTIPO!$D:$D,HNCxTIPO!E:E),"")</f>
        <v/>
      </c>
      <c r="M150" s="171" t="str">
        <f t="array" ref="M150">IFERROR(XLOOKUP($C150,HNCxTIPO!$D:$D,HNCxTIPO!F:F),"")</f>
        <v/>
      </c>
      <c r="N150" s="171" t="str">
        <f t="array" ref="N150">IFERROR(XLOOKUP($C150,HNCxTIPO!$D:$D,HNCxTIPO!G:G),"")</f>
        <v/>
      </c>
      <c r="O150" s="172" t="str">
        <f t="shared" si="3"/>
        <v/>
      </c>
      <c r="P150" s="172" t="str">
        <f t="shared" si="4"/>
        <v/>
      </c>
      <c r="Q150" s="172" t="str">
        <f t="shared" ref="Q150:R150" si="149">IF(I150="","",$J150*O150)</f>
        <v/>
      </c>
      <c r="R150" s="172" t="str">
        <f t="shared" si="149"/>
        <v/>
      </c>
      <c r="S150" s="176" t="str">
        <f t="shared" si="7"/>
        <v/>
      </c>
      <c r="T150" s="176" t="str">
        <f t="shared" si="8"/>
        <v/>
      </c>
      <c r="U150" s="175"/>
    </row>
    <row r="151" ht="24.75" customHeight="1">
      <c r="A151" s="170"/>
      <c r="B151" s="170"/>
      <c r="C151" s="170"/>
      <c r="D151" s="170"/>
      <c r="E151" s="170"/>
      <c r="F151" s="170"/>
      <c r="G151" s="170"/>
      <c r="H151" s="170"/>
      <c r="I151" s="170"/>
      <c r="J151" s="170"/>
      <c r="K151" s="170"/>
      <c r="L151" s="171" t="str">
        <f t="array" ref="L151">IFERROR(XLOOKUP($C151,HNCxTIPO!$D:$D,HNCxTIPO!E:E),"")</f>
        <v/>
      </c>
      <c r="M151" s="171" t="str">
        <f t="array" ref="M151">IFERROR(XLOOKUP($C151,HNCxTIPO!$D:$D,HNCxTIPO!F:F),"")</f>
        <v/>
      </c>
      <c r="N151" s="171" t="str">
        <f t="array" ref="N151">IFERROR(XLOOKUP($C151,HNCxTIPO!$D:$D,HNCxTIPO!G:G),"")</f>
        <v/>
      </c>
      <c r="O151" s="172" t="str">
        <f t="shared" si="3"/>
        <v/>
      </c>
      <c r="P151" s="172" t="str">
        <f t="shared" si="4"/>
        <v/>
      </c>
      <c r="Q151" s="172" t="str">
        <f t="shared" ref="Q151:R151" si="150">IF(I151="","",$J151*O151)</f>
        <v/>
      </c>
      <c r="R151" s="172" t="str">
        <f t="shared" si="150"/>
        <v/>
      </c>
      <c r="S151" s="173" t="str">
        <f t="shared" si="7"/>
        <v/>
      </c>
      <c r="T151" s="173" t="str">
        <f t="shared" si="8"/>
        <v/>
      </c>
      <c r="U151" s="170"/>
    </row>
    <row r="152" ht="24.75" customHeight="1">
      <c r="A152" s="175"/>
      <c r="B152" s="175"/>
      <c r="C152" s="175"/>
      <c r="D152" s="175"/>
      <c r="E152" s="175"/>
      <c r="F152" s="175"/>
      <c r="G152" s="175"/>
      <c r="H152" s="175"/>
      <c r="I152" s="175"/>
      <c r="J152" s="175"/>
      <c r="K152" s="175"/>
      <c r="L152" s="171" t="str">
        <f t="array" ref="L152">IFERROR(XLOOKUP($C152,HNCxTIPO!$D:$D,HNCxTIPO!E:E),"")</f>
        <v/>
      </c>
      <c r="M152" s="171" t="str">
        <f t="array" ref="M152">IFERROR(XLOOKUP($C152,HNCxTIPO!$D:$D,HNCxTIPO!F:F),"")</f>
        <v/>
      </c>
      <c r="N152" s="171" t="str">
        <f t="array" ref="N152">IFERROR(XLOOKUP($C152,HNCxTIPO!$D:$D,HNCxTIPO!G:G),"")</f>
        <v/>
      </c>
      <c r="O152" s="172" t="str">
        <f t="shared" si="3"/>
        <v/>
      </c>
      <c r="P152" s="172" t="str">
        <f t="shared" si="4"/>
        <v/>
      </c>
      <c r="Q152" s="172" t="str">
        <f t="shared" ref="Q152:R152" si="151">IF(I152="","",$J152*O152)</f>
        <v/>
      </c>
      <c r="R152" s="172" t="str">
        <f t="shared" si="151"/>
        <v/>
      </c>
      <c r="S152" s="176" t="str">
        <f t="shared" si="7"/>
        <v/>
      </c>
      <c r="T152" s="176" t="str">
        <f t="shared" si="8"/>
        <v/>
      </c>
      <c r="U152" s="175"/>
    </row>
    <row r="153" ht="24.75" customHeight="1">
      <c r="A153" s="170"/>
      <c r="B153" s="170"/>
      <c r="C153" s="170"/>
      <c r="D153" s="170"/>
      <c r="E153" s="170"/>
      <c r="F153" s="170"/>
      <c r="G153" s="170"/>
      <c r="H153" s="170"/>
      <c r="I153" s="170"/>
      <c r="J153" s="170"/>
      <c r="K153" s="170"/>
      <c r="L153" s="171" t="str">
        <f t="array" ref="L153">IFERROR(XLOOKUP($C153,HNCxTIPO!$D:$D,HNCxTIPO!E:E),"")</f>
        <v/>
      </c>
      <c r="M153" s="171" t="str">
        <f t="array" ref="M153">IFERROR(XLOOKUP($C153,HNCxTIPO!$D:$D,HNCxTIPO!F:F),"")</f>
        <v/>
      </c>
      <c r="N153" s="171" t="str">
        <f t="array" ref="N153">IFERROR(XLOOKUP($C153,HNCxTIPO!$D:$D,HNCxTIPO!G:G),"")</f>
        <v/>
      </c>
      <c r="O153" s="172" t="str">
        <f t="shared" si="3"/>
        <v/>
      </c>
      <c r="P153" s="172" t="str">
        <f t="shared" si="4"/>
        <v/>
      </c>
      <c r="Q153" s="172" t="str">
        <f t="shared" ref="Q153:R153" si="152">IF(I153="","",$J153*O153)</f>
        <v/>
      </c>
      <c r="R153" s="172" t="str">
        <f t="shared" si="152"/>
        <v/>
      </c>
      <c r="S153" s="173" t="str">
        <f t="shared" si="7"/>
        <v/>
      </c>
      <c r="T153" s="173" t="str">
        <f t="shared" si="8"/>
        <v/>
      </c>
      <c r="U153" s="170"/>
    </row>
    <row r="154" ht="24.75" customHeight="1">
      <c r="A154" s="175"/>
      <c r="B154" s="175"/>
      <c r="C154" s="175"/>
      <c r="D154" s="175"/>
      <c r="E154" s="175"/>
      <c r="F154" s="175"/>
      <c r="G154" s="175"/>
      <c r="H154" s="175"/>
      <c r="I154" s="175"/>
      <c r="J154" s="175"/>
      <c r="K154" s="175"/>
      <c r="L154" s="171" t="str">
        <f t="array" ref="L154">IFERROR(XLOOKUP($C154,HNCxTIPO!$D:$D,HNCxTIPO!E:E),"")</f>
        <v/>
      </c>
      <c r="M154" s="171" t="str">
        <f t="array" ref="M154">IFERROR(XLOOKUP($C154,HNCxTIPO!$D:$D,HNCxTIPO!F:F),"")</f>
        <v/>
      </c>
      <c r="N154" s="171" t="str">
        <f t="array" ref="N154">IFERROR(XLOOKUP($C154,HNCxTIPO!$D:$D,HNCxTIPO!G:G),"")</f>
        <v/>
      </c>
      <c r="O154" s="172" t="str">
        <f t="shared" si="3"/>
        <v/>
      </c>
      <c r="P154" s="172" t="str">
        <f t="shared" si="4"/>
        <v/>
      </c>
      <c r="Q154" s="172" t="str">
        <f t="shared" ref="Q154:R154" si="153">IF(I154="","",$J154*O154)</f>
        <v/>
      </c>
      <c r="R154" s="172" t="str">
        <f t="shared" si="153"/>
        <v/>
      </c>
      <c r="S154" s="176" t="str">
        <f t="shared" si="7"/>
        <v/>
      </c>
      <c r="T154" s="176" t="str">
        <f t="shared" si="8"/>
        <v/>
      </c>
      <c r="U154" s="175"/>
    </row>
    <row r="155" ht="24.75" customHeight="1">
      <c r="A155" s="170"/>
      <c r="B155" s="170"/>
      <c r="C155" s="170"/>
      <c r="D155" s="170"/>
      <c r="E155" s="170"/>
      <c r="F155" s="170"/>
      <c r="G155" s="170"/>
      <c r="H155" s="170"/>
      <c r="I155" s="170"/>
      <c r="J155" s="170"/>
      <c r="K155" s="170"/>
      <c r="L155" s="171" t="str">
        <f t="array" ref="L155">IFERROR(XLOOKUP($C155,HNCxTIPO!$D:$D,HNCxTIPO!E:E),"")</f>
        <v/>
      </c>
      <c r="M155" s="171" t="str">
        <f t="array" ref="M155">IFERROR(XLOOKUP($C155,HNCxTIPO!$D:$D,HNCxTIPO!F:F),"")</f>
        <v/>
      </c>
      <c r="N155" s="171" t="str">
        <f t="array" ref="N155">IFERROR(XLOOKUP($C155,HNCxTIPO!$D:$D,HNCxTIPO!G:G),"")</f>
        <v/>
      </c>
      <c r="O155" s="172" t="str">
        <f t="shared" si="3"/>
        <v/>
      </c>
      <c r="P155" s="172" t="str">
        <f t="shared" si="4"/>
        <v/>
      </c>
      <c r="Q155" s="172" t="str">
        <f t="shared" ref="Q155:R155" si="154">IF(I155="","",$J155*O155)</f>
        <v/>
      </c>
      <c r="R155" s="172" t="str">
        <f t="shared" si="154"/>
        <v/>
      </c>
      <c r="S155" s="173" t="str">
        <f t="shared" si="7"/>
        <v/>
      </c>
      <c r="T155" s="173" t="str">
        <f t="shared" si="8"/>
        <v/>
      </c>
      <c r="U155" s="170"/>
    </row>
    <row r="156" ht="24.75" customHeight="1">
      <c r="A156" s="175"/>
      <c r="B156" s="175"/>
      <c r="C156" s="175"/>
      <c r="D156" s="175"/>
      <c r="E156" s="175"/>
      <c r="F156" s="175"/>
      <c r="G156" s="175"/>
      <c r="H156" s="175"/>
      <c r="I156" s="175"/>
      <c r="J156" s="175"/>
      <c r="K156" s="175"/>
      <c r="L156" s="171" t="str">
        <f t="array" ref="L156">IFERROR(XLOOKUP($C156,HNCxTIPO!$D:$D,HNCxTIPO!E:E),"")</f>
        <v/>
      </c>
      <c r="M156" s="171" t="str">
        <f t="array" ref="M156">IFERROR(XLOOKUP($C156,HNCxTIPO!$D:$D,HNCxTIPO!F:F),"")</f>
        <v/>
      </c>
      <c r="N156" s="171" t="str">
        <f t="array" ref="N156">IFERROR(XLOOKUP($C156,HNCxTIPO!$D:$D,HNCxTIPO!G:G),"")</f>
        <v/>
      </c>
      <c r="O156" s="172" t="str">
        <f t="shared" si="3"/>
        <v/>
      </c>
      <c r="P156" s="172" t="str">
        <f t="shared" si="4"/>
        <v/>
      </c>
      <c r="Q156" s="172" t="str">
        <f t="shared" ref="Q156:R156" si="155">IF(I156="","",$J156*O156)</f>
        <v/>
      </c>
      <c r="R156" s="172" t="str">
        <f t="shared" si="155"/>
        <v/>
      </c>
      <c r="S156" s="176" t="str">
        <f t="shared" si="7"/>
        <v/>
      </c>
      <c r="T156" s="176" t="str">
        <f t="shared" si="8"/>
        <v/>
      </c>
      <c r="U156" s="175"/>
    </row>
    <row r="157" ht="24.75" customHeight="1">
      <c r="A157" s="170"/>
      <c r="B157" s="170"/>
      <c r="C157" s="170"/>
      <c r="D157" s="170"/>
      <c r="E157" s="170"/>
      <c r="F157" s="170"/>
      <c r="G157" s="170"/>
      <c r="H157" s="170"/>
      <c r="I157" s="170"/>
      <c r="J157" s="170"/>
      <c r="K157" s="170"/>
      <c r="L157" s="171" t="str">
        <f t="array" ref="L157">IFERROR(XLOOKUP($C157,HNCxTIPO!$D:$D,HNCxTIPO!E:E),"")</f>
        <v/>
      </c>
      <c r="M157" s="171" t="str">
        <f t="array" ref="M157">IFERROR(XLOOKUP($C157,HNCxTIPO!$D:$D,HNCxTIPO!F:F),"")</f>
        <v/>
      </c>
      <c r="N157" s="171" t="str">
        <f t="array" ref="N157">IFERROR(XLOOKUP($C157,HNCxTIPO!$D:$D,HNCxTIPO!G:G),"")</f>
        <v/>
      </c>
      <c r="O157" s="172" t="str">
        <f t="shared" si="3"/>
        <v/>
      </c>
      <c r="P157" s="172" t="str">
        <f t="shared" si="4"/>
        <v/>
      </c>
      <c r="Q157" s="172" t="str">
        <f t="shared" ref="Q157:R157" si="156">IF(I157="","",$J157*O157)</f>
        <v/>
      </c>
      <c r="R157" s="172" t="str">
        <f t="shared" si="156"/>
        <v/>
      </c>
      <c r="S157" s="173" t="str">
        <f t="shared" si="7"/>
        <v/>
      </c>
      <c r="T157" s="173" t="str">
        <f t="shared" si="8"/>
        <v/>
      </c>
      <c r="U157" s="170"/>
    </row>
    <row r="158" ht="24.75" customHeight="1">
      <c r="A158" s="175"/>
      <c r="B158" s="175"/>
      <c r="C158" s="175"/>
      <c r="D158" s="175"/>
      <c r="E158" s="175"/>
      <c r="F158" s="175"/>
      <c r="G158" s="175"/>
      <c r="H158" s="175"/>
      <c r="I158" s="175"/>
      <c r="J158" s="175"/>
      <c r="K158" s="175"/>
      <c r="L158" s="171" t="str">
        <f t="array" ref="L158">IFERROR(XLOOKUP($C158,HNCxTIPO!$D:$D,HNCxTIPO!E:E),"")</f>
        <v/>
      </c>
      <c r="M158" s="171" t="str">
        <f t="array" ref="M158">IFERROR(XLOOKUP($C158,HNCxTIPO!$D:$D,HNCxTIPO!F:F),"")</f>
        <v/>
      </c>
      <c r="N158" s="171" t="str">
        <f t="array" ref="N158">IFERROR(XLOOKUP($C158,HNCxTIPO!$D:$D,HNCxTIPO!G:G),"")</f>
        <v/>
      </c>
      <c r="O158" s="172" t="str">
        <f t="shared" si="3"/>
        <v/>
      </c>
      <c r="P158" s="172" t="str">
        <f t="shared" si="4"/>
        <v/>
      </c>
      <c r="Q158" s="172" t="str">
        <f t="shared" ref="Q158:R158" si="157">IF(I158="","",$J158*O158)</f>
        <v/>
      </c>
      <c r="R158" s="172" t="str">
        <f t="shared" si="157"/>
        <v/>
      </c>
      <c r="S158" s="176" t="str">
        <f t="shared" si="7"/>
        <v/>
      </c>
      <c r="T158" s="176" t="str">
        <f t="shared" si="8"/>
        <v/>
      </c>
      <c r="U158" s="175"/>
    </row>
    <row r="159" ht="24.75" customHeight="1">
      <c r="A159" s="170"/>
      <c r="B159" s="170"/>
      <c r="C159" s="170"/>
      <c r="D159" s="170"/>
      <c r="E159" s="170"/>
      <c r="F159" s="170"/>
      <c r="G159" s="170"/>
      <c r="H159" s="170"/>
      <c r="I159" s="170"/>
      <c r="J159" s="170"/>
      <c r="K159" s="170"/>
      <c r="L159" s="171" t="str">
        <f t="array" ref="L159">IFERROR(XLOOKUP($C159,HNCxTIPO!$D:$D,HNCxTIPO!E:E),"")</f>
        <v/>
      </c>
      <c r="M159" s="171" t="str">
        <f t="array" ref="M159">IFERROR(XLOOKUP($C159,HNCxTIPO!$D:$D,HNCxTIPO!F:F),"")</f>
        <v/>
      </c>
      <c r="N159" s="171" t="str">
        <f t="array" ref="N159">IFERROR(XLOOKUP($C159,HNCxTIPO!$D:$D,HNCxTIPO!G:G),"")</f>
        <v/>
      </c>
      <c r="O159" s="172" t="str">
        <f t="shared" si="3"/>
        <v/>
      </c>
      <c r="P159" s="172" t="str">
        <f t="shared" si="4"/>
        <v/>
      </c>
      <c r="Q159" s="172" t="str">
        <f t="shared" ref="Q159:R159" si="158">IF(I159="","",$J159*O159)</f>
        <v/>
      </c>
      <c r="R159" s="172" t="str">
        <f t="shared" si="158"/>
        <v/>
      </c>
      <c r="S159" s="173" t="str">
        <f t="shared" si="7"/>
        <v/>
      </c>
      <c r="T159" s="173" t="str">
        <f t="shared" si="8"/>
        <v/>
      </c>
      <c r="U159" s="170"/>
    </row>
    <row r="160" ht="24.75" customHeight="1">
      <c r="A160" s="175"/>
      <c r="B160" s="175"/>
      <c r="C160" s="175"/>
      <c r="D160" s="175"/>
      <c r="E160" s="175"/>
      <c r="F160" s="175"/>
      <c r="G160" s="175"/>
      <c r="H160" s="175"/>
      <c r="I160" s="175"/>
      <c r="J160" s="175"/>
      <c r="K160" s="175"/>
      <c r="L160" s="171" t="str">
        <f t="array" ref="L160">IFERROR(XLOOKUP($C160,HNCxTIPO!$D:$D,HNCxTIPO!E:E),"")</f>
        <v/>
      </c>
      <c r="M160" s="171" t="str">
        <f t="array" ref="M160">IFERROR(XLOOKUP($C160,HNCxTIPO!$D:$D,HNCxTIPO!F:F),"")</f>
        <v/>
      </c>
      <c r="N160" s="171" t="str">
        <f t="array" ref="N160">IFERROR(XLOOKUP($C160,HNCxTIPO!$D:$D,HNCxTIPO!G:G),"")</f>
        <v/>
      </c>
      <c r="O160" s="172" t="str">
        <f t="shared" si="3"/>
        <v/>
      </c>
      <c r="P160" s="172" t="str">
        <f t="shared" si="4"/>
        <v/>
      </c>
      <c r="Q160" s="172" t="str">
        <f t="shared" ref="Q160:R160" si="159">IF(I160="","",$J160*O160)</f>
        <v/>
      </c>
      <c r="R160" s="172" t="str">
        <f t="shared" si="159"/>
        <v/>
      </c>
      <c r="S160" s="176" t="str">
        <f t="shared" si="7"/>
        <v/>
      </c>
      <c r="T160" s="176" t="str">
        <f t="shared" si="8"/>
        <v/>
      </c>
      <c r="U160" s="175"/>
    </row>
    <row r="161" ht="24.75" customHeight="1">
      <c r="A161" s="170"/>
      <c r="B161" s="170"/>
      <c r="C161" s="170"/>
      <c r="D161" s="170"/>
      <c r="E161" s="170"/>
      <c r="F161" s="170"/>
      <c r="G161" s="170"/>
      <c r="H161" s="170"/>
      <c r="I161" s="170"/>
      <c r="J161" s="170"/>
      <c r="K161" s="170"/>
      <c r="L161" s="171" t="str">
        <f t="array" ref="L161">IFERROR(XLOOKUP($C161,HNCxTIPO!$D:$D,HNCxTIPO!E:E),"")</f>
        <v/>
      </c>
      <c r="M161" s="171" t="str">
        <f t="array" ref="M161">IFERROR(XLOOKUP($C161,HNCxTIPO!$D:$D,HNCxTIPO!F:F),"")</f>
        <v/>
      </c>
      <c r="N161" s="171" t="str">
        <f t="array" ref="N161">IFERROR(XLOOKUP($C161,HNCxTIPO!$D:$D,HNCxTIPO!G:G),"")</f>
        <v/>
      </c>
      <c r="O161" s="172" t="str">
        <f t="shared" si="3"/>
        <v/>
      </c>
      <c r="P161" s="172" t="str">
        <f t="shared" si="4"/>
        <v/>
      </c>
      <c r="Q161" s="172" t="str">
        <f t="shared" ref="Q161:R161" si="160">IF(I161="","",$J161*O161)</f>
        <v/>
      </c>
      <c r="R161" s="172" t="str">
        <f t="shared" si="160"/>
        <v/>
      </c>
      <c r="S161" s="173" t="str">
        <f t="shared" si="7"/>
        <v/>
      </c>
      <c r="T161" s="173" t="str">
        <f t="shared" si="8"/>
        <v/>
      </c>
      <c r="U161" s="170"/>
    </row>
    <row r="162" ht="24.75" customHeight="1">
      <c r="A162" s="175"/>
      <c r="B162" s="175"/>
      <c r="C162" s="175"/>
      <c r="D162" s="175"/>
      <c r="E162" s="175"/>
      <c r="F162" s="175"/>
      <c r="G162" s="175"/>
      <c r="H162" s="175"/>
      <c r="I162" s="175"/>
      <c r="J162" s="175"/>
      <c r="K162" s="175"/>
      <c r="L162" s="171" t="str">
        <f t="array" ref="L162">IFERROR(XLOOKUP($C162,HNCxTIPO!$D:$D,HNCxTIPO!E:E),"")</f>
        <v/>
      </c>
      <c r="M162" s="171" t="str">
        <f t="array" ref="M162">IFERROR(XLOOKUP($C162,HNCxTIPO!$D:$D,HNCxTIPO!F:F),"")</f>
        <v/>
      </c>
      <c r="N162" s="171" t="str">
        <f t="array" ref="N162">IFERROR(XLOOKUP($C162,HNCxTIPO!$D:$D,HNCxTIPO!G:G),"")</f>
        <v/>
      </c>
      <c r="O162" s="172" t="str">
        <f t="shared" si="3"/>
        <v/>
      </c>
      <c r="P162" s="172" t="str">
        <f t="shared" si="4"/>
        <v/>
      </c>
      <c r="Q162" s="172" t="str">
        <f t="shared" ref="Q162:R162" si="161">IF(I162="","",$J162*O162)</f>
        <v/>
      </c>
      <c r="R162" s="172" t="str">
        <f t="shared" si="161"/>
        <v/>
      </c>
      <c r="S162" s="176" t="str">
        <f t="shared" si="7"/>
        <v/>
      </c>
      <c r="T162" s="176" t="str">
        <f t="shared" si="8"/>
        <v/>
      </c>
      <c r="U162" s="175"/>
    </row>
    <row r="163" ht="24.75" customHeight="1">
      <c r="A163" s="170"/>
      <c r="B163" s="170"/>
      <c r="C163" s="170"/>
      <c r="D163" s="170"/>
      <c r="E163" s="170"/>
      <c r="F163" s="170"/>
      <c r="G163" s="170"/>
      <c r="H163" s="170"/>
      <c r="I163" s="170"/>
      <c r="J163" s="170"/>
      <c r="K163" s="170"/>
      <c r="L163" s="171" t="str">
        <f t="array" ref="L163">IFERROR(XLOOKUP($C163,HNCxTIPO!$D:$D,HNCxTIPO!E:E),"")</f>
        <v/>
      </c>
      <c r="M163" s="171" t="str">
        <f t="array" ref="M163">IFERROR(XLOOKUP($C163,HNCxTIPO!$D:$D,HNCxTIPO!F:F),"")</f>
        <v/>
      </c>
      <c r="N163" s="171" t="str">
        <f t="array" ref="N163">IFERROR(XLOOKUP($C163,HNCxTIPO!$D:$D,HNCxTIPO!G:G),"")</f>
        <v/>
      </c>
      <c r="O163" s="172" t="str">
        <f t="shared" si="3"/>
        <v/>
      </c>
      <c r="P163" s="172" t="str">
        <f t="shared" si="4"/>
        <v/>
      </c>
      <c r="Q163" s="172" t="str">
        <f t="shared" ref="Q163:R163" si="162">IF(I163="","",$J163*O163)</f>
        <v/>
      </c>
      <c r="R163" s="172" t="str">
        <f t="shared" si="162"/>
        <v/>
      </c>
      <c r="S163" s="173" t="str">
        <f t="shared" si="7"/>
        <v/>
      </c>
      <c r="T163" s="173" t="str">
        <f t="shared" si="8"/>
        <v/>
      </c>
      <c r="U163" s="170"/>
    </row>
    <row r="164" ht="24.75" customHeight="1">
      <c r="A164" s="175"/>
      <c r="B164" s="175"/>
      <c r="C164" s="175"/>
      <c r="D164" s="175"/>
      <c r="E164" s="175"/>
      <c r="F164" s="175"/>
      <c r="G164" s="175"/>
      <c r="H164" s="175"/>
      <c r="I164" s="175"/>
      <c r="J164" s="175"/>
      <c r="K164" s="175"/>
      <c r="L164" s="171" t="str">
        <f t="array" ref="L164">IFERROR(XLOOKUP($C164,HNCxTIPO!$D:$D,HNCxTIPO!E:E),"")</f>
        <v/>
      </c>
      <c r="M164" s="171" t="str">
        <f t="array" ref="M164">IFERROR(XLOOKUP($C164,HNCxTIPO!$D:$D,HNCxTIPO!F:F),"")</f>
        <v/>
      </c>
      <c r="N164" s="171" t="str">
        <f t="array" ref="N164">IFERROR(XLOOKUP($C164,HNCxTIPO!$D:$D,HNCxTIPO!G:G),"")</f>
        <v/>
      </c>
      <c r="O164" s="172" t="str">
        <f t="shared" si="3"/>
        <v/>
      </c>
      <c r="P164" s="172" t="str">
        <f t="shared" si="4"/>
        <v/>
      </c>
      <c r="Q164" s="172" t="str">
        <f t="shared" ref="Q164:R164" si="163">IF(I164="","",$J164*O164)</f>
        <v/>
      </c>
      <c r="R164" s="172" t="str">
        <f t="shared" si="163"/>
        <v/>
      </c>
      <c r="S164" s="176" t="str">
        <f t="shared" si="7"/>
        <v/>
      </c>
      <c r="T164" s="176" t="str">
        <f t="shared" si="8"/>
        <v/>
      </c>
      <c r="U164" s="175"/>
    </row>
    <row r="165" ht="24.75" customHeight="1">
      <c r="A165" s="170"/>
      <c r="B165" s="170"/>
      <c r="C165" s="170"/>
      <c r="D165" s="170"/>
      <c r="E165" s="170"/>
      <c r="F165" s="170"/>
      <c r="G165" s="170"/>
      <c r="H165" s="170"/>
      <c r="I165" s="170"/>
      <c r="J165" s="170"/>
      <c r="K165" s="170"/>
      <c r="L165" s="171" t="str">
        <f t="array" ref="L165">IFERROR(XLOOKUP($C165,HNCxTIPO!$D:$D,HNCxTIPO!E:E),"")</f>
        <v/>
      </c>
      <c r="M165" s="171" t="str">
        <f t="array" ref="M165">IFERROR(XLOOKUP($C165,HNCxTIPO!$D:$D,HNCxTIPO!F:F),"")</f>
        <v/>
      </c>
      <c r="N165" s="171" t="str">
        <f t="array" ref="N165">IFERROR(XLOOKUP($C165,HNCxTIPO!$D:$D,HNCxTIPO!G:G),"")</f>
        <v/>
      </c>
      <c r="O165" s="172" t="str">
        <f t="shared" si="3"/>
        <v/>
      </c>
      <c r="P165" s="172" t="str">
        <f t="shared" si="4"/>
        <v/>
      </c>
      <c r="Q165" s="172" t="str">
        <f t="shared" ref="Q165:R165" si="164">IF(I165="","",$J165*O165)</f>
        <v/>
      </c>
      <c r="R165" s="172" t="str">
        <f t="shared" si="164"/>
        <v/>
      </c>
      <c r="S165" s="173" t="str">
        <f t="shared" si="7"/>
        <v/>
      </c>
      <c r="T165" s="173" t="str">
        <f t="shared" si="8"/>
        <v/>
      </c>
      <c r="U165" s="170"/>
    </row>
    <row r="166" ht="24.75" customHeight="1">
      <c r="A166" s="175"/>
      <c r="B166" s="175"/>
      <c r="C166" s="175"/>
      <c r="D166" s="175"/>
      <c r="E166" s="175"/>
      <c r="F166" s="175"/>
      <c r="G166" s="175"/>
      <c r="H166" s="175"/>
      <c r="I166" s="175"/>
      <c r="J166" s="175"/>
      <c r="K166" s="175"/>
      <c r="L166" s="171" t="str">
        <f t="array" ref="L166">IFERROR(XLOOKUP($C166,HNCxTIPO!$D:$D,HNCxTIPO!E:E),"")</f>
        <v/>
      </c>
      <c r="M166" s="171" t="str">
        <f t="array" ref="M166">IFERROR(XLOOKUP($C166,HNCxTIPO!$D:$D,HNCxTIPO!F:F),"")</f>
        <v/>
      </c>
      <c r="N166" s="171" t="str">
        <f t="array" ref="N166">IFERROR(XLOOKUP($C166,HNCxTIPO!$D:$D,HNCxTIPO!G:G),"")</f>
        <v/>
      </c>
      <c r="O166" s="172" t="str">
        <f t="shared" si="3"/>
        <v/>
      </c>
      <c r="P166" s="172" t="str">
        <f t="shared" si="4"/>
        <v/>
      </c>
      <c r="Q166" s="172" t="str">
        <f t="shared" ref="Q166:R166" si="165">IF(I166="","",$J166*O166)</f>
        <v/>
      </c>
      <c r="R166" s="172" t="str">
        <f t="shared" si="165"/>
        <v/>
      </c>
      <c r="S166" s="176" t="str">
        <f t="shared" si="7"/>
        <v/>
      </c>
      <c r="T166" s="176" t="str">
        <f t="shared" si="8"/>
        <v/>
      </c>
      <c r="U166" s="175"/>
    </row>
    <row r="167" ht="24.75" customHeight="1">
      <c r="A167" s="170"/>
      <c r="B167" s="170"/>
      <c r="C167" s="170"/>
      <c r="D167" s="170"/>
      <c r="E167" s="170"/>
      <c r="F167" s="170"/>
      <c r="G167" s="170"/>
      <c r="H167" s="170"/>
      <c r="I167" s="170"/>
      <c r="J167" s="170"/>
      <c r="K167" s="170"/>
      <c r="L167" s="171" t="str">
        <f t="array" ref="L167">IFERROR(XLOOKUP($C167,HNCxTIPO!$D:$D,HNCxTIPO!E:E),"")</f>
        <v/>
      </c>
      <c r="M167" s="171" t="str">
        <f t="array" ref="M167">IFERROR(XLOOKUP($C167,HNCxTIPO!$D:$D,HNCxTIPO!F:F),"")</f>
        <v/>
      </c>
      <c r="N167" s="171" t="str">
        <f t="array" ref="N167">IFERROR(XLOOKUP($C167,HNCxTIPO!$D:$D,HNCxTIPO!G:G),"")</f>
        <v/>
      </c>
      <c r="O167" s="172" t="str">
        <f t="shared" si="3"/>
        <v/>
      </c>
      <c r="P167" s="172" t="str">
        <f t="shared" si="4"/>
        <v/>
      </c>
      <c r="Q167" s="172" t="str">
        <f t="shared" ref="Q167:R167" si="166">IF(I167="","",$J167*O167)</f>
        <v/>
      </c>
      <c r="R167" s="172" t="str">
        <f t="shared" si="166"/>
        <v/>
      </c>
      <c r="S167" s="173" t="str">
        <f t="shared" si="7"/>
        <v/>
      </c>
      <c r="T167" s="173" t="str">
        <f t="shared" si="8"/>
        <v/>
      </c>
      <c r="U167" s="170"/>
    </row>
    <row r="168" ht="24.75" customHeight="1">
      <c r="A168" s="175"/>
      <c r="B168" s="175"/>
      <c r="C168" s="175"/>
      <c r="D168" s="175"/>
      <c r="E168" s="175"/>
      <c r="F168" s="175"/>
      <c r="G168" s="175"/>
      <c r="H168" s="175"/>
      <c r="I168" s="175"/>
      <c r="J168" s="175"/>
      <c r="K168" s="175"/>
      <c r="L168" s="171" t="str">
        <f t="array" ref="L168">IFERROR(XLOOKUP($C168,HNCxTIPO!$D:$D,HNCxTIPO!E:E),"")</f>
        <v/>
      </c>
      <c r="M168" s="171" t="str">
        <f t="array" ref="M168">IFERROR(XLOOKUP($C168,HNCxTIPO!$D:$D,HNCxTIPO!F:F),"")</f>
        <v/>
      </c>
      <c r="N168" s="171" t="str">
        <f t="array" ref="N168">IFERROR(XLOOKUP($C168,HNCxTIPO!$D:$D,HNCxTIPO!G:G),"")</f>
        <v/>
      </c>
      <c r="O168" s="172" t="str">
        <f t="shared" si="3"/>
        <v/>
      </c>
      <c r="P168" s="172" t="str">
        <f t="shared" si="4"/>
        <v/>
      </c>
      <c r="Q168" s="172" t="str">
        <f t="shared" ref="Q168:R168" si="167">IF(I168="","",$J168*O168)</f>
        <v/>
      </c>
      <c r="R168" s="172" t="str">
        <f t="shared" si="167"/>
        <v/>
      </c>
      <c r="S168" s="176" t="str">
        <f t="shared" si="7"/>
        <v/>
      </c>
      <c r="T168" s="176" t="str">
        <f t="shared" si="8"/>
        <v/>
      </c>
      <c r="U168" s="175"/>
    </row>
    <row r="169" ht="24.75" customHeight="1">
      <c r="A169" s="170"/>
      <c r="B169" s="170"/>
      <c r="C169" s="170"/>
      <c r="D169" s="170"/>
      <c r="E169" s="170"/>
      <c r="F169" s="170"/>
      <c r="G169" s="170"/>
      <c r="H169" s="170"/>
      <c r="I169" s="170"/>
      <c r="J169" s="170"/>
      <c r="K169" s="170"/>
      <c r="L169" s="171" t="str">
        <f t="array" ref="L169">IFERROR(XLOOKUP($C169,HNCxTIPO!$D:$D,HNCxTIPO!E:E),"")</f>
        <v/>
      </c>
      <c r="M169" s="171" t="str">
        <f t="array" ref="M169">IFERROR(XLOOKUP($C169,HNCxTIPO!$D:$D,HNCxTIPO!F:F),"")</f>
        <v/>
      </c>
      <c r="N169" s="171" t="str">
        <f t="array" ref="N169">IFERROR(XLOOKUP($C169,HNCxTIPO!$D:$D,HNCxTIPO!G:G),"")</f>
        <v/>
      </c>
      <c r="O169" s="172" t="str">
        <f t="shared" si="3"/>
        <v/>
      </c>
      <c r="P169" s="172" t="str">
        <f t="shared" si="4"/>
        <v/>
      </c>
      <c r="Q169" s="172" t="str">
        <f t="shared" ref="Q169:R169" si="168">IF(I169="","",$J169*O169)</f>
        <v/>
      </c>
      <c r="R169" s="172" t="str">
        <f t="shared" si="168"/>
        <v/>
      </c>
      <c r="S169" s="173" t="str">
        <f t="shared" si="7"/>
        <v/>
      </c>
      <c r="T169" s="173" t="str">
        <f t="shared" si="8"/>
        <v/>
      </c>
      <c r="U169" s="170"/>
    </row>
    <row r="170" ht="24.75" customHeight="1">
      <c r="A170" s="175"/>
      <c r="B170" s="175"/>
      <c r="C170" s="175"/>
      <c r="D170" s="175"/>
      <c r="E170" s="175"/>
      <c r="F170" s="175"/>
      <c r="G170" s="175"/>
      <c r="H170" s="175"/>
      <c r="I170" s="175"/>
      <c r="J170" s="175"/>
      <c r="K170" s="175"/>
      <c r="L170" s="171" t="str">
        <f t="array" ref="L170">IFERROR(XLOOKUP($C170,HNCxTIPO!$D:$D,HNCxTIPO!E:E),"")</f>
        <v/>
      </c>
      <c r="M170" s="171" t="str">
        <f t="array" ref="M170">IFERROR(XLOOKUP($C170,HNCxTIPO!$D:$D,HNCxTIPO!F:F),"")</f>
        <v/>
      </c>
      <c r="N170" s="171" t="str">
        <f t="array" ref="N170">IFERROR(XLOOKUP($C170,HNCxTIPO!$D:$D,HNCxTIPO!G:G),"")</f>
        <v/>
      </c>
      <c r="O170" s="172" t="str">
        <f t="shared" si="3"/>
        <v/>
      </c>
      <c r="P170" s="172" t="str">
        <f t="shared" si="4"/>
        <v/>
      </c>
      <c r="Q170" s="172" t="str">
        <f t="shared" ref="Q170:R170" si="169">IF(I170="","",$J170*O170)</f>
        <v/>
      </c>
      <c r="R170" s="172" t="str">
        <f t="shared" si="169"/>
        <v/>
      </c>
      <c r="S170" s="176" t="str">
        <f t="shared" si="7"/>
        <v/>
      </c>
      <c r="T170" s="176" t="str">
        <f t="shared" si="8"/>
        <v/>
      </c>
      <c r="U170" s="175"/>
    </row>
    <row r="171" ht="24.75" customHeight="1">
      <c r="A171" s="170"/>
      <c r="B171" s="170"/>
      <c r="C171" s="170"/>
      <c r="D171" s="170"/>
      <c r="E171" s="170"/>
      <c r="F171" s="170"/>
      <c r="G171" s="170"/>
      <c r="H171" s="170"/>
      <c r="I171" s="170"/>
      <c r="J171" s="170"/>
      <c r="K171" s="170"/>
      <c r="L171" s="171" t="str">
        <f t="array" ref="L171">IFERROR(XLOOKUP($C171,HNCxTIPO!$D:$D,HNCxTIPO!E:E),"")</f>
        <v/>
      </c>
      <c r="M171" s="171" t="str">
        <f t="array" ref="M171">IFERROR(XLOOKUP($C171,HNCxTIPO!$D:$D,HNCxTIPO!F:F),"")</f>
        <v/>
      </c>
      <c r="N171" s="171" t="str">
        <f t="array" ref="N171">IFERROR(XLOOKUP($C171,HNCxTIPO!$D:$D,HNCxTIPO!G:G),"")</f>
        <v/>
      </c>
      <c r="O171" s="172" t="str">
        <f t="shared" si="3"/>
        <v/>
      </c>
      <c r="P171" s="172" t="str">
        <f t="shared" si="4"/>
        <v/>
      </c>
      <c r="Q171" s="172" t="str">
        <f t="shared" ref="Q171:R171" si="170">IF(I171="","",$J171*O171)</f>
        <v/>
      </c>
      <c r="R171" s="172" t="str">
        <f t="shared" si="170"/>
        <v/>
      </c>
      <c r="S171" s="173" t="str">
        <f t="shared" si="7"/>
        <v/>
      </c>
      <c r="T171" s="173" t="str">
        <f t="shared" si="8"/>
        <v/>
      </c>
      <c r="U171" s="170"/>
    </row>
    <row r="172" ht="24.75" customHeight="1">
      <c r="A172" s="175"/>
      <c r="B172" s="175"/>
      <c r="C172" s="175"/>
      <c r="D172" s="175"/>
      <c r="E172" s="175"/>
      <c r="F172" s="175"/>
      <c r="G172" s="175"/>
      <c r="H172" s="175"/>
      <c r="I172" s="175"/>
      <c r="J172" s="175"/>
      <c r="K172" s="175"/>
      <c r="L172" s="171" t="str">
        <f t="array" ref="L172">IFERROR(XLOOKUP($C172,HNCxTIPO!$D:$D,HNCxTIPO!E:E),"")</f>
        <v/>
      </c>
      <c r="M172" s="171" t="str">
        <f t="array" ref="M172">IFERROR(XLOOKUP($C172,HNCxTIPO!$D:$D,HNCxTIPO!F:F),"")</f>
        <v/>
      </c>
      <c r="N172" s="171" t="str">
        <f t="array" ref="N172">IFERROR(XLOOKUP($C172,HNCxTIPO!$D:$D,HNCxTIPO!G:G),"")</f>
        <v/>
      </c>
      <c r="O172" s="172" t="str">
        <f t="shared" si="3"/>
        <v/>
      </c>
      <c r="P172" s="172" t="str">
        <f t="shared" si="4"/>
        <v/>
      </c>
      <c r="Q172" s="172" t="str">
        <f t="shared" ref="Q172:R172" si="171">IF(I172="","",$J172*O172)</f>
        <v/>
      </c>
      <c r="R172" s="172" t="str">
        <f t="shared" si="171"/>
        <v/>
      </c>
      <c r="S172" s="176" t="str">
        <f t="shared" si="7"/>
        <v/>
      </c>
      <c r="T172" s="176" t="str">
        <f t="shared" si="8"/>
        <v/>
      </c>
      <c r="U172" s="175"/>
    </row>
    <row r="173" ht="24.75" customHeight="1">
      <c r="A173" s="170"/>
      <c r="B173" s="170"/>
      <c r="C173" s="170"/>
      <c r="D173" s="170"/>
      <c r="E173" s="170"/>
      <c r="F173" s="170"/>
      <c r="G173" s="170"/>
      <c r="H173" s="170"/>
      <c r="I173" s="170"/>
      <c r="J173" s="170"/>
      <c r="K173" s="170"/>
      <c r="L173" s="171" t="str">
        <f t="array" ref="L173">IFERROR(XLOOKUP($C173,HNCxTIPO!$D:$D,HNCxTIPO!E:E),"")</f>
        <v/>
      </c>
      <c r="M173" s="171" t="str">
        <f t="array" ref="M173">IFERROR(XLOOKUP($C173,HNCxTIPO!$D:$D,HNCxTIPO!F:F),"")</f>
        <v/>
      </c>
      <c r="N173" s="171" t="str">
        <f t="array" ref="N173">IFERROR(XLOOKUP($C173,HNCxTIPO!$D:$D,HNCxTIPO!G:G),"")</f>
        <v/>
      </c>
      <c r="O173" s="172" t="str">
        <f t="shared" si="3"/>
        <v/>
      </c>
      <c r="P173" s="172" t="str">
        <f t="shared" si="4"/>
        <v/>
      </c>
      <c r="Q173" s="172" t="str">
        <f t="shared" ref="Q173:R173" si="172">IF(I173="","",$J173*O173)</f>
        <v/>
      </c>
      <c r="R173" s="172" t="str">
        <f t="shared" si="172"/>
        <v/>
      </c>
      <c r="S173" s="173" t="str">
        <f t="shared" si="7"/>
        <v/>
      </c>
      <c r="T173" s="173" t="str">
        <f t="shared" si="8"/>
        <v/>
      </c>
      <c r="U173" s="170"/>
    </row>
    <row r="174" ht="24.75" customHeight="1">
      <c r="A174" s="175"/>
      <c r="B174" s="175"/>
      <c r="C174" s="175"/>
      <c r="D174" s="175"/>
      <c r="E174" s="175"/>
      <c r="F174" s="175"/>
      <c r="G174" s="175"/>
      <c r="H174" s="175"/>
      <c r="I174" s="175"/>
      <c r="J174" s="175"/>
      <c r="K174" s="175"/>
      <c r="L174" s="171" t="str">
        <f t="array" ref="L174">IFERROR(XLOOKUP($C174,HNCxTIPO!$D:$D,HNCxTIPO!E:E),"")</f>
        <v/>
      </c>
      <c r="M174" s="171" t="str">
        <f t="array" ref="M174">IFERROR(XLOOKUP($C174,HNCxTIPO!$D:$D,HNCxTIPO!F:F),"")</f>
        <v/>
      </c>
      <c r="N174" s="171" t="str">
        <f t="array" ref="N174">IFERROR(XLOOKUP($C174,HNCxTIPO!$D:$D,HNCxTIPO!G:G),"")</f>
        <v/>
      </c>
      <c r="O174" s="172" t="str">
        <f t="shared" si="3"/>
        <v/>
      </c>
      <c r="P174" s="172" t="str">
        <f t="shared" si="4"/>
        <v/>
      </c>
      <c r="Q174" s="172" t="str">
        <f t="shared" ref="Q174:R174" si="173">IF(I174="","",$J174*O174)</f>
        <v/>
      </c>
      <c r="R174" s="172" t="str">
        <f t="shared" si="173"/>
        <v/>
      </c>
      <c r="S174" s="176" t="str">
        <f t="shared" si="7"/>
        <v/>
      </c>
      <c r="T174" s="176" t="str">
        <f t="shared" si="8"/>
        <v/>
      </c>
      <c r="U174" s="175"/>
    </row>
    <row r="175" ht="24.75" customHeight="1">
      <c r="A175" s="170"/>
      <c r="B175" s="170"/>
      <c r="C175" s="170"/>
      <c r="D175" s="170"/>
      <c r="E175" s="170"/>
      <c r="F175" s="170"/>
      <c r="G175" s="170"/>
      <c r="H175" s="170"/>
      <c r="I175" s="170"/>
      <c r="J175" s="170"/>
      <c r="K175" s="170"/>
      <c r="L175" s="171" t="str">
        <f t="array" ref="L175">IFERROR(XLOOKUP($C175,HNCxTIPO!$D:$D,HNCxTIPO!E:E),"")</f>
        <v/>
      </c>
      <c r="M175" s="171" t="str">
        <f t="array" ref="M175">IFERROR(XLOOKUP($C175,HNCxTIPO!$D:$D,HNCxTIPO!F:F),"")</f>
        <v/>
      </c>
      <c r="N175" s="171" t="str">
        <f t="array" ref="N175">IFERROR(XLOOKUP($C175,HNCxTIPO!$D:$D,HNCxTIPO!G:G),"")</f>
        <v/>
      </c>
      <c r="O175" s="172" t="str">
        <f t="shared" si="3"/>
        <v/>
      </c>
      <c r="P175" s="172" t="str">
        <f t="shared" si="4"/>
        <v/>
      </c>
      <c r="Q175" s="172" t="str">
        <f t="shared" ref="Q175:R175" si="174">IF(I175="","",$J175*O175)</f>
        <v/>
      </c>
      <c r="R175" s="172" t="str">
        <f t="shared" si="174"/>
        <v/>
      </c>
      <c r="S175" s="173" t="str">
        <f t="shared" si="7"/>
        <v/>
      </c>
      <c r="T175" s="173" t="str">
        <f t="shared" si="8"/>
        <v/>
      </c>
      <c r="U175" s="170"/>
    </row>
    <row r="176" ht="24.75" customHeight="1">
      <c r="A176" s="175"/>
      <c r="B176" s="175"/>
      <c r="C176" s="175"/>
      <c r="D176" s="175"/>
      <c r="E176" s="175"/>
      <c r="F176" s="175"/>
      <c r="G176" s="175"/>
      <c r="H176" s="175"/>
      <c r="I176" s="175"/>
      <c r="J176" s="175"/>
      <c r="K176" s="175"/>
      <c r="L176" s="171" t="str">
        <f t="array" ref="L176">IFERROR(XLOOKUP($C176,HNCxTIPO!$D:$D,HNCxTIPO!E:E),"")</f>
        <v/>
      </c>
      <c r="M176" s="171" t="str">
        <f t="array" ref="M176">IFERROR(XLOOKUP($C176,HNCxTIPO!$D:$D,HNCxTIPO!F:F),"")</f>
        <v/>
      </c>
      <c r="N176" s="171" t="str">
        <f t="array" ref="N176">IFERROR(XLOOKUP($C176,HNCxTIPO!$D:$D,HNCxTIPO!G:G),"")</f>
        <v/>
      </c>
      <c r="O176" s="172" t="str">
        <f t="shared" si="3"/>
        <v/>
      </c>
      <c r="P176" s="172" t="str">
        <f t="shared" si="4"/>
        <v/>
      </c>
      <c r="Q176" s="172" t="str">
        <f t="shared" ref="Q176:R176" si="175">IF(I176="","",$J176*O176)</f>
        <v/>
      </c>
      <c r="R176" s="172" t="str">
        <f t="shared" si="175"/>
        <v/>
      </c>
      <c r="S176" s="176" t="str">
        <f t="shared" si="7"/>
        <v/>
      </c>
      <c r="T176" s="176" t="str">
        <f t="shared" si="8"/>
        <v/>
      </c>
      <c r="U176" s="175"/>
    </row>
    <row r="177" ht="24.75" customHeight="1">
      <c r="A177" s="170"/>
      <c r="B177" s="170"/>
      <c r="C177" s="170"/>
      <c r="D177" s="170"/>
      <c r="E177" s="170"/>
      <c r="F177" s="170"/>
      <c r="G177" s="170"/>
      <c r="H177" s="170"/>
      <c r="I177" s="170"/>
      <c r="J177" s="170"/>
      <c r="K177" s="170"/>
      <c r="L177" s="171" t="str">
        <f t="array" ref="L177">IFERROR(XLOOKUP($C177,HNCxTIPO!$D:$D,HNCxTIPO!E:E),"")</f>
        <v/>
      </c>
      <c r="M177" s="171" t="str">
        <f t="array" ref="M177">IFERROR(XLOOKUP($C177,HNCxTIPO!$D:$D,HNCxTIPO!F:F),"")</f>
        <v/>
      </c>
      <c r="N177" s="171" t="str">
        <f t="array" ref="N177">IFERROR(XLOOKUP($C177,HNCxTIPO!$D:$D,HNCxTIPO!G:G),"")</f>
        <v/>
      </c>
      <c r="O177" s="172" t="str">
        <f t="shared" si="3"/>
        <v/>
      </c>
      <c r="P177" s="172" t="str">
        <f t="shared" si="4"/>
        <v/>
      </c>
      <c r="Q177" s="172" t="str">
        <f t="shared" ref="Q177:R177" si="176">IF(I177="","",$J177*O177)</f>
        <v/>
      </c>
      <c r="R177" s="172" t="str">
        <f t="shared" si="176"/>
        <v/>
      </c>
      <c r="S177" s="173" t="str">
        <f t="shared" si="7"/>
        <v/>
      </c>
      <c r="T177" s="173" t="str">
        <f t="shared" si="8"/>
        <v/>
      </c>
      <c r="U177" s="170"/>
    </row>
    <row r="178" ht="24.75" customHeight="1">
      <c r="A178" s="175"/>
      <c r="B178" s="175"/>
      <c r="C178" s="175"/>
      <c r="D178" s="175"/>
      <c r="E178" s="175"/>
      <c r="F178" s="175"/>
      <c r="G178" s="175"/>
      <c r="H178" s="175"/>
      <c r="I178" s="175"/>
      <c r="J178" s="175"/>
      <c r="K178" s="175"/>
      <c r="L178" s="171" t="str">
        <f t="array" ref="L178">IFERROR(XLOOKUP($C178,HNCxTIPO!$D:$D,HNCxTIPO!E:E),"")</f>
        <v/>
      </c>
      <c r="M178" s="171" t="str">
        <f t="array" ref="M178">IFERROR(XLOOKUP($C178,HNCxTIPO!$D:$D,HNCxTIPO!F:F),"")</f>
        <v/>
      </c>
      <c r="N178" s="171" t="str">
        <f t="array" ref="N178">IFERROR(XLOOKUP($C178,HNCxTIPO!$D:$D,HNCxTIPO!G:G),"")</f>
        <v/>
      </c>
      <c r="O178" s="172" t="str">
        <f t="shared" si="3"/>
        <v/>
      </c>
      <c r="P178" s="172" t="str">
        <f t="shared" si="4"/>
        <v/>
      </c>
      <c r="Q178" s="172" t="str">
        <f t="shared" ref="Q178:R178" si="177">IF(I178="","",$J178*O178)</f>
        <v/>
      </c>
      <c r="R178" s="172" t="str">
        <f t="shared" si="177"/>
        <v/>
      </c>
      <c r="S178" s="176" t="str">
        <f t="shared" si="7"/>
        <v/>
      </c>
      <c r="T178" s="176" t="str">
        <f t="shared" si="8"/>
        <v/>
      </c>
      <c r="U178" s="175"/>
    </row>
    <row r="179" ht="24.75" customHeight="1">
      <c r="A179" s="170"/>
      <c r="B179" s="170"/>
      <c r="C179" s="170"/>
      <c r="D179" s="170"/>
      <c r="E179" s="170"/>
      <c r="F179" s="170"/>
      <c r="G179" s="170"/>
      <c r="H179" s="170"/>
      <c r="I179" s="170"/>
      <c r="J179" s="170"/>
      <c r="K179" s="170"/>
      <c r="L179" s="171" t="str">
        <f t="array" ref="L179">IFERROR(XLOOKUP($C179,HNCxTIPO!$D:$D,HNCxTIPO!E:E),"")</f>
        <v/>
      </c>
      <c r="M179" s="171" t="str">
        <f t="array" ref="M179">IFERROR(XLOOKUP($C179,HNCxTIPO!$D:$D,HNCxTIPO!F:F),"")</f>
        <v/>
      </c>
      <c r="N179" s="171" t="str">
        <f t="array" ref="N179">IFERROR(XLOOKUP($C179,HNCxTIPO!$D:$D,HNCxTIPO!G:G),"")</f>
        <v/>
      </c>
      <c r="O179" s="172" t="str">
        <f t="shared" si="3"/>
        <v/>
      </c>
      <c r="P179" s="172" t="str">
        <f t="shared" si="4"/>
        <v/>
      </c>
      <c r="Q179" s="172" t="str">
        <f t="shared" ref="Q179:R179" si="178">IF(I179="","",$J179*O179)</f>
        <v/>
      </c>
      <c r="R179" s="172" t="str">
        <f t="shared" si="178"/>
        <v/>
      </c>
      <c r="S179" s="173" t="str">
        <f t="shared" si="7"/>
        <v/>
      </c>
      <c r="T179" s="173" t="str">
        <f t="shared" si="8"/>
        <v/>
      </c>
      <c r="U179" s="170"/>
    </row>
    <row r="180" ht="24.75" customHeight="1">
      <c r="A180" s="175"/>
      <c r="B180" s="175"/>
      <c r="C180" s="175"/>
      <c r="D180" s="175"/>
      <c r="E180" s="175"/>
      <c r="F180" s="175"/>
      <c r="G180" s="175"/>
      <c r="H180" s="175"/>
      <c r="I180" s="175"/>
      <c r="J180" s="175"/>
      <c r="K180" s="175"/>
      <c r="L180" s="171" t="str">
        <f t="array" ref="L180">IFERROR(XLOOKUP($C180,HNCxTIPO!$D:$D,HNCxTIPO!E:E),"")</f>
        <v/>
      </c>
      <c r="M180" s="171" t="str">
        <f t="array" ref="M180">IFERROR(XLOOKUP($C180,HNCxTIPO!$D:$D,HNCxTIPO!F:F),"")</f>
        <v/>
      </c>
      <c r="N180" s="171" t="str">
        <f t="array" ref="N180">IFERROR(XLOOKUP($C180,HNCxTIPO!$D:$D,HNCxTIPO!G:G),"")</f>
        <v/>
      </c>
      <c r="O180" s="172" t="str">
        <f t="shared" si="3"/>
        <v/>
      </c>
      <c r="P180" s="172" t="str">
        <f t="shared" si="4"/>
        <v/>
      </c>
      <c r="Q180" s="172" t="str">
        <f t="shared" ref="Q180:R180" si="179">IF(I180="","",$J180*O180)</f>
        <v/>
      </c>
      <c r="R180" s="172" t="str">
        <f t="shared" si="179"/>
        <v/>
      </c>
      <c r="S180" s="176" t="str">
        <f t="shared" si="7"/>
        <v/>
      </c>
      <c r="T180" s="176" t="str">
        <f t="shared" si="8"/>
        <v/>
      </c>
      <c r="U180" s="175"/>
    </row>
    <row r="181" ht="24.75" customHeight="1">
      <c r="A181" s="170"/>
      <c r="B181" s="170"/>
      <c r="C181" s="170"/>
      <c r="D181" s="170"/>
      <c r="E181" s="170"/>
      <c r="F181" s="170"/>
      <c r="G181" s="170"/>
      <c r="H181" s="170"/>
      <c r="I181" s="170"/>
      <c r="J181" s="170"/>
      <c r="K181" s="170"/>
      <c r="L181" s="171" t="str">
        <f t="array" ref="L181">IFERROR(XLOOKUP($C181,HNCxTIPO!$D:$D,HNCxTIPO!E:E),"")</f>
        <v/>
      </c>
      <c r="M181" s="171" t="str">
        <f t="array" ref="M181">IFERROR(XLOOKUP($C181,HNCxTIPO!$D:$D,HNCxTIPO!F:F),"")</f>
        <v/>
      </c>
      <c r="N181" s="171" t="str">
        <f t="array" ref="N181">IFERROR(XLOOKUP($C181,HNCxTIPO!$D:$D,HNCxTIPO!G:G),"")</f>
        <v/>
      </c>
      <c r="O181" s="172" t="str">
        <f t="shared" si="3"/>
        <v/>
      </c>
      <c r="P181" s="172" t="str">
        <f t="shared" si="4"/>
        <v/>
      </c>
      <c r="Q181" s="172" t="str">
        <f t="shared" ref="Q181:R181" si="180">IF(I181="","",$J181*O181)</f>
        <v/>
      </c>
      <c r="R181" s="172" t="str">
        <f t="shared" si="180"/>
        <v/>
      </c>
      <c r="S181" s="173" t="str">
        <f t="shared" si="7"/>
        <v/>
      </c>
      <c r="T181" s="173" t="str">
        <f t="shared" si="8"/>
        <v/>
      </c>
      <c r="U181" s="170"/>
    </row>
    <row r="182" ht="24.75" customHeight="1">
      <c r="A182" s="175"/>
      <c r="B182" s="175"/>
      <c r="C182" s="175"/>
      <c r="D182" s="175"/>
      <c r="E182" s="175"/>
      <c r="F182" s="175"/>
      <c r="G182" s="175"/>
      <c r="H182" s="175"/>
      <c r="I182" s="175"/>
      <c r="J182" s="175"/>
      <c r="K182" s="175"/>
      <c r="L182" s="171" t="str">
        <f t="array" ref="L182">IFERROR(XLOOKUP($C182,HNCxTIPO!$D:$D,HNCxTIPO!E:E),"")</f>
        <v/>
      </c>
      <c r="M182" s="171" t="str">
        <f t="array" ref="M182">IFERROR(XLOOKUP($C182,HNCxTIPO!$D:$D,HNCxTIPO!F:F),"")</f>
        <v/>
      </c>
      <c r="N182" s="171" t="str">
        <f t="array" ref="N182">IFERROR(XLOOKUP($C182,HNCxTIPO!$D:$D,HNCxTIPO!G:G),"")</f>
        <v/>
      </c>
      <c r="O182" s="172" t="str">
        <f t="shared" si="3"/>
        <v/>
      </c>
      <c r="P182" s="172" t="str">
        <f t="shared" si="4"/>
        <v/>
      </c>
      <c r="Q182" s="172" t="str">
        <f t="shared" ref="Q182:R182" si="181">IF(I182="","",$J182*O182)</f>
        <v/>
      </c>
      <c r="R182" s="172" t="str">
        <f t="shared" si="181"/>
        <v/>
      </c>
      <c r="S182" s="176" t="str">
        <f t="shared" si="7"/>
        <v/>
      </c>
      <c r="T182" s="176" t="str">
        <f t="shared" si="8"/>
        <v/>
      </c>
      <c r="U182" s="175"/>
    </row>
    <row r="183" ht="24.75" customHeight="1">
      <c r="A183" s="170"/>
      <c r="B183" s="170"/>
      <c r="C183" s="170"/>
      <c r="D183" s="170"/>
      <c r="E183" s="170"/>
      <c r="F183" s="170"/>
      <c r="G183" s="170"/>
      <c r="H183" s="170"/>
      <c r="I183" s="170"/>
      <c r="J183" s="170"/>
      <c r="K183" s="170"/>
      <c r="L183" s="171" t="str">
        <f t="array" ref="L183">IFERROR(XLOOKUP($C183,HNCxTIPO!$D:$D,HNCxTIPO!E:E),"")</f>
        <v/>
      </c>
      <c r="M183" s="171" t="str">
        <f t="array" ref="M183">IFERROR(XLOOKUP($C183,HNCxTIPO!$D:$D,HNCxTIPO!F:F),"")</f>
        <v/>
      </c>
      <c r="N183" s="171" t="str">
        <f t="array" ref="N183">IFERROR(XLOOKUP($C183,HNCxTIPO!$D:$D,HNCxTIPO!G:G),"")</f>
        <v/>
      </c>
      <c r="O183" s="172" t="str">
        <f t="shared" si="3"/>
        <v/>
      </c>
      <c r="P183" s="172" t="str">
        <f t="shared" si="4"/>
        <v/>
      </c>
      <c r="Q183" s="172" t="str">
        <f t="shared" ref="Q183:R183" si="182">IF(I183="","",$J183*O183)</f>
        <v/>
      </c>
      <c r="R183" s="172" t="str">
        <f t="shared" si="182"/>
        <v/>
      </c>
      <c r="S183" s="173" t="str">
        <f t="shared" si="7"/>
        <v/>
      </c>
      <c r="T183" s="173" t="str">
        <f t="shared" si="8"/>
        <v/>
      </c>
      <c r="U183" s="170"/>
    </row>
    <row r="184" ht="24.75" customHeight="1">
      <c r="A184" s="175"/>
      <c r="B184" s="175"/>
      <c r="C184" s="175"/>
      <c r="D184" s="175"/>
      <c r="E184" s="175"/>
      <c r="F184" s="175"/>
      <c r="G184" s="175"/>
      <c r="H184" s="175"/>
      <c r="I184" s="175"/>
      <c r="J184" s="175"/>
      <c r="K184" s="175"/>
      <c r="L184" s="171" t="str">
        <f t="array" ref="L184">IFERROR(XLOOKUP($C184,HNCxTIPO!$D:$D,HNCxTIPO!E:E),"")</f>
        <v/>
      </c>
      <c r="M184" s="171" t="str">
        <f t="array" ref="M184">IFERROR(XLOOKUP($C184,HNCxTIPO!$D:$D,HNCxTIPO!F:F),"")</f>
        <v/>
      </c>
      <c r="N184" s="171" t="str">
        <f t="array" ref="N184">IFERROR(XLOOKUP($C184,HNCxTIPO!$D:$D,HNCxTIPO!G:G),"")</f>
        <v/>
      </c>
      <c r="O184" s="172" t="str">
        <f t="shared" si="3"/>
        <v/>
      </c>
      <c r="P184" s="172" t="str">
        <f t="shared" si="4"/>
        <v/>
      </c>
      <c r="Q184" s="172" t="str">
        <f t="shared" ref="Q184:R184" si="183">IF(I184="","",$J184*O184)</f>
        <v/>
      </c>
      <c r="R184" s="172" t="str">
        <f t="shared" si="183"/>
        <v/>
      </c>
      <c r="S184" s="176" t="str">
        <f t="shared" si="7"/>
        <v/>
      </c>
      <c r="T184" s="176" t="str">
        <f t="shared" si="8"/>
        <v/>
      </c>
      <c r="U184" s="175"/>
    </row>
    <row r="185" ht="24.75" customHeight="1">
      <c r="A185" s="170"/>
      <c r="B185" s="170"/>
      <c r="C185" s="170"/>
      <c r="D185" s="170"/>
      <c r="E185" s="170"/>
      <c r="F185" s="170"/>
      <c r="G185" s="170"/>
      <c r="H185" s="170"/>
      <c r="I185" s="170"/>
      <c r="J185" s="170"/>
      <c r="K185" s="170"/>
      <c r="L185" s="171" t="str">
        <f t="array" ref="L185">IFERROR(XLOOKUP($C185,HNCxTIPO!$D:$D,HNCxTIPO!E:E),"")</f>
        <v/>
      </c>
      <c r="M185" s="171" t="str">
        <f t="array" ref="M185">IFERROR(XLOOKUP($C185,HNCxTIPO!$D:$D,HNCxTIPO!F:F),"")</f>
        <v/>
      </c>
      <c r="N185" s="171" t="str">
        <f t="array" ref="N185">IFERROR(XLOOKUP($C185,HNCxTIPO!$D:$D,HNCxTIPO!G:G),"")</f>
        <v/>
      </c>
      <c r="O185" s="172" t="str">
        <f t="shared" si="3"/>
        <v/>
      </c>
      <c r="P185" s="172" t="str">
        <f t="shared" si="4"/>
        <v/>
      </c>
      <c r="Q185" s="172" t="str">
        <f t="shared" ref="Q185:R185" si="184">IF(I185="","",$J185*O185)</f>
        <v/>
      </c>
      <c r="R185" s="172" t="str">
        <f t="shared" si="184"/>
        <v/>
      </c>
      <c r="S185" s="173" t="str">
        <f t="shared" si="7"/>
        <v/>
      </c>
      <c r="T185" s="173" t="str">
        <f t="shared" si="8"/>
        <v/>
      </c>
      <c r="U185" s="170"/>
    </row>
    <row r="186" ht="24.75" customHeight="1">
      <c r="A186" s="175"/>
      <c r="B186" s="175"/>
      <c r="C186" s="175"/>
      <c r="D186" s="175"/>
      <c r="E186" s="175"/>
      <c r="F186" s="175"/>
      <c r="G186" s="175"/>
      <c r="H186" s="175"/>
      <c r="I186" s="175"/>
      <c r="J186" s="175"/>
      <c r="K186" s="175"/>
      <c r="L186" s="171" t="str">
        <f t="array" ref="L186">IFERROR(XLOOKUP($C186,HNCxTIPO!$D:$D,HNCxTIPO!E:E),"")</f>
        <v/>
      </c>
      <c r="M186" s="171" t="str">
        <f t="array" ref="M186">IFERROR(XLOOKUP($C186,HNCxTIPO!$D:$D,HNCxTIPO!F:F),"")</f>
        <v/>
      </c>
      <c r="N186" s="171" t="str">
        <f t="array" ref="N186">IFERROR(XLOOKUP($C186,HNCxTIPO!$D:$D,HNCxTIPO!G:G),"")</f>
        <v/>
      </c>
      <c r="O186" s="172" t="str">
        <f t="shared" si="3"/>
        <v/>
      </c>
      <c r="P186" s="172" t="str">
        <f t="shared" si="4"/>
        <v/>
      </c>
      <c r="Q186" s="172" t="str">
        <f t="shared" ref="Q186:R186" si="185">IF(I186="","",$J186*O186)</f>
        <v/>
      </c>
      <c r="R186" s="172" t="str">
        <f t="shared" si="185"/>
        <v/>
      </c>
      <c r="S186" s="176" t="str">
        <f t="shared" si="7"/>
        <v/>
      </c>
      <c r="T186" s="176" t="str">
        <f t="shared" si="8"/>
        <v/>
      </c>
      <c r="U186" s="175"/>
    </row>
    <row r="187" ht="24.75" customHeight="1">
      <c r="A187" s="170"/>
      <c r="B187" s="170"/>
      <c r="C187" s="170"/>
      <c r="D187" s="170"/>
      <c r="E187" s="170"/>
      <c r="F187" s="170"/>
      <c r="G187" s="170"/>
      <c r="H187" s="170"/>
      <c r="I187" s="170"/>
      <c r="J187" s="170"/>
      <c r="K187" s="170"/>
      <c r="L187" s="171" t="str">
        <f t="array" ref="L187">IFERROR(XLOOKUP($C187,HNCxTIPO!$D:$D,HNCxTIPO!E:E),"")</f>
        <v/>
      </c>
      <c r="M187" s="171" t="str">
        <f t="array" ref="M187">IFERROR(XLOOKUP($C187,HNCxTIPO!$D:$D,HNCxTIPO!F:F),"")</f>
        <v/>
      </c>
      <c r="N187" s="171" t="str">
        <f t="array" ref="N187">IFERROR(XLOOKUP($C187,HNCxTIPO!$D:$D,HNCxTIPO!G:G),"")</f>
        <v/>
      </c>
      <c r="O187" s="172" t="str">
        <f t="shared" si="3"/>
        <v/>
      </c>
      <c r="P187" s="172" t="str">
        <f t="shared" si="4"/>
        <v/>
      </c>
      <c r="Q187" s="172" t="str">
        <f t="shared" ref="Q187:R187" si="186">IF(I187="","",$J187*O187)</f>
        <v/>
      </c>
      <c r="R187" s="172" t="str">
        <f t="shared" si="186"/>
        <v/>
      </c>
      <c r="S187" s="173" t="str">
        <f t="shared" si="7"/>
        <v/>
      </c>
      <c r="T187" s="173" t="str">
        <f t="shared" si="8"/>
        <v/>
      </c>
      <c r="U187" s="170"/>
    </row>
    <row r="188" ht="24.75" customHeight="1">
      <c r="A188" s="175"/>
      <c r="B188" s="175"/>
      <c r="C188" s="175"/>
      <c r="D188" s="175"/>
      <c r="E188" s="175"/>
      <c r="F188" s="175"/>
      <c r="G188" s="175"/>
      <c r="H188" s="175"/>
      <c r="I188" s="175"/>
      <c r="J188" s="175"/>
      <c r="K188" s="175"/>
      <c r="L188" s="171" t="str">
        <f t="array" ref="L188">IFERROR(XLOOKUP($C188,HNCxTIPO!$D:$D,HNCxTIPO!E:E),"")</f>
        <v/>
      </c>
      <c r="M188" s="171" t="str">
        <f t="array" ref="M188">IFERROR(XLOOKUP($C188,HNCxTIPO!$D:$D,HNCxTIPO!F:F),"")</f>
        <v/>
      </c>
      <c r="N188" s="171" t="str">
        <f t="array" ref="N188">IFERROR(XLOOKUP($C188,HNCxTIPO!$D:$D,HNCxTIPO!G:G),"")</f>
        <v/>
      </c>
      <c r="O188" s="172" t="str">
        <f t="shared" si="3"/>
        <v/>
      </c>
      <c r="P188" s="172" t="str">
        <f t="shared" si="4"/>
        <v/>
      </c>
      <c r="Q188" s="172" t="str">
        <f t="shared" ref="Q188:R188" si="187">IF(I188="","",$J188*O188)</f>
        <v/>
      </c>
      <c r="R188" s="172" t="str">
        <f t="shared" si="187"/>
        <v/>
      </c>
      <c r="S188" s="176" t="str">
        <f t="shared" si="7"/>
        <v/>
      </c>
      <c r="T188" s="176" t="str">
        <f t="shared" si="8"/>
        <v/>
      </c>
      <c r="U188" s="175"/>
    </row>
    <row r="189" ht="24.75" customHeight="1">
      <c r="A189" s="170"/>
      <c r="B189" s="170"/>
      <c r="C189" s="170"/>
      <c r="D189" s="170"/>
      <c r="E189" s="170"/>
      <c r="F189" s="170"/>
      <c r="G189" s="170"/>
      <c r="H189" s="170"/>
      <c r="I189" s="170"/>
      <c r="J189" s="170"/>
      <c r="K189" s="170"/>
      <c r="L189" s="171" t="str">
        <f t="array" ref="L189">IFERROR(XLOOKUP($C189,HNCxTIPO!$D:$D,HNCxTIPO!E:E),"")</f>
        <v/>
      </c>
      <c r="M189" s="171" t="str">
        <f t="array" ref="M189">IFERROR(XLOOKUP($C189,HNCxTIPO!$D:$D,HNCxTIPO!F:F),"")</f>
        <v/>
      </c>
      <c r="N189" s="171" t="str">
        <f t="array" ref="N189">IFERROR(XLOOKUP($C189,HNCxTIPO!$D:$D,HNCxTIPO!G:G),"")</f>
        <v/>
      </c>
      <c r="O189" s="172" t="str">
        <f t="shared" si="3"/>
        <v/>
      </c>
      <c r="P189" s="172" t="str">
        <f t="shared" si="4"/>
        <v/>
      </c>
      <c r="Q189" s="172" t="str">
        <f t="shared" ref="Q189:R189" si="188">IF(I189="","",$J189*O189)</f>
        <v/>
      </c>
      <c r="R189" s="172" t="str">
        <f t="shared" si="188"/>
        <v/>
      </c>
      <c r="S189" s="173" t="str">
        <f t="shared" si="7"/>
        <v/>
      </c>
      <c r="T189" s="173" t="str">
        <f t="shared" si="8"/>
        <v/>
      </c>
      <c r="U189" s="170"/>
    </row>
    <row r="190" ht="24.75" customHeight="1">
      <c r="A190" s="175"/>
      <c r="B190" s="175"/>
      <c r="C190" s="175"/>
      <c r="D190" s="175"/>
      <c r="E190" s="175"/>
      <c r="F190" s="175"/>
      <c r="G190" s="175"/>
      <c r="H190" s="175"/>
      <c r="I190" s="175"/>
      <c r="J190" s="175"/>
      <c r="K190" s="175"/>
      <c r="L190" s="171" t="str">
        <f t="array" ref="L190">IFERROR(XLOOKUP($C190,HNCxTIPO!$D:$D,HNCxTIPO!E:E),"")</f>
        <v/>
      </c>
      <c r="M190" s="171" t="str">
        <f t="array" ref="M190">IFERROR(XLOOKUP($C190,HNCxTIPO!$D:$D,HNCxTIPO!F:F),"")</f>
        <v/>
      </c>
      <c r="N190" s="171" t="str">
        <f t="array" ref="N190">IFERROR(XLOOKUP($C190,HNCxTIPO!$D:$D,HNCxTIPO!G:G),"")</f>
        <v/>
      </c>
      <c r="O190" s="172" t="str">
        <f t="shared" si="3"/>
        <v/>
      </c>
      <c r="P190" s="172" t="str">
        <f t="shared" si="4"/>
        <v/>
      </c>
      <c r="Q190" s="172" t="str">
        <f t="shared" ref="Q190:R190" si="189">IF(I190="","",$J190*O190)</f>
        <v/>
      </c>
      <c r="R190" s="172" t="str">
        <f t="shared" si="189"/>
        <v/>
      </c>
      <c r="S190" s="176" t="str">
        <f t="shared" si="7"/>
        <v/>
      </c>
      <c r="T190" s="176" t="str">
        <f t="shared" si="8"/>
        <v/>
      </c>
      <c r="U190" s="175"/>
    </row>
    <row r="191" ht="24.75" customHeight="1">
      <c r="A191" s="170"/>
      <c r="B191" s="170"/>
      <c r="C191" s="170"/>
      <c r="D191" s="170"/>
      <c r="E191" s="170"/>
      <c r="F191" s="170"/>
      <c r="G191" s="170"/>
      <c r="H191" s="170"/>
      <c r="I191" s="170"/>
      <c r="J191" s="170"/>
      <c r="K191" s="170"/>
      <c r="L191" s="171" t="str">
        <f t="array" ref="L191">IFERROR(XLOOKUP($C191,HNCxTIPO!$D:$D,HNCxTIPO!E:E),"")</f>
        <v/>
      </c>
      <c r="M191" s="171" t="str">
        <f t="array" ref="M191">IFERROR(XLOOKUP($C191,HNCxTIPO!$D:$D,HNCxTIPO!F:F),"")</f>
        <v/>
      </c>
      <c r="N191" s="171" t="str">
        <f t="array" ref="N191">IFERROR(XLOOKUP($C191,HNCxTIPO!$D:$D,HNCxTIPO!G:G),"")</f>
        <v/>
      </c>
      <c r="O191" s="172" t="str">
        <f t="shared" si="3"/>
        <v/>
      </c>
      <c r="P191" s="172" t="str">
        <f t="shared" si="4"/>
        <v/>
      </c>
      <c r="Q191" s="172" t="str">
        <f t="shared" ref="Q191:R191" si="190">IF(I191="","",$J191*O191)</f>
        <v/>
      </c>
      <c r="R191" s="172" t="str">
        <f t="shared" si="190"/>
        <v/>
      </c>
      <c r="S191" s="173" t="str">
        <f t="shared" si="7"/>
        <v/>
      </c>
      <c r="T191" s="173" t="str">
        <f t="shared" si="8"/>
        <v/>
      </c>
      <c r="U191" s="170"/>
    </row>
    <row r="192" ht="24.75" customHeight="1">
      <c r="A192" s="175"/>
      <c r="B192" s="175"/>
      <c r="C192" s="175"/>
      <c r="D192" s="175"/>
      <c r="E192" s="175"/>
      <c r="F192" s="175"/>
      <c r="G192" s="175"/>
      <c r="H192" s="175"/>
      <c r="I192" s="175"/>
      <c r="J192" s="175"/>
      <c r="K192" s="175"/>
      <c r="L192" s="171" t="str">
        <f t="array" ref="L192">IFERROR(XLOOKUP($C192,HNCxTIPO!$D:$D,HNCxTIPO!E:E),"")</f>
        <v/>
      </c>
      <c r="M192" s="171" t="str">
        <f t="array" ref="M192">IFERROR(XLOOKUP($C192,HNCxTIPO!$D:$D,HNCxTIPO!F:F),"")</f>
        <v/>
      </c>
      <c r="N192" s="171" t="str">
        <f t="array" ref="N192">IFERROR(XLOOKUP($C192,HNCxTIPO!$D:$D,HNCxTIPO!G:G),"")</f>
        <v/>
      </c>
      <c r="O192" s="172" t="str">
        <f t="shared" si="3"/>
        <v/>
      </c>
      <c r="P192" s="172" t="str">
        <f t="shared" si="4"/>
        <v/>
      </c>
      <c r="Q192" s="172" t="str">
        <f t="shared" ref="Q192:R192" si="191">IF(I192="","",$J192*O192)</f>
        <v/>
      </c>
      <c r="R192" s="172" t="str">
        <f t="shared" si="191"/>
        <v/>
      </c>
      <c r="S192" s="176" t="str">
        <f t="shared" si="7"/>
        <v/>
      </c>
      <c r="T192" s="176" t="str">
        <f t="shared" si="8"/>
        <v/>
      </c>
      <c r="U192" s="175"/>
    </row>
    <row r="193" ht="24.75" customHeight="1">
      <c r="A193" s="170"/>
      <c r="B193" s="170"/>
      <c r="C193" s="170"/>
      <c r="D193" s="170"/>
      <c r="E193" s="170"/>
      <c r="F193" s="170"/>
      <c r="G193" s="170"/>
      <c r="H193" s="170"/>
      <c r="I193" s="170"/>
      <c r="J193" s="170"/>
      <c r="K193" s="170"/>
      <c r="L193" s="171" t="str">
        <f t="array" ref="L193">IFERROR(XLOOKUP($C193,HNCxTIPO!$D:$D,HNCxTIPO!E:E),"")</f>
        <v/>
      </c>
      <c r="M193" s="171" t="str">
        <f t="array" ref="M193">IFERROR(XLOOKUP($C193,HNCxTIPO!$D:$D,HNCxTIPO!F:F),"")</f>
        <v/>
      </c>
      <c r="N193" s="171" t="str">
        <f t="array" ref="N193">IFERROR(XLOOKUP($C193,HNCxTIPO!$D:$D,HNCxTIPO!G:G),"")</f>
        <v/>
      </c>
      <c r="O193" s="172" t="str">
        <f t="shared" si="3"/>
        <v/>
      </c>
      <c r="P193" s="172" t="str">
        <f t="shared" si="4"/>
        <v/>
      </c>
      <c r="Q193" s="172" t="str">
        <f t="shared" ref="Q193:R193" si="192">IF(I193="","",$J193*O193)</f>
        <v/>
      </c>
      <c r="R193" s="172" t="str">
        <f t="shared" si="192"/>
        <v/>
      </c>
      <c r="S193" s="173" t="str">
        <f t="shared" si="7"/>
        <v/>
      </c>
      <c r="T193" s="173" t="str">
        <f t="shared" si="8"/>
        <v/>
      </c>
      <c r="U193" s="170"/>
    </row>
    <row r="194" ht="24.75" customHeight="1">
      <c r="A194" s="175"/>
      <c r="B194" s="175"/>
      <c r="C194" s="175"/>
      <c r="D194" s="175"/>
      <c r="E194" s="175"/>
      <c r="F194" s="175"/>
      <c r="G194" s="175"/>
      <c r="H194" s="175"/>
      <c r="I194" s="175"/>
      <c r="J194" s="175"/>
      <c r="K194" s="175"/>
      <c r="L194" s="171" t="str">
        <f t="array" ref="L194">IFERROR(XLOOKUP($C194,HNCxTIPO!$D:$D,HNCxTIPO!E:E),"")</f>
        <v/>
      </c>
      <c r="M194" s="171" t="str">
        <f t="array" ref="M194">IFERROR(XLOOKUP($C194,HNCxTIPO!$D:$D,HNCxTIPO!F:F),"")</f>
        <v/>
      </c>
      <c r="N194" s="171" t="str">
        <f t="array" ref="N194">IFERROR(XLOOKUP($C194,HNCxTIPO!$D:$D,HNCxTIPO!G:G),"")</f>
        <v/>
      </c>
      <c r="O194" s="172" t="str">
        <f t="shared" si="3"/>
        <v/>
      </c>
      <c r="P194" s="172" t="str">
        <f t="shared" si="4"/>
        <v/>
      </c>
      <c r="Q194" s="172" t="str">
        <f t="shared" ref="Q194:R194" si="193">IF(I194="","",$J194*O194)</f>
        <v/>
      </c>
      <c r="R194" s="172" t="str">
        <f t="shared" si="193"/>
        <v/>
      </c>
      <c r="S194" s="176" t="str">
        <f t="shared" si="7"/>
        <v/>
      </c>
      <c r="T194" s="176" t="str">
        <f t="shared" si="8"/>
        <v/>
      </c>
      <c r="U194" s="175"/>
    </row>
    <row r="195" ht="24.75" customHeight="1">
      <c r="A195" s="170"/>
      <c r="B195" s="170"/>
      <c r="C195" s="170"/>
      <c r="D195" s="170"/>
      <c r="E195" s="170"/>
      <c r="F195" s="170"/>
      <c r="G195" s="170"/>
      <c r="H195" s="170"/>
      <c r="I195" s="170"/>
      <c r="J195" s="170"/>
      <c r="K195" s="170"/>
      <c r="L195" s="171" t="str">
        <f t="array" ref="L195">IFERROR(XLOOKUP($C195,HNCxTIPO!$D:$D,HNCxTIPO!E:E),"")</f>
        <v/>
      </c>
      <c r="M195" s="171" t="str">
        <f t="array" ref="M195">IFERROR(XLOOKUP($C195,HNCxTIPO!$D:$D,HNCxTIPO!F:F),"")</f>
        <v/>
      </c>
      <c r="N195" s="171" t="str">
        <f t="array" ref="N195">IFERROR(XLOOKUP($C195,HNCxTIPO!$D:$D,HNCxTIPO!G:G),"")</f>
        <v/>
      </c>
      <c r="O195" s="172" t="str">
        <f t="shared" si="3"/>
        <v/>
      </c>
      <c r="P195" s="172" t="str">
        <f t="shared" si="4"/>
        <v/>
      </c>
      <c r="Q195" s="172" t="str">
        <f t="shared" ref="Q195:R195" si="194">IF(I195="","",$J195*O195)</f>
        <v/>
      </c>
      <c r="R195" s="172" t="str">
        <f t="shared" si="194"/>
        <v/>
      </c>
      <c r="S195" s="173" t="str">
        <f t="shared" si="7"/>
        <v/>
      </c>
      <c r="T195" s="173" t="str">
        <f t="shared" si="8"/>
        <v/>
      </c>
      <c r="U195" s="170"/>
    </row>
    <row r="196" ht="24.75" customHeight="1">
      <c r="A196" s="175"/>
      <c r="B196" s="175"/>
      <c r="C196" s="175"/>
      <c r="D196" s="175"/>
      <c r="E196" s="175"/>
      <c r="F196" s="175"/>
      <c r="G196" s="175"/>
      <c r="H196" s="175"/>
      <c r="I196" s="175"/>
      <c r="J196" s="175"/>
      <c r="K196" s="175"/>
      <c r="L196" s="171" t="str">
        <f t="array" ref="L196">IFERROR(XLOOKUP($C196,HNCxTIPO!$D:$D,HNCxTIPO!E:E),"")</f>
        <v/>
      </c>
      <c r="M196" s="171" t="str">
        <f t="array" ref="M196">IFERROR(XLOOKUP($C196,HNCxTIPO!$D:$D,HNCxTIPO!F:F),"")</f>
        <v/>
      </c>
      <c r="N196" s="171" t="str">
        <f t="array" ref="N196">IFERROR(XLOOKUP($C196,HNCxTIPO!$D:$D,HNCxTIPO!G:G),"")</f>
        <v/>
      </c>
      <c r="O196" s="172" t="str">
        <f t="shared" si="3"/>
        <v/>
      </c>
      <c r="P196" s="172" t="str">
        <f t="shared" si="4"/>
        <v/>
      </c>
      <c r="Q196" s="172" t="str">
        <f t="shared" ref="Q196:R196" si="195">IF(I196="","",$J196*O196)</f>
        <v/>
      </c>
      <c r="R196" s="172" t="str">
        <f t="shared" si="195"/>
        <v/>
      </c>
      <c r="S196" s="176" t="str">
        <f t="shared" si="7"/>
        <v/>
      </c>
      <c r="T196" s="176" t="str">
        <f t="shared" si="8"/>
        <v/>
      </c>
      <c r="U196" s="175"/>
    </row>
    <row r="197" ht="24.75" customHeight="1">
      <c r="A197" s="170"/>
      <c r="B197" s="170"/>
      <c r="C197" s="170"/>
      <c r="D197" s="170"/>
      <c r="E197" s="170"/>
      <c r="F197" s="170"/>
      <c r="G197" s="170"/>
      <c r="H197" s="170"/>
      <c r="I197" s="170"/>
      <c r="J197" s="170"/>
      <c r="K197" s="170"/>
      <c r="L197" s="171" t="str">
        <f t="array" ref="L197">IFERROR(XLOOKUP($C197,HNCxTIPO!$D:$D,HNCxTIPO!E:E),"")</f>
        <v/>
      </c>
      <c r="M197" s="171" t="str">
        <f t="array" ref="M197">IFERROR(XLOOKUP($C197,HNCxTIPO!$D:$D,HNCxTIPO!F:F),"")</f>
        <v/>
      </c>
      <c r="N197" s="171" t="str">
        <f t="array" ref="N197">IFERROR(XLOOKUP($C197,HNCxTIPO!$D:$D,HNCxTIPO!G:G),"")</f>
        <v/>
      </c>
      <c r="O197" s="172" t="str">
        <f t="shared" si="3"/>
        <v/>
      </c>
      <c r="P197" s="172" t="str">
        <f t="shared" si="4"/>
        <v/>
      </c>
      <c r="Q197" s="172" t="str">
        <f t="shared" ref="Q197:R197" si="196">IF(I197="","",$J197*O197)</f>
        <v/>
      </c>
      <c r="R197" s="172" t="str">
        <f t="shared" si="196"/>
        <v/>
      </c>
      <c r="S197" s="173" t="str">
        <f t="shared" si="7"/>
        <v/>
      </c>
      <c r="T197" s="173" t="str">
        <f t="shared" si="8"/>
        <v/>
      </c>
      <c r="U197" s="170"/>
    </row>
    <row r="198" ht="24.75" customHeight="1">
      <c r="A198" s="175"/>
      <c r="B198" s="175"/>
      <c r="C198" s="175"/>
      <c r="D198" s="175"/>
      <c r="E198" s="175"/>
      <c r="F198" s="175"/>
      <c r="G198" s="175"/>
      <c r="H198" s="175"/>
      <c r="I198" s="175"/>
      <c r="J198" s="175"/>
      <c r="K198" s="175"/>
      <c r="L198" s="171" t="str">
        <f t="array" ref="L198">IFERROR(XLOOKUP($C198,HNCxTIPO!$D:$D,HNCxTIPO!E:E),"")</f>
        <v/>
      </c>
      <c r="M198" s="171" t="str">
        <f t="array" ref="M198">IFERROR(XLOOKUP($C198,HNCxTIPO!$D:$D,HNCxTIPO!F:F),"")</f>
        <v/>
      </c>
      <c r="N198" s="171" t="str">
        <f t="array" ref="N198">IFERROR(XLOOKUP($C198,HNCxTIPO!$D:$D,HNCxTIPO!G:G),"")</f>
        <v/>
      </c>
      <c r="O198" s="172" t="str">
        <f t="shared" si="3"/>
        <v/>
      </c>
      <c r="P198" s="172" t="str">
        <f t="shared" si="4"/>
        <v/>
      </c>
      <c r="Q198" s="172" t="str">
        <f t="shared" ref="Q198:R198" si="197">IF(I198="","",$J198*O198)</f>
        <v/>
      </c>
      <c r="R198" s="172" t="str">
        <f t="shared" si="197"/>
        <v/>
      </c>
      <c r="S198" s="176" t="str">
        <f t="shared" si="7"/>
        <v/>
      </c>
      <c r="T198" s="176" t="str">
        <f t="shared" si="8"/>
        <v/>
      </c>
      <c r="U198" s="175"/>
    </row>
    <row r="199" ht="24.75" customHeight="1">
      <c r="A199" s="170"/>
      <c r="B199" s="170"/>
      <c r="C199" s="170"/>
      <c r="D199" s="170"/>
      <c r="E199" s="170"/>
      <c r="F199" s="170"/>
      <c r="G199" s="170"/>
      <c r="H199" s="170"/>
      <c r="I199" s="170"/>
      <c r="J199" s="170"/>
      <c r="K199" s="170"/>
      <c r="L199" s="171" t="str">
        <f t="array" ref="L199">IFERROR(XLOOKUP($C199,HNCxTIPO!$D:$D,HNCxTIPO!E:E),"")</f>
        <v/>
      </c>
      <c r="M199" s="171" t="str">
        <f t="array" ref="M199">IFERROR(XLOOKUP($C199,HNCxTIPO!$D:$D,HNCxTIPO!F:F),"")</f>
        <v/>
      </c>
      <c r="N199" s="171" t="str">
        <f t="array" ref="N199">IFERROR(XLOOKUP($C199,HNCxTIPO!$D:$D,HNCxTIPO!G:G),"")</f>
        <v/>
      </c>
      <c r="O199" s="172" t="str">
        <f t="shared" si="3"/>
        <v/>
      </c>
      <c r="P199" s="172" t="str">
        <f t="shared" si="4"/>
        <v/>
      </c>
      <c r="Q199" s="172" t="str">
        <f t="shared" ref="Q199:R199" si="198">IF(I199="","",$J199*O199)</f>
        <v/>
      </c>
      <c r="R199" s="172" t="str">
        <f t="shared" si="198"/>
        <v/>
      </c>
      <c r="S199" s="173" t="str">
        <f t="shared" si="7"/>
        <v/>
      </c>
      <c r="T199" s="173" t="str">
        <f t="shared" si="8"/>
        <v/>
      </c>
      <c r="U199" s="170"/>
    </row>
    <row r="200" ht="24.75" customHeight="1">
      <c r="A200" s="175"/>
      <c r="B200" s="175"/>
      <c r="C200" s="175"/>
      <c r="D200" s="175"/>
      <c r="E200" s="175"/>
      <c r="F200" s="175"/>
      <c r="G200" s="175"/>
      <c r="H200" s="175"/>
      <c r="I200" s="175"/>
      <c r="J200" s="175"/>
      <c r="K200" s="175"/>
      <c r="L200" s="171" t="str">
        <f t="array" ref="L200">IFERROR(XLOOKUP($C200,HNCxTIPO!$D:$D,HNCxTIPO!E:E),"")</f>
        <v/>
      </c>
      <c r="M200" s="171" t="str">
        <f t="array" ref="M200">IFERROR(XLOOKUP($C200,HNCxTIPO!$D:$D,HNCxTIPO!F:F),"")</f>
        <v/>
      </c>
      <c r="N200" s="171" t="str">
        <f t="array" ref="N200">IFERROR(XLOOKUP($C200,HNCxTIPO!$D:$D,HNCxTIPO!G:G),"")</f>
        <v/>
      </c>
      <c r="O200" s="172" t="str">
        <f t="shared" si="3"/>
        <v/>
      </c>
      <c r="P200" s="172" t="str">
        <f t="shared" si="4"/>
        <v/>
      </c>
      <c r="Q200" s="172" t="str">
        <f t="shared" ref="Q200:R200" si="199">IF(I200="","",$J200*O200)</f>
        <v/>
      </c>
      <c r="R200" s="172" t="str">
        <f t="shared" si="199"/>
        <v/>
      </c>
      <c r="S200" s="176" t="str">
        <f t="shared" si="7"/>
        <v/>
      </c>
      <c r="T200" s="176" t="str">
        <f t="shared" si="8"/>
        <v/>
      </c>
      <c r="U200" s="175"/>
    </row>
    <row r="201" ht="24.75" customHeight="1">
      <c r="A201" s="170"/>
      <c r="B201" s="170"/>
      <c r="C201" s="170"/>
      <c r="D201" s="170"/>
      <c r="E201" s="170"/>
      <c r="F201" s="170"/>
      <c r="G201" s="170"/>
      <c r="H201" s="170"/>
      <c r="I201" s="170"/>
      <c r="J201" s="170"/>
      <c r="K201" s="170"/>
      <c r="L201" s="171" t="str">
        <f t="array" ref="L201">IFERROR(XLOOKUP($C201,HNCxTIPO!$D:$D,HNCxTIPO!E:E),"")</f>
        <v/>
      </c>
      <c r="M201" s="171" t="str">
        <f t="array" ref="M201">IFERROR(XLOOKUP($C201,HNCxTIPO!$D:$D,HNCxTIPO!F:F),"")</f>
        <v/>
      </c>
      <c r="N201" s="171" t="str">
        <f t="array" ref="N201">IFERROR(XLOOKUP($C201,HNCxTIPO!$D:$D,HNCxTIPO!G:G),"")</f>
        <v/>
      </c>
      <c r="O201" s="172" t="str">
        <f t="shared" si="3"/>
        <v/>
      </c>
      <c r="P201" s="172" t="str">
        <f t="shared" si="4"/>
        <v/>
      </c>
      <c r="Q201" s="172" t="str">
        <f t="shared" ref="Q201:R201" si="200">IF(I201="","",$J201*O201)</f>
        <v/>
      </c>
      <c r="R201" s="172" t="str">
        <f t="shared" si="200"/>
        <v/>
      </c>
      <c r="S201" s="173" t="str">
        <f t="shared" si="7"/>
        <v/>
      </c>
      <c r="T201" s="173" t="str">
        <f t="shared" si="8"/>
        <v/>
      </c>
      <c r="U201" s="170"/>
    </row>
    <row r="202" ht="24.75" customHeight="1">
      <c r="A202" s="175"/>
      <c r="B202" s="175"/>
      <c r="C202" s="175"/>
      <c r="D202" s="175"/>
      <c r="E202" s="175"/>
      <c r="F202" s="175"/>
      <c r="G202" s="175"/>
      <c r="H202" s="175"/>
      <c r="I202" s="175"/>
      <c r="J202" s="175"/>
      <c r="K202" s="175"/>
      <c r="L202" s="171" t="str">
        <f t="array" ref="L202">IFERROR(XLOOKUP($C202,HNCxTIPO!$D:$D,HNCxTIPO!E:E),"")</f>
        <v/>
      </c>
      <c r="M202" s="171" t="str">
        <f t="array" ref="M202">IFERROR(XLOOKUP($C202,HNCxTIPO!$D:$D,HNCxTIPO!F:F),"")</f>
        <v/>
      </c>
      <c r="N202" s="171" t="str">
        <f t="array" ref="N202">IFERROR(XLOOKUP($C202,HNCxTIPO!$D:$D,HNCxTIPO!G:G),"")</f>
        <v/>
      </c>
      <c r="O202" s="172" t="str">
        <f t="shared" si="3"/>
        <v/>
      </c>
      <c r="P202" s="172" t="str">
        <f t="shared" si="4"/>
        <v/>
      </c>
      <c r="Q202" s="172" t="str">
        <f t="shared" ref="Q202:R202" si="201">IF(I202="","",$J202*O202)</f>
        <v/>
      </c>
      <c r="R202" s="172" t="str">
        <f t="shared" si="201"/>
        <v/>
      </c>
      <c r="S202" s="176" t="str">
        <f t="shared" si="7"/>
        <v/>
      </c>
      <c r="T202" s="176" t="str">
        <f t="shared" si="8"/>
        <v/>
      </c>
      <c r="U202" s="175"/>
    </row>
    <row r="203" ht="24.75" customHeight="1">
      <c r="A203" s="170"/>
      <c r="B203" s="170"/>
      <c r="C203" s="170"/>
      <c r="D203" s="170"/>
      <c r="E203" s="170"/>
      <c r="F203" s="170"/>
      <c r="G203" s="170"/>
      <c r="H203" s="170"/>
      <c r="I203" s="170"/>
      <c r="J203" s="170"/>
      <c r="K203" s="170"/>
      <c r="L203" s="171" t="str">
        <f t="array" ref="L203">IFERROR(XLOOKUP($C203,HNCxTIPO!$D:$D,HNCxTIPO!E:E),"")</f>
        <v/>
      </c>
      <c r="M203" s="171" t="str">
        <f t="array" ref="M203">IFERROR(XLOOKUP($C203,HNCxTIPO!$D:$D,HNCxTIPO!F:F),"")</f>
        <v/>
      </c>
      <c r="N203" s="171" t="str">
        <f t="array" ref="N203">IFERROR(XLOOKUP($C203,HNCxTIPO!$D:$D,HNCxTIPO!G:G),"")</f>
        <v/>
      </c>
      <c r="O203" s="172" t="str">
        <f t="shared" si="3"/>
        <v/>
      </c>
      <c r="P203" s="172" t="str">
        <f t="shared" si="4"/>
        <v/>
      </c>
      <c r="Q203" s="172" t="str">
        <f t="shared" ref="Q203:R203" si="202">IF(I203="","",$J203*O203)</f>
        <v/>
      </c>
      <c r="R203" s="172" t="str">
        <f t="shared" si="202"/>
        <v/>
      </c>
      <c r="S203" s="173" t="str">
        <f t="shared" si="7"/>
        <v/>
      </c>
      <c r="T203" s="173" t="str">
        <f t="shared" si="8"/>
        <v/>
      </c>
      <c r="U203" s="170"/>
    </row>
    <row r="204" ht="24.75" customHeight="1">
      <c r="A204" s="175"/>
      <c r="B204" s="175"/>
      <c r="C204" s="175"/>
      <c r="D204" s="175"/>
      <c r="E204" s="175"/>
      <c r="F204" s="175"/>
      <c r="G204" s="175"/>
      <c r="H204" s="175"/>
      <c r="I204" s="175"/>
      <c r="J204" s="175"/>
      <c r="K204" s="175"/>
      <c r="L204" s="171" t="str">
        <f t="array" ref="L204">IFERROR(XLOOKUP($C204,HNCxTIPO!$D:$D,HNCxTIPO!E:E),"")</f>
        <v/>
      </c>
      <c r="M204" s="171" t="str">
        <f t="array" ref="M204">IFERROR(XLOOKUP($C204,HNCxTIPO!$D:$D,HNCxTIPO!F:F),"")</f>
        <v/>
      </c>
      <c r="N204" s="171" t="str">
        <f t="array" ref="N204">IFERROR(XLOOKUP($C204,HNCxTIPO!$D:$D,HNCxTIPO!G:G),"")</f>
        <v/>
      </c>
      <c r="O204" s="172" t="str">
        <f t="shared" si="3"/>
        <v/>
      </c>
      <c r="P204" s="172" t="str">
        <f t="shared" si="4"/>
        <v/>
      </c>
      <c r="Q204" s="172" t="str">
        <f t="shared" ref="Q204:R204" si="203">IF(I204="","",$J204*O204)</f>
        <v/>
      </c>
      <c r="R204" s="172" t="str">
        <f t="shared" si="203"/>
        <v/>
      </c>
      <c r="S204" s="176" t="str">
        <f t="shared" si="7"/>
        <v/>
      </c>
      <c r="T204" s="176" t="str">
        <f t="shared" si="8"/>
        <v/>
      </c>
      <c r="U204" s="175"/>
    </row>
    <row r="205" ht="24.75" customHeight="1">
      <c r="A205" s="170"/>
      <c r="B205" s="170"/>
      <c r="C205" s="170"/>
      <c r="D205" s="170"/>
      <c r="E205" s="170"/>
      <c r="F205" s="170"/>
      <c r="G205" s="170"/>
      <c r="H205" s="170"/>
      <c r="I205" s="170"/>
      <c r="J205" s="170"/>
      <c r="K205" s="170"/>
      <c r="L205" s="171" t="str">
        <f t="array" ref="L205">IFERROR(XLOOKUP($C205,HNCxTIPO!$D:$D,HNCxTIPO!E:E),"")</f>
        <v/>
      </c>
      <c r="M205" s="171" t="str">
        <f t="array" ref="M205">IFERROR(XLOOKUP($C205,HNCxTIPO!$D:$D,HNCxTIPO!F:F),"")</f>
        <v/>
      </c>
      <c r="N205" s="171" t="str">
        <f t="array" ref="N205">IFERROR(XLOOKUP($C205,HNCxTIPO!$D:$D,HNCxTIPO!G:G),"")</f>
        <v/>
      </c>
      <c r="O205" s="172" t="str">
        <f t="shared" si="3"/>
        <v/>
      </c>
      <c r="P205" s="172" t="str">
        <f t="shared" si="4"/>
        <v/>
      </c>
      <c r="Q205" s="172" t="str">
        <f t="shared" ref="Q205:R205" si="204">IF(I205="","",$J205*O205)</f>
        <v/>
      </c>
      <c r="R205" s="172" t="str">
        <f t="shared" si="204"/>
        <v/>
      </c>
      <c r="S205" s="173" t="str">
        <f t="shared" si="7"/>
        <v/>
      </c>
      <c r="T205" s="173" t="str">
        <f t="shared" si="8"/>
        <v/>
      </c>
      <c r="U205" s="170"/>
    </row>
    <row r="206" ht="24.75" customHeight="1">
      <c r="A206" s="175"/>
      <c r="B206" s="175"/>
      <c r="C206" s="175"/>
      <c r="D206" s="175"/>
      <c r="E206" s="175"/>
      <c r="F206" s="175"/>
      <c r="G206" s="175"/>
      <c r="H206" s="175"/>
      <c r="I206" s="175"/>
      <c r="J206" s="175"/>
      <c r="K206" s="175"/>
      <c r="L206" s="171" t="str">
        <f t="array" ref="L206">IFERROR(XLOOKUP($C206,HNCxTIPO!$D:$D,HNCxTIPO!E:E),"")</f>
        <v/>
      </c>
      <c r="M206" s="171" t="str">
        <f t="array" ref="M206">IFERROR(XLOOKUP($C206,HNCxTIPO!$D:$D,HNCxTIPO!F:F),"")</f>
        <v/>
      </c>
      <c r="N206" s="171" t="str">
        <f t="array" ref="N206">IFERROR(XLOOKUP($C206,HNCxTIPO!$D:$D,HNCxTIPO!G:G),"")</f>
        <v/>
      </c>
      <c r="O206" s="172" t="str">
        <f t="shared" si="3"/>
        <v/>
      </c>
      <c r="P206" s="172" t="str">
        <f t="shared" si="4"/>
        <v/>
      </c>
      <c r="Q206" s="172" t="str">
        <f t="shared" ref="Q206:R206" si="205">IF(I206="","",$J206*O206)</f>
        <v/>
      </c>
      <c r="R206" s="172" t="str">
        <f t="shared" si="205"/>
        <v/>
      </c>
      <c r="S206" s="176" t="str">
        <f t="shared" si="7"/>
        <v/>
      </c>
      <c r="T206" s="176" t="str">
        <f t="shared" si="8"/>
        <v/>
      </c>
      <c r="U206" s="175"/>
    </row>
    <row r="207" ht="24.75" customHeight="1">
      <c r="A207" s="170"/>
      <c r="B207" s="170"/>
      <c r="C207" s="170"/>
      <c r="D207" s="170"/>
      <c r="E207" s="170"/>
      <c r="F207" s="170"/>
      <c r="G207" s="170"/>
      <c r="H207" s="170"/>
      <c r="I207" s="170"/>
      <c r="J207" s="170"/>
      <c r="K207" s="170"/>
      <c r="L207" s="171" t="str">
        <f t="array" ref="L207">IFERROR(XLOOKUP($C207,HNCxTIPO!$D:$D,HNCxTIPO!E:E),"")</f>
        <v/>
      </c>
      <c r="M207" s="171" t="str">
        <f t="array" ref="M207">IFERROR(XLOOKUP($C207,HNCxTIPO!$D:$D,HNCxTIPO!F:F),"")</f>
        <v/>
      </c>
      <c r="N207" s="171" t="str">
        <f t="array" ref="N207">IFERROR(XLOOKUP($C207,HNCxTIPO!$D:$D,HNCxTIPO!G:G),"")</f>
        <v/>
      </c>
      <c r="O207" s="172" t="str">
        <f t="shared" si="3"/>
        <v/>
      </c>
      <c r="P207" s="172" t="str">
        <f t="shared" si="4"/>
        <v/>
      </c>
      <c r="Q207" s="172" t="str">
        <f t="shared" ref="Q207:R207" si="206">IF(I207="","",$J207*O207)</f>
        <v/>
      </c>
      <c r="R207" s="172" t="str">
        <f t="shared" si="206"/>
        <v/>
      </c>
      <c r="S207" s="173" t="str">
        <f t="shared" si="7"/>
        <v/>
      </c>
      <c r="T207" s="173" t="str">
        <f t="shared" si="8"/>
        <v/>
      </c>
      <c r="U207" s="170"/>
    </row>
    <row r="208" ht="24.75" customHeight="1">
      <c r="A208" s="175"/>
      <c r="B208" s="175"/>
      <c r="C208" s="175"/>
      <c r="D208" s="175"/>
      <c r="E208" s="175"/>
      <c r="F208" s="175"/>
      <c r="G208" s="175"/>
      <c r="H208" s="175"/>
      <c r="I208" s="175"/>
      <c r="J208" s="175"/>
      <c r="K208" s="175"/>
      <c r="L208" s="171" t="str">
        <f t="array" ref="L208">IFERROR(XLOOKUP($C208,HNCxTIPO!$D:$D,HNCxTIPO!E:E),"")</f>
        <v/>
      </c>
      <c r="M208" s="171" t="str">
        <f t="array" ref="M208">IFERROR(XLOOKUP($C208,HNCxTIPO!$D:$D,HNCxTIPO!F:F),"")</f>
        <v/>
      </c>
      <c r="N208" s="171" t="str">
        <f t="array" ref="N208">IFERROR(XLOOKUP($C208,HNCxTIPO!$D:$D,HNCxTIPO!G:G),"")</f>
        <v/>
      </c>
      <c r="O208" s="172" t="str">
        <f t="shared" si="3"/>
        <v/>
      </c>
      <c r="P208" s="172" t="str">
        <f t="shared" si="4"/>
        <v/>
      </c>
      <c r="Q208" s="172" t="str">
        <f t="shared" ref="Q208:R208" si="207">IF(I208="","",$J208*O208)</f>
        <v/>
      </c>
      <c r="R208" s="172" t="str">
        <f t="shared" si="207"/>
        <v/>
      </c>
      <c r="S208" s="176" t="str">
        <f t="shared" si="7"/>
        <v/>
      </c>
      <c r="T208" s="176" t="str">
        <f t="shared" si="8"/>
        <v/>
      </c>
      <c r="U208" s="175"/>
    </row>
    <row r="209" ht="24.75" customHeight="1">
      <c r="A209" s="170"/>
      <c r="B209" s="170"/>
      <c r="C209" s="170"/>
      <c r="D209" s="170"/>
      <c r="E209" s="170"/>
      <c r="F209" s="170"/>
      <c r="G209" s="170"/>
      <c r="H209" s="170"/>
      <c r="I209" s="170"/>
      <c r="J209" s="170"/>
      <c r="K209" s="170"/>
      <c r="L209" s="171" t="str">
        <f t="array" ref="L209">IFERROR(XLOOKUP($C209,HNCxTIPO!$D:$D,HNCxTIPO!E:E),"")</f>
        <v/>
      </c>
      <c r="M209" s="171" t="str">
        <f t="array" ref="M209">IFERROR(XLOOKUP($C209,HNCxTIPO!$D:$D,HNCxTIPO!F:F),"")</f>
        <v/>
      </c>
      <c r="N209" s="171" t="str">
        <f t="array" ref="N209">IFERROR(XLOOKUP($C209,HNCxTIPO!$D:$D,HNCxTIPO!G:G),"")</f>
        <v/>
      </c>
      <c r="O209" s="172" t="str">
        <f t="shared" si="3"/>
        <v/>
      </c>
      <c r="P209" s="172" t="str">
        <f t="shared" si="4"/>
        <v/>
      </c>
      <c r="Q209" s="172" t="str">
        <f t="shared" ref="Q209:R209" si="208">IF(I209="","",$J209*O209)</f>
        <v/>
      </c>
      <c r="R209" s="172" t="str">
        <f t="shared" si="208"/>
        <v/>
      </c>
      <c r="S209" s="173" t="str">
        <f t="shared" si="7"/>
        <v/>
      </c>
      <c r="T209" s="173" t="str">
        <f t="shared" si="8"/>
        <v/>
      </c>
      <c r="U209" s="170"/>
    </row>
    <row r="210" ht="24.75" customHeight="1">
      <c r="A210" s="175"/>
      <c r="B210" s="175"/>
      <c r="C210" s="175"/>
      <c r="D210" s="175"/>
      <c r="E210" s="175"/>
      <c r="F210" s="175"/>
      <c r="G210" s="175"/>
      <c r="H210" s="175"/>
      <c r="I210" s="175"/>
      <c r="J210" s="175"/>
      <c r="K210" s="175"/>
      <c r="L210" s="171" t="str">
        <f t="array" ref="L210">IFERROR(XLOOKUP($C210,HNCxTIPO!$D:$D,HNCxTIPO!E:E),"")</f>
        <v/>
      </c>
      <c r="M210" s="171" t="str">
        <f t="array" ref="M210">IFERROR(XLOOKUP($C210,HNCxTIPO!$D:$D,HNCxTIPO!F:F),"")</f>
        <v/>
      </c>
      <c r="N210" s="171" t="str">
        <f t="array" ref="N210">IFERROR(XLOOKUP($C210,HNCxTIPO!$D:$D,HNCxTIPO!G:G),"")</f>
        <v/>
      </c>
      <c r="O210" s="172" t="str">
        <f t="shared" si="3"/>
        <v/>
      </c>
      <c r="P210" s="172" t="str">
        <f t="shared" si="4"/>
        <v/>
      </c>
      <c r="Q210" s="172" t="str">
        <f t="shared" ref="Q210:R210" si="209">IF(I210="","",$J210*O210)</f>
        <v/>
      </c>
      <c r="R210" s="172" t="str">
        <f t="shared" si="209"/>
        <v/>
      </c>
      <c r="S210" s="176" t="str">
        <f t="shared" si="7"/>
        <v/>
      </c>
      <c r="T210" s="176" t="str">
        <f t="shared" si="8"/>
        <v/>
      </c>
      <c r="U210" s="175"/>
    </row>
    <row r="211" ht="24.75" customHeight="1">
      <c r="A211" s="170"/>
      <c r="B211" s="170"/>
      <c r="C211" s="170"/>
      <c r="D211" s="170"/>
      <c r="E211" s="170"/>
      <c r="F211" s="170"/>
      <c r="G211" s="170"/>
      <c r="H211" s="170"/>
      <c r="I211" s="170"/>
      <c r="J211" s="170"/>
      <c r="K211" s="170"/>
      <c r="L211" s="171" t="str">
        <f t="array" ref="L211">IFERROR(XLOOKUP($C211,HNCxTIPO!$D:$D,HNCxTIPO!E:E),"")</f>
        <v/>
      </c>
      <c r="M211" s="171" t="str">
        <f t="array" ref="M211">IFERROR(XLOOKUP($C211,HNCxTIPO!$D:$D,HNCxTIPO!F:F),"")</f>
        <v/>
      </c>
      <c r="N211" s="171" t="str">
        <f t="array" ref="N211">IFERROR(XLOOKUP($C211,HNCxTIPO!$D:$D,HNCxTIPO!G:G),"")</f>
        <v/>
      </c>
      <c r="O211" s="172" t="str">
        <f t="shared" si="3"/>
        <v/>
      </c>
      <c r="P211" s="172" t="str">
        <f t="shared" si="4"/>
        <v/>
      </c>
      <c r="Q211" s="172" t="str">
        <f t="shared" ref="Q211:R211" si="210">IF(I211="","",$J211*O211)</f>
        <v/>
      </c>
      <c r="R211" s="172" t="str">
        <f t="shared" si="210"/>
        <v/>
      </c>
      <c r="S211" s="173" t="str">
        <f t="shared" si="7"/>
        <v/>
      </c>
      <c r="T211" s="173" t="str">
        <f t="shared" si="8"/>
        <v/>
      </c>
      <c r="U211" s="170"/>
    </row>
    <row r="212" ht="24.75" customHeight="1">
      <c r="A212" s="175"/>
      <c r="B212" s="175"/>
      <c r="C212" s="175"/>
      <c r="D212" s="175"/>
      <c r="E212" s="175"/>
      <c r="F212" s="175"/>
      <c r="G212" s="175"/>
      <c r="H212" s="175"/>
      <c r="I212" s="175"/>
      <c r="J212" s="175"/>
      <c r="K212" s="175"/>
      <c r="L212" s="171" t="str">
        <f t="array" ref="L212">IFERROR(XLOOKUP($C212,HNCxTIPO!$D:$D,HNCxTIPO!E:E),"")</f>
        <v/>
      </c>
      <c r="M212" s="171" t="str">
        <f t="array" ref="M212">IFERROR(XLOOKUP($C212,HNCxTIPO!$D:$D,HNCxTIPO!F:F),"")</f>
        <v/>
      </c>
      <c r="N212" s="171" t="str">
        <f t="array" ref="N212">IFERROR(XLOOKUP($C212,HNCxTIPO!$D:$D,HNCxTIPO!G:G),"")</f>
        <v/>
      </c>
      <c r="O212" s="172" t="str">
        <f t="shared" si="3"/>
        <v/>
      </c>
      <c r="P212" s="172" t="str">
        <f t="shared" si="4"/>
        <v/>
      </c>
      <c r="Q212" s="172" t="str">
        <f t="shared" ref="Q212:R212" si="211">IF(I212="","",$J212*O212)</f>
        <v/>
      </c>
      <c r="R212" s="172" t="str">
        <f t="shared" si="211"/>
        <v/>
      </c>
      <c r="S212" s="176" t="str">
        <f t="shared" si="7"/>
        <v/>
      </c>
      <c r="T212" s="176" t="str">
        <f t="shared" si="8"/>
        <v/>
      </c>
      <c r="U212" s="175"/>
    </row>
    <row r="213" ht="24.75" customHeight="1">
      <c r="A213" s="170"/>
      <c r="B213" s="170"/>
      <c r="C213" s="170"/>
      <c r="D213" s="170"/>
      <c r="E213" s="170"/>
      <c r="F213" s="170"/>
      <c r="G213" s="170"/>
      <c r="H213" s="170"/>
      <c r="I213" s="170"/>
      <c r="J213" s="170"/>
      <c r="K213" s="170"/>
      <c r="L213" s="171" t="str">
        <f t="array" ref="L213">IFERROR(XLOOKUP($C213,HNCxTIPO!$D:$D,HNCxTIPO!E:E),"")</f>
        <v/>
      </c>
      <c r="M213" s="171" t="str">
        <f t="array" ref="M213">IFERROR(XLOOKUP($C213,HNCxTIPO!$D:$D,HNCxTIPO!F:F),"")</f>
        <v/>
      </c>
      <c r="N213" s="171" t="str">
        <f t="array" ref="N213">IFERROR(XLOOKUP($C213,HNCxTIPO!$D:$D,HNCxTIPO!G:G),"")</f>
        <v/>
      </c>
      <c r="O213" s="172" t="str">
        <f t="shared" si="3"/>
        <v/>
      </c>
      <c r="P213" s="172" t="str">
        <f t="shared" si="4"/>
        <v/>
      </c>
      <c r="Q213" s="172" t="str">
        <f t="shared" ref="Q213:R213" si="212">IF(I213="","",$J213*O213)</f>
        <v/>
      </c>
      <c r="R213" s="172" t="str">
        <f t="shared" si="212"/>
        <v/>
      </c>
      <c r="S213" s="173" t="str">
        <f t="shared" si="7"/>
        <v/>
      </c>
      <c r="T213" s="173" t="str">
        <f t="shared" si="8"/>
        <v/>
      </c>
      <c r="U213" s="170"/>
    </row>
    <row r="214" ht="24.75" customHeight="1">
      <c r="A214" s="175"/>
      <c r="B214" s="175"/>
      <c r="C214" s="175"/>
      <c r="D214" s="175"/>
      <c r="E214" s="175"/>
      <c r="F214" s="175"/>
      <c r="G214" s="175"/>
      <c r="H214" s="175"/>
      <c r="I214" s="175"/>
      <c r="J214" s="175"/>
      <c r="K214" s="175"/>
      <c r="L214" s="171" t="str">
        <f t="array" ref="L214">IFERROR(XLOOKUP($C214,HNCxTIPO!$D:$D,HNCxTIPO!E:E),"")</f>
        <v/>
      </c>
      <c r="M214" s="171" t="str">
        <f t="array" ref="M214">IFERROR(XLOOKUP($C214,HNCxTIPO!$D:$D,HNCxTIPO!F:F),"")</f>
        <v/>
      </c>
      <c r="N214" s="171" t="str">
        <f t="array" ref="N214">IFERROR(XLOOKUP($C214,HNCxTIPO!$D:$D,HNCxTIPO!G:G),"")</f>
        <v/>
      </c>
      <c r="O214" s="172" t="str">
        <f t="shared" si="3"/>
        <v/>
      </c>
      <c r="P214" s="172" t="str">
        <f t="shared" si="4"/>
        <v/>
      </c>
      <c r="Q214" s="172" t="str">
        <f t="shared" ref="Q214:R214" si="213">IF(I214="","",$J214*O214)</f>
        <v/>
      </c>
      <c r="R214" s="172" t="str">
        <f t="shared" si="213"/>
        <v/>
      </c>
      <c r="S214" s="176" t="str">
        <f t="shared" si="7"/>
        <v/>
      </c>
      <c r="T214" s="176" t="str">
        <f t="shared" si="8"/>
        <v/>
      </c>
      <c r="U214" s="175"/>
    </row>
    <row r="215" ht="24.75" customHeight="1">
      <c r="A215" s="170"/>
      <c r="B215" s="170"/>
      <c r="C215" s="170"/>
      <c r="D215" s="170"/>
      <c r="E215" s="170"/>
      <c r="F215" s="170"/>
      <c r="G215" s="170"/>
      <c r="H215" s="170"/>
      <c r="I215" s="170"/>
      <c r="J215" s="170"/>
      <c r="K215" s="170"/>
      <c r="L215" s="171" t="str">
        <f t="array" ref="L215">IFERROR(XLOOKUP($C215,HNCxTIPO!$D:$D,HNCxTIPO!E:E),"")</f>
        <v/>
      </c>
      <c r="M215" s="171" t="str">
        <f t="array" ref="M215">IFERROR(XLOOKUP($C215,HNCxTIPO!$D:$D,HNCxTIPO!F:F),"")</f>
        <v/>
      </c>
      <c r="N215" s="171" t="str">
        <f t="array" ref="N215">IFERROR(XLOOKUP($C215,HNCxTIPO!$D:$D,HNCxTIPO!G:G),"")</f>
        <v/>
      </c>
      <c r="O215" s="172" t="str">
        <f t="shared" si="3"/>
        <v/>
      </c>
      <c r="P215" s="172" t="str">
        <f t="shared" si="4"/>
        <v/>
      </c>
      <c r="Q215" s="172" t="str">
        <f t="shared" ref="Q215:R215" si="214">IF(I215="","",$J215*O215)</f>
        <v/>
      </c>
      <c r="R215" s="172" t="str">
        <f t="shared" si="214"/>
        <v/>
      </c>
      <c r="S215" s="173" t="str">
        <f t="shared" si="7"/>
        <v/>
      </c>
      <c r="T215" s="173" t="str">
        <f t="shared" si="8"/>
        <v/>
      </c>
      <c r="U215" s="170"/>
    </row>
    <row r="216" ht="24.75" customHeight="1">
      <c r="A216" s="175"/>
      <c r="B216" s="175"/>
      <c r="C216" s="175"/>
      <c r="D216" s="175"/>
      <c r="E216" s="175"/>
      <c r="F216" s="175"/>
      <c r="G216" s="175"/>
      <c r="H216" s="175"/>
      <c r="I216" s="175"/>
      <c r="J216" s="175"/>
      <c r="K216" s="175"/>
      <c r="L216" s="171" t="str">
        <f t="array" ref="L216">IFERROR(XLOOKUP($C216,HNCxTIPO!$D:$D,HNCxTIPO!E:E),"")</f>
        <v/>
      </c>
      <c r="M216" s="171" t="str">
        <f t="array" ref="M216">IFERROR(XLOOKUP($C216,HNCxTIPO!$D:$D,HNCxTIPO!F:F),"")</f>
        <v/>
      </c>
      <c r="N216" s="171" t="str">
        <f t="array" ref="N216">IFERROR(XLOOKUP($C216,HNCxTIPO!$D:$D,HNCxTIPO!G:G),"")</f>
        <v/>
      </c>
      <c r="O216" s="172" t="str">
        <f t="shared" si="3"/>
        <v/>
      </c>
      <c r="P216" s="172" t="str">
        <f t="shared" si="4"/>
        <v/>
      </c>
      <c r="Q216" s="172" t="str">
        <f t="shared" ref="Q216:R216" si="215">IF(I216="","",$J216*O216)</f>
        <v/>
      </c>
      <c r="R216" s="172" t="str">
        <f t="shared" si="215"/>
        <v/>
      </c>
      <c r="S216" s="176" t="str">
        <f t="shared" si="7"/>
        <v/>
      </c>
      <c r="T216" s="176" t="str">
        <f t="shared" si="8"/>
        <v/>
      </c>
      <c r="U216" s="175"/>
    </row>
    <row r="217" ht="24.75" customHeight="1">
      <c r="A217" s="170"/>
      <c r="B217" s="170"/>
      <c r="C217" s="170"/>
      <c r="D217" s="170"/>
      <c r="E217" s="170"/>
      <c r="F217" s="170"/>
      <c r="G217" s="170"/>
      <c r="H217" s="170"/>
      <c r="I217" s="170"/>
      <c r="J217" s="170"/>
      <c r="K217" s="170"/>
      <c r="L217" s="171" t="str">
        <f t="array" ref="L217">IFERROR(XLOOKUP($C217,HNCxTIPO!$D:$D,HNCxTIPO!E:E),"")</f>
        <v/>
      </c>
      <c r="M217" s="171" t="str">
        <f t="array" ref="M217">IFERROR(XLOOKUP($C217,HNCxTIPO!$D:$D,HNCxTIPO!F:F),"")</f>
        <v/>
      </c>
      <c r="N217" s="171" t="str">
        <f t="array" ref="N217">IFERROR(XLOOKUP($C217,HNCxTIPO!$D:$D,HNCxTIPO!G:G),"")</f>
        <v/>
      </c>
      <c r="O217" s="172" t="str">
        <f t="shared" si="3"/>
        <v/>
      </c>
      <c r="P217" s="172" t="str">
        <f t="shared" si="4"/>
        <v/>
      </c>
      <c r="Q217" s="172" t="str">
        <f t="shared" ref="Q217:R217" si="216">IF(I217="","",$J217*O217)</f>
        <v/>
      </c>
      <c r="R217" s="172" t="str">
        <f t="shared" si="216"/>
        <v/>
      </c>
      <c r="S217" s="173" t="str">
        <f t="shared" si="7"/>
        <v/>
      </c>
      <c r="T217" s="173" t="str">
        <f t="shared" si="8"/>
        <v/>
      </c>
      <c r="U217" s="170"/>
    </row>
    <row r="218" ht="24.75" customHeight="1">
      <c r="A218" s="175"/>
      <c r="B218" s="175"/>
      <c r="C218" s="175"/>
      <c r="D218" s="175"/>
      <c r="E218" s="175"/>
      <c r="F218" s="175"/>
      <c r="G218" s="175"/>
      <c r="H218" s="175"/>
      <c r="I218" s="175"/>
      <c r="J218" s="175"/>
      <c r="K218" s="175"/>
      <c r="L218" s="171" t="str">
        <f t="array" ref="L218">IFERROR(XLOOKUP($C218,HNCxTIPO!$D:$D,HNCxTIPO!E:E),"")</f>
        <v/>
      </c>
      <c r="M218" s="171" t="str">
        <f t="array" ref="M218">IFERROR(XLOOKUP($C218,HNCxTIPO!$D:$D,HNCxTIPO!F:F),"")</f>
        <v/>
      </c>
      <c r="N218" s="171" t="str">
        <f t="array" ref="N218">IFERROR(XLOOKUP($C218,HNCxTIPO!$D:$D,HNCxTIPO!G:G),"")</f>
        <v/>
      </c>
      <c r="O218" s="172" t="str">
        <f t="shared" si="3"/>
        <v/>
      </c>
      <c r="P218" s="172" t="str">
        <f t="shared" si="4"/>
        <v/>
      </c>
      <c r="Q218" s="172" t="str">
        <f t="shared" ref="Q218:R218" si="217">IF(I218="","",$J218*O218)</f>
        <v/>
      </c>
      <c r="R218" s="172" t="str">
        <f t="shared" si="217"/>
        <v/>
      </c>
      <c r="S218" s="176" t="str">
        <f t="shared" si="7"/>
        <v/>
      </c>
      <c r="T218" s="176" t="str">
        <f t="shared" si="8"/>
        <v/>
      </c>
      <c r="U218" s="175"/>
    </row>
    <row r="219" ht="24.75" customHeight="1">
      <c r="A219" s="170"/>
      <c r="B219" s="170"/>
      <c r="C219" s="170"/>
      <c r="D219" s="170"/>
      <c r="E219" s="170"/>
      <c r="F219" s="170"/>
      <c r="G219" s="170"/>
      <c r="H219" s="170"/>
      <c r="I219" s="170"/>
      <c r="J219" s="170"/>
      <c r="K219" s="170"/>
      <c r="L219" s="171" t="str">
        <f t="array" ref="L219">IFERROR(XLOOKUP($C219,HNCxTIPO!$D:$D,HNCxTIPO!E:E),"")</f>
        <v/>
      </c>
      <c r="M219" s="171" t="str">
        <f t="array" ref="M219">IFERROR(XLOOKUP($C219,HNCxTIPO!$D:$D,HNCxTIPO!F:F),"")</f>
        <v/>
      </c>
      <c r="N219" s="171" t="str">
        <f t="array" ref="N219">IFERROR(XLOOKUP($C219,HNCxTIPO!$D:$D,HNCxTIPO!G:G),"")</f>
        <v/>
      </c>
      <c r="O219" s="172" t="str">
        <f t="shared" si="3"/>
        <v/>
      </c>
      <c r="P219" s="172" t="str">
        <f t="shared" si="4"/>
        <v/>
      </c>
      <c r="Q219" s="172" t="str">
        <f t="shared" ref="Q219:R219" si="218">IF(I219="","",$J219*O219)</f>
        <v/>
      </c>
      <c r="R219" s="172" t="str">
        <f t="shared" si="218"/>
        <v/>
      </c>
      <c r="S219" s="173" t="str">
        <f t="shared" si="7"/>
        <v/>
      </c>
      <c r="T219" s="173" t="str">
        <f t="shared" si="8"/>
        <v/>
      </c>
      <c r="U219" s="170"/>
    </row>
    <row r="220" ht="24.75" customHeight="1">
      <c r="A220" s="175"/>
      <c r="B220" s="175"/>
      <c r="C220" s="175"/>
      <c r="D220" s="175"/>
      <c r="E220" s="175"/>
      <c r="F220" s="175"/>
      <c r="G220" s="175"/>
      <c r="H220" s="175"/>
      <c r="I220" s="175"/>
      <c r="J220" s="175"/>
      <c r="K220" s="175"/>
      <c r="L220" s="171" t="str">
        <f t="array" ref="L220">IFERROR(XLOOKUP($C220,HNCxTIPO!$D:$D,HNCxTIPO!E:E),"")</f>
        <v/>
      </c>
      <c r="M220" s="171" t="str">
        <f t="array" ref="M220">IFERROR(XLOOKUP($C220,HNCxTIPO!$D:$D,HNCxTIPO!F:F),"")</f>
        <v/>
      </c>
      <c r="N220" s="171" t="str">
        <f t="array" ref="N220">IFERROR(XLOOKUP($C220,HNCxTIPO!$D:$D,HNCxTIPO!G:G),"")</f>
        <v/>
      </c>
      <c r="O220" s="172" t="str">
        <f t="shared" si="3"/>
        <v/>
      </c>
      <c r="P220" s="172" t="str">
        <f t="shared" si="4"/>
        <v/>
      </c>
      <c r="Q220" s="172" t="str">
        <f t="shared" ref="Q220:R220" si="219">IF(I220="","",$J220*O220)</f>
        <v/>
      </c>
      <c r="R220" s="172" t="str">
        <f t="shared" si="219"/>
        <v/>
      </c>
      <c r="S220" s="176" t="str">
        <f t="shared" si="7"/>
        <v/>
      </c>
      <c r="T220" s="176" t="str">
        <f t="shared" si="8"/>
        <v/>
      </c>
      <c r="U220" s="175"/>
    </row>
    <row r="221" ht="24.75" customHeight="1">
      <c r="A221" s="170"/>
      <c r="B221" s="170"/>
      <c r="C221" s="170"/>
      <c r="D221" s="170"/>
      <c r="E221" s="170"/>
      <c r="F221" s="170"/>
      <c r="G221" s="170"/>
      <c r="H221" s="170"/>
      <c r="I221" s="170"/>
      <c r="J221" s="170"/>
      <c r="K221" s="170"/>
      <c r="L221" s="171" t="str">
        <f t="array" ref="L221">IFERROR(XLOOKUP($C221,HNCxTIPO!$D:$D,HNCxTIPO!E:E),"")</f>
        <v/>
      </c>
      <c r="M221" s="171" t="str">
        <f t="array" ref="M221">IFERROR(XLOOKUP($C221,HNCxTIPO!$D:$D,HNCxTIPO!F:F),"")</f>
        <v/>
      </c>
      <c r="N221" s="171" t="str">
        <f t="array" ref="N221">IFERROR(XLOOKUP($C221,HNCxTIPO!$D:$D,HNCxTIPO!G:G),"")</f>
        <v/>
      </c>
      <c r="O221" s="172" t="str">
        <f t="shared" si="3"/>
        <v/>
      </c>
      <c r="P221" s="172" t="str">
        <f t="shared" si="4"/>
        <v/>
      </c>
      <c r="Q221" s="172" t="str">
        <f t="shared" ref="Q221:R221" si="220">IF(I221="","",$J221*O221)</f>
        <v/>
      </c>
      <c r="R221" s="172" t="str">
        <f t="shared" si="220"/>
        <v/>
      </c>
      <c r="S221" s="173" t="str">
        <f t="shared" si="7"/>
        <v/>
      </c>
      <c r="T221" s="173" t="str">
        <f t="shared" si="8"/>
        <v/>
      </c>
      <c r="U221" s="170"/>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6:$U$51"/>
  <conditionalFormatting sqref="S6:T221">
    <cfRule type="expression" dxfId="14" priority="1">
      <formula>($A:$A)=TRUE</formula>
    </cfRule>
  </conditionalFormatting>
  <conditionalFormatting sqref="H7:H221">
    <cfRule type="expression" dxfId="15" priority="2">
      <formula>COUNTIF($H$7:$H221,H7)&gt;1</formula>
    </cfRule>
  </conditionalFormatting>
  <printOptions gridLines="1" horizontalCentered="1"/>
  <pageMargins bottom="0.75" footer="0.0" header="0.0" left="0.7" right="0.7" top="0.75"/>
  <pageSetup paperSize="9" cellComments="atEnd" orientation="landscape"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C4043"/>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0" outlineLevelCol="1"/>
  <cols>
    <col customWidth="1" min="1" max="2" width="10.63"/>
    <col customWidth="1" min="3" max="3" width="19.75"/>
    <col customWidth="1" min="4" max="4" width="9.63"/>
    <col customWidth="1" min="5" max="5" width="32.25"/>
    <col customWidth="1" min="6" max="12" width="17.5" outlineLevel="1"/>
    <col customWidth="1" min="13" max="13" width="38.5" outlineLevel="1"/>
  </cols>
  <sheetData>
    <row r="1" ht="63.75" customHeight="1">
      <c r="A1" s="177" t="s">
        <v>72</v>
      </c>
      <c r="B1" s="177" t="s">
        <v>73</v>
      </c>
      <c r="C1" s="177" t="s">
        <v>74</v>
      </c>
      <c r="D1" s="177" t="s">
        <v>75</v>
      </c>
      <c r="E1" s="177" t="s">
        <v>56</v>
      </c>
      <c r="F1" s="177" t="s">
        <v>76</v>
      </c>
      <c r="G1" s="177" t="s">
        <v>77</v>
      </c>
      <c r="H1" s="177" t="s">
        <v>78</v>
      </c>
      <c r="I1" s="177" t="s">
        <v>79</v>
      </c>
      <c r="J1" s="178" t="s">
        <v>80</v>
      </c>
      <c r="K1" s="178" t="s">
        <v>81</v>
      </c>
      <c r="L1" s="178" t="s">
        <v>82</v>
      </c>
      <c r="M1" s="178"/>
    </row>
    <row r="2" ht="15.75" customHeight="1">
      <c r="A2" s="179"/>
      <c r="B2" s="180"/>
      <c r="C2" s="180"/>
      <c r="D2" s="181"/>
      <c r="E2" s="180"/>
      <c r="F2" s="182"/>
      <c r="G2" s="182"/>
      <c r="H2" s="182"/>
      <c r="I2" s="182"/>
      <c r="J2" s="182"/>
      <c r="K2" s="182"/>
      <c r="L2" s="182"/>
      <c r="M2" s="183"/>
    </row>
    <row r="3" ht="15.75" customHeight="1">
      <c r="A3" s="184" t="s">
        <v>83</v>
      </c>
      <c r="B3" s="185" t="s">
        <v>84</v>
      </c>
      <c r="C3" s="185" t="s">
        <v>85</v>
      </c>
      <c r="D3" s="186">
        <v>44.0</v>
      </c>
      <c r="E3" s="187" t="s">
        <v>86</v>
      </c>
      <c r="F3" s="188">
        <v>6.0</v>
      </c>
      <c r="G3" s="188">
        <v>20.0</v>
      </c>
      <c r="H3" s="189">
        <v>5.0</v>
      </c>
      <c r="I3" s="188">
        <v>31.0</v>
      </c>
      <c r="J3" s="188">
        <v>217.5</v>
      </c>
      <c r="K3" s="188">
        <v>43.5</v>
      </c>
      <c r="L3" s="188">
        <v>1914.0</v>
      </c>
      <c r="M3" s="190"/>
    </row>
    <row r="4" ht="15.75" customHeight="1">
      <c r="A4" s="179" t="s">
        <v>87</v>
      </c>
      <c r="B4" s="180" t="s">
        <v>84</v>
      </c>
      <c r="C4" s="180" t="s">
        <v>85</v>
      </c>
      <c r="D4" s="181">
        <v>44.0</v>
      </c>
      <c r="E4" s="180" t="s">
        <v>88</v>
      </c>
      <c r="F4" s="182">
        <v>12.0</v>
      </c>
      <c r="G4" s="182">
        <v>15.0</v>
      </c>
      <c r="H4" s="182">
        <v>6.0</v>
      </c>
      <c r="I4" s="182">
        <v>33.0</v>
      </c>
      <c r="J4" s="182">
        <v>215.5</v>
      </c>
      <c r="K4" s="182">
        <v>43.1</v>
      </c>
      <c r="L4" s="182">
        <v>1896.4</v>
      </c>
      <c r="M4" s="183"/>
    </row>
    <row r="5" ht="15.75" customHeight="1">
      <c r="A5" s="184"/>
      <c r="B5" s="185"/>
      <c r="C5" s="185"/>
      <c r="D5" s="186"/>
      <c r="E5" s="185"/>
      <c r="F5" s="189"/>
      <c r="G5" s="189"/>
      <c r="H5" s="189"/>
      <c r="I5" s="189"/>
      <c r="J5" s="189"/>
      <c r="K5" s="189"/>
      <c r="L5" s="189"/>
      <c r="M5" s="191"/>
    </row>
    <row r="6" ht="15.75" customHeight="1">
      <c r="A6" s="179" t="s">
        <v>89</v>
      </c>
      <c r="B6" s="180" t="s">
        <v>84</v>
      </c>
      <c r="C6" s="180" t="s">
        <v>90</v>
      </c>
      <c r="D6" s="181">
        <v>44.0</v>
      </c>
      <c r="E6" s="180" t="s">
        <v>91</v>
      </c>
      <c r="F6" s="182">
        <v>6.0</v>
      </c>
      <c r="G6" s="182">
        <v>15.0</v>
      </c>
      <c r="H6" s="182">
        <v>5.0</v>
      </c>
      <c r="I6" s="182">
        <v>26.0</v>
      </c>
      <c r="J6" s="182">
        <v>222.5</v>
      </c>
      <c r="K6" s="182">
        <v>44.5</v>
      </c>
      <c r="L6" s="182">
        <v>1958.0</v>
      </c>
      <c r="M6" s="183"/>
    </row>
    <row r="7" ht="15.75" customHeight="1">
      <c r="A7" s="184" t="s">
        <v>92</v>
      </c>
      <c r="B7" s="185" t="s">
        <v>93</v>
      </c>
      <c r="C7" s="185" t="s">
        <v>94</v>
      </c>
      <c r="D7" s="186">
        <v>44.0</v>
      </c>
      <c r="E7" s="185" t="s">
        <v>95</v>
      </c>
      <c r="F7" s="189">
        <v>6.0</v>
      </c>
      <c r="G7" s="189">
        <v>25.0</v>
      </c>
      <c r="H7" s="189">
        <v>5.0</v>
      </c>
      <c r="I7" s="189">
        <v>36.0</v>
      </c>
      <c r="J7" s="189">
        <v>212.5</v>
      </c>
      <c r="K7" s="189">
        <v>42.5</v>
      </c>
      <c r="L7" s="189">
        <v>1870.0</v>
      </c>
      <c r="M7" s="191"/>
    </row>
    <row r="8" ht="15.75" customHeight="1">
      <c r="A8" s="179" t="s">
        <v>96</v>
      </c>
      <c r="B8" s="180" t="s">
        <v>93</v>
      </c>
      <c r="C8" s="180" t="s">
        <v>97</v>
      </c>
      <c r="D8" s="181">
        <v>22.0</v>
      </c>
      <c r="E8" s="180" t="s">
        <v>98</v>
      </c>
      <c r="F8" s="182">
        <v>6.0</v>
      </c>
      <c r="G8" s="182">
        <v>20.0</v>
      </c>
      <c r="H8" s="182">
        <v>5.0</v>
      </c>
      <c r="I8" s="182">
        <v>31.0</v>
      </c>
      <c r="J8" s="182">
        <v>217.5</v>
      </c>
      <c r="K8" s="182">
        <v>43.5</v>
      </c>
      <c r="L8" s="182">
        <v>957.0</v>
      </c>
      <c r="M8" s="183"/>
    </row>
    <row r="9" ht="15.75" customHeight="1">
      <c r="A9" s="184"/>
      <c r="B9" s="185"/>
      <c r="C9" s="185"/>
      <c r="D9" s="186"/>
      <c r="E9" s="185"/>
      <c r="F9" s="189"/>
      <c r="G9" s="189"/>
      <c r="H9" s="189"/>
      <c r="I9" s="189"/>
      <c r="J9" s="189"/>
      <c r="K9" s="189"/>
      <c r="L9" s="189"/>
      <c r="M9" s="191"/>
    </row>
    <row r="10" ht="15.75" customHeight="1">
      <c r="A10" s="179"/>
      <c r="B10" s="180"/>
      <c r="C10" s="180"/>
      <c r="D10" s="181"/>
      <c r="E10" s="180"/>
      <c r="F10" s="182"/>
      <c r="G10" s="182"/>
      <c r="H10" s="182"/>
      <c r="I10" s="182"/>
      <c r="J10" s="182"/>
      <c r="K10" s="182"/>
      <c r="L10" s="182"/>
      <c r="M10" s="183"/>
    </row>
    <row r="11" ht="15.75" customHeight="1">
      <c r="A11" s="184"/>
      <c r="B11" s="185"/>
      <c r="C11" s="185"/>
      <c r="D11" s="186"/>
      <c r="E11" s="185"/>
      <c r="F11" s="189"/>
      <c r="G11" s="189"/>
      <c r="H11" s="189"/>
      <c r="I11" s="189"/>
      <c r="J11" s="189"/>
      <c r="K11" s="189"/>
      <c r="L11" s="189"/>
      <c r="M11" s="191"/>
    </row>
    <row r="12" ht="15.75" customHeight="1">
      <c r="A12" s="179" t="s">
        <v>99</v>
      </c>
      <c r="B12" s="180" t="s">
        <v>93</v>
      </c>
      <c r="C12" s="180" t="s">
        <v>100</v>
      </c>
      <c r="D12" s="181">
        <v>44.0</v>
      </c>
      <c r="E12" s="180" t="s">
        <v>101</v>
      </c>
      <c r="F12" s="182">
        <v>6.0</v>
      </c>
      <c r="G12" s="182">
        <v>15.0</v>
      </c>
      <c r="H12" s="182">
        <v>6.0</v>
      </c>
      <c r="I12" s="182">
        <v>27.0</v>
      </c>
      <c r="J12" s="182">
        <v>221.5</v>
      </c>
      <c r="K12" s="182">
        <v>44.3</v>
      </c>
      <c r="L12" s="182">
        <v>1949.2</v>
      </c>
      <c r="M12" s="183"/>
    </row>
    <row r="13" ht="15.75" customHeight="1">
      <c r="A13" s="184" t="s">
        <v>102</v>
      </c>
      <c r="B13" s="185" t="s">
        <v>84</v>
      </c>
      <c r="C13" s="185" t="s">
        <v>90</v>
      </c>
      <c r="D13" s="186">
        <v>22.0</v>
      </c>
      <c r="E13" s="185" t="s">
        <v>103</v>
      </c>
      <c r="F13" s="189">
        <v>6.0</v>
      </c>
      <c r="G13" s="189">
        <v>25.0</v>
      </c>
      <c r="H13" s="189">
        <v>5.0</v>
      </c>
      <c r="I13" s="189">
        <v>36.0</v>
      </c>
      <c r="J13" s="189">
        <v>212.5</v>
      </c>
      <c r="K13" s="189">
        <v>42.5</v>
      </c>
      <c r="L13" s="189">
        <v>935.0</v>
      </c>
      <c r="M13" s="191"/>
    </row>
    <row r="14" ht="15.75" customHeight="1">
      <c r="A14" s="179" t="s">
        <v>104</v>
      </c>
      <c r="B14" s="180" t="s">
        <v>105</v>
      </c>
      <c r="C14" s="180" t="s">
        <v>106</v>
      </c>
      <c r="D14" s="181">
        <v>22.0</v>
      </c>
      <c r="E14" s="180" t="s">
        <v>107</v>
      </c>
      <c r="F14" s="182">
        <v>6.0</v>
      </c>
      <c r="G14" s="182">
        <v>15.0</v>
      </c>
      <c r="H14" s="182">
        <v>5.0</v>
      </c>
      <c r="I14" s="182">
        <v>26.0</v>
      </c>
      <c r="J14" s="182">
        <v>222.5</v>
      </c>
      <c r="K14" s="182">
        <v>44.5</v>
      </c>
      <c r="L14" s="182">
        <v>979.0</v>
      </c>
      <c r="M14" s="183"/>
    </row>
    <row r="15" ht="15.75" customHeight="1">
      <c r="A15" s="184"/>
      <c r="B15" s="185"/>
      <c r="C15" s="185"/>
      <c r="D15" s="186"/>
      <c r="E15" s="185"/>
      <c r="F15" s="189"/>
      <c r="G15" s="189"/>
      <c r="H15" s="189"/>
      <c r="I15" s="189"/>
      <c r="J15" s="189"/>
      <c r="K15" s="189"/>
      <c r="L15" s="189"/>
      <c r="M15" s="191"/>
    </row>
    <row r="16" ht="15.75" customHeight="1">
      <c r="A16" s="179"/>
      <c r="B16" s="180"/>
      <c r="C16" s="180"/>
      <c r="D16" s="181"/>
      <c r="E16" s="180"/>
      <c r="F16" s="182"/>
      <c r="G16" s="182"/>
      <c r="H16" s="182"/>
      <c r="I16" s="182"/>
      <c r="J16" s="182"/>
      <c r="K16" s="182"/>
      <c r="L16" s="182"/>
      <c r="M16" s="183"/>
    </row>
    <row r="17" ht="15.75" customHeight="1">
      <c r="A17" s="184" t="s">
        <v>108</v>
      </c>
      <c r="B17" s="185" t="s">
        <v>105</v>
      </c>
      <c r="C17" s="185" t="s">
        <v>109</v>
      </c>
      <c r="D17" s="186">
        <v>44.0</v>
      </c>
      <c r="E17" s="185" t="s">
        <v>110</v>
      </c>
      <c r="F17" s="189">
        <v>6.0</v>
      </c>
      <c r="G17" s="189">
        <v>15.0</v>
      </c>
      <c r="H17" s="189">
        <v>5.0</v>
      </c>
      <c r="I17" s="189">
        <v>26.0</v>
      </c>
      <c r="J17" s="189">
        <v>222.5</v>
      </c>
      <c r="K17" s="189">
        <v>44.5</v>
      </c>
      <c r="L17" s="189">
        <v>1958.0</v>
      </c>
      <c r="M17" s="191"/>
    </row>
    <row r="18" ht="15.75" customHeight="1">
      <c r="A18" s="179" t="s">
        <v>111</v>
      </c>
      <c r="B18" s="180" t="s">
        <v>105</v>
      </c>
      <c r="C18" s="180" t="s">
        <v>109</v>
      </c>
      <c r="D18" s="181">
        <v>44.0</v>
      </c>
      <c r="E18" s="180" t="s">
        <v>112</v>
      </c>
      <c r="F18" s="182">
        <v>6.0</v>
      </c>
      <c r="G18" s="182">
        <v>25.0</v>
      </c>
      <c r="H18" s="182">
        <v>5.0</v>
      </c>
      <c r="I18" s="182">
        <v>36.0</v>
      </c>
      <c r="J18" s="182">
        <v>212.5</v>
      </c>
      <c r="K18" s="182">
        <v>42.5</v>
      </c>
      <c r="L18" s="182">
        <v>1870.0</v>
      </c>
      <c r="M18" s="183"/>
    </row>
    <row r="19" ht="15.75" customHeight="1">
      <c r="A19" s="184"/>
      <c r="B19" s="185"/>
      <c r="C19" s="185"/>
      <c r="D19" s="186"/>
      <c r="E19" s="185"/>
      <c r="F19" s="189"/>
      <c r="G19" s="189"/>
      <c r="H19" s="189"/>
      <c r="I19" s="189"/>
      <c r="J19" s="189"/>
      <c r="K19" s="189"/>
      <c r="L19" s="189"/>
      <c r="M19" s="191"/>
    </row>
    <row r="20" ht="15.75" customHeight="1">
      <c r="A20" s="179" t="s">
        <v>113</v>
      </c>
      <c r="B20" s="180" t="s">
        <v>93</v>
      </c>
      <c r="C20" s="180" t="s">
        <v>114</v>
      </c>
      <c r="D20" s="181">
        <v>44.0</v>
      </c>
      <c r="E20" s="180" t="s">
        <v>115</v>
      </c>
      <c r="F20" s="182">
        <v>6.0</v>
      </c>
      <c r="G20" s="182">
        <v>20.0</v>
      </c>
      <c r="H20" s="182">
        <v>5.0</v>
      </c>
      <c r="I20" s="182">
        <v>31.0</v>
      </c>
      <c r="J20" s="182">
        <v>217.5</v>
      </c>
      <c r="K20" s="182">
        <v>43.5</v>
      </c>
      <c r="L20" s="182">
        <v>1914.0</v>
      </c>
      <c r="M20" s="183"/>
    </row>
    <row r="21" ht="15.75" customHeight="1">
      <c r="A21" s="184" t="s">
        <v>116</v>
      </c>
      <c r="B21" s="185" t="s">
        <v>93</v>
      </c>
      <c r="C21" s="185" t="s">
        <v>117</v>
      </c>
      <c r="D21" s="186">
        <v>22.0</v>
      </c>
      <c r="E21" s="185" t="s">
        <v>118</v>
      </c>
      <c r="F21" s="189">
        <v>6.0</v>
      </c>
      <c r="G21" s="189">
        <v>25.0</v>
      </c>
      <c r="H21" s="189">
        <v>5.0</v>
      </c>
      <c r="I21" s="189">
        <v>36.0</v>
      </c>
      <c r="J21" s="189">
        <v>212.5</v>
      </c>
      <c r="K21" s="189">
        <v>42.5</v>
      </c>
      <c r="L21" s="189">
        <v>935.0</v>
      </c>
      <c r="M21" s="191"/>
    </row>
    <row r="22" ht="15.75" customHeight="1">
      <c r="A22" s="179" t="s">
        <v>119</v>
      </c>
      <c r="B22" s="180" t="s">
        <v>93</v>
      </c>
      <c r="C22" s="180" t="s">
        <v>117</v>
      </c>
      <c r="D22" s="181">
        <v>22.0</v>
      </c>
      <c r="E22" s="180" t="s">
        <v>120</v>
      </c>
      <c r="F22" s="182">
        <v>6.0</v>
      </c>
      <c r="G22" s="182">
        <v>15.0</v>
      </c>
      <c r="H22" s="182">
        <v>5.0</v>
      </c>
      <c r="I22" s="182">
        <v>26.0</v>
      </c>
      <c r="J22" s="182">
        <v>222.5</v>
      </c>
      <c r="K22" s="182">
        <v>44.5</v>
      </c>
      <c r="L22" s="182">
        <v>979.0</v>
      </c>
      <c r="M22" s="183"/>
    </row>
    <row r="23" ht="15.75" customHeight="1">
      <c r="A23" s="184"/>
      <c r="B23" s="185"/>
      <c r="C23" s="185"/>
      <c r="D23" s="186"/>
      <c r="E23" s="185"/>
      <c r="F23" s="189"/>
      <c r="G23" s="189"/>
      <c r="H23" s="189"/>
      <c r="I23" s="189"/>
      <c r="J23" s="189"/>
      <c r="K23" s="189"/>
      <c r="L23" s="189"/>
      <c r="M23" s="191"/>
    </row>
    <row r="24" ht="15.75" customHeight="1">
      <c r="A24" s="179" t="s">
        <v>121</v>
      </c>
      <c r="B24" s="180" t="s">
        <v>105</v>
      </c>
      <c r="C24" s="180" t="s">
        <v>122</v>
      </c>
      <c r="D24" s="181">
        <v>44.0</v>
      </c>
      <c r="E24" s="180" t="s">
        <v>123</v>
      </c>
      <c r="F24" s="182">
        <v>6.0</v>
      </c>
      <c r="G24" s="182">
        <v>15.0</v>
      </c>
      <c r="H24" s="182">
        <v>5.0</v>
      </c>
      <c r="I24" s="182">
        <v>26.0</v>
      </c>
      <c r="J24" s="182">
        <v>222.5</v>
      </c>
      <c r="K24" s="182">
        <v>44.5</v>
      </c>
      <c r="L24" s="182">
        <v>1958.0</v>
      </c>
      <c r="M24" s="183"/>
    </row>
    <row r="25" ht="15.75" customHeight="1">
      <c r="A25" s="184" t="s">
        <v>124</v>
      </c>
      <c r="B25" s="185" t="s">
        <v>105</v>
      </c>
      <c r="C25" s="185" t="s">
        <v>125</v>
      </c>
      <c r="D25" s="186">
        <v>44.0</v>
      </c>
      <c r="E25" s="185" t="s">
        <v>126</v>
      </c>
      <c r="F25" s="189">
        <v>6.0</v>
      </c>
      <c r="G25" s="189">
        <v>15.0</v>
      </c>
      <c r="H25" s="189">
        <v>5.0</v>
      </c>
      <c r="I25" s="189">
        <v>26.0</v>
      </c>
      <c r="J25" s="189">
        <v>222.5</v>
      </c>
      <c r="K25" s="189">
        <v>44.5</v>
      </c>
      <c r="L25" s="189">
        <v>1958.0</v>
      </c>
      <c r="M25" s="191"/>
    </row>
    <row r="26" ht="15.75" customHeight="1">
      <c r="A26" s="179" t="s">
        <v>127</v>
      </c>
      <c r="B26" s="180" t="s">
        <v>93</v>
      </c>
      <c r="C26" s="180" t="s">
        <v>128</v>
      </c>
      <c r="D26" s="181">
        <v>33.0</v>
      </c>
      <c r="E26" s="180" t="s">
        <v>129</v>
      </c>
      <c r="F26" s="182">
        <v>6.0</v>
      </c>
      <c r="G26" s="182">
        <v>15.0</v>
      </c>
      <c r="H26" s="182">
        <v>5.0</v>
      </c>
      <c r="I26" s="182">
        <v>26.0</v>
      </c>
      <c r="J26" s="182">
        <v>222.5</v>
      </c>
      <c r="K26" s="182">
        <v>44.5</v>
      </c>
      <c r="L26" s="182">
        <v>1468.5</v>
      </c>
      <c r="M26" s="183"/>
    </row>
    <row r="27" ht="15.75" customHeight="1">
      <c r="A27" s="184" t="s">
        <v>130</v>
      </c>
      <c r="B27" s="185" t="s">
        <v>105</v>
      </c>
      <c r="C27" s="185" t="s">
        <v>109</v>
      </c>
      <c r="D27" s="186">
        <v>44.0</v>
      </c>
      <c r="E27" s="185" t="s">
        <v>131</v>
      </c>
      <c r="F27" s="189">
        <v>6.0</v>
      </c>
      <c r="G27" s="189">
        <v>15.0</v>
      </c>
      <c r="H27" s="189">
        <v>5.0</v>
      </c>
      <c r="I27" s="189">
        <v>26.0</v>
      </c>
      <c r="J27" s="189">
        <v>222.5</v>
      </c>
      <c r="K27" s="189">
        <v>44.5</v>
      </c>
      <c r="L27" s="189">
        <v>1958.0</v>
      </c>
      <c r="M27" s="191"/>
    </row>
    <row r="28" ht="15.75" customHeight="1">
      <c r="A28" s="179"/>
      <c r="B28" s="180"/>
      <c r="C28" s="180"/>
      <c r="D28" s="181"/>
      <c r="E28" s="180"/>
      <c r="F28" s="182"/>
      <c r="G28" s="182"/>
      <c r="H28" s="182"/>
      <c r="I28" s="182"/>
      <c r="J28" s="182"/>
      <c r="K28" s="182"/>
      <c r="L28" s="182"/>
      <c r="M28" s="183"/>
    </row>
    <row r="29" ht="15.75" customHeight="1">
      <c r="A29" s="184" t="s">
        <v>132</v>
      </c>
      <c r="B29" s="185" t="s">
        <v>93</v>
      </c>
      <c r="C29" s="185" t="s">
        <v>114</v>
      </c>
      <c r="D29" s="186">
        <v>44.0</v>
      </c>
      <c r="E29" s="185" t="s">
        <v>133</v>
      </c>
      <c r="F29" s="189">
        <v>6.0</v>
      </c>
      <c r="G29" s="189">
        <v>15.0</v>
      </c>
      <c r="H29" s="189">
        <v>5.0</v>
      </c>
      <c r="I29" s="189">
        <v>26.0</v>
      </c>
      <c r="J29" s="189">
        <v>222.5</v>
      </c>
      <c r="K29" s="189">
        <v>44.5</v>
      </c>
      <c r="L29" s="189">
        <v>1958.0</v>
      </c>
      <c r="M29" s="191"/>
    </row>
    <row r="30" ht="15.75" customHeight="1">
      <c r="A30" s="179" t="s">
        <v>134</v>
      </c>
      <c r="B30" s="180" t="s">
        <v>93</v>
      </c>
      <c r="C30" s="180" t="s">
        <v>97</v>
      </c>
      <c r="D30" s="181">
        <v>44.0</v>
      </c>
      <c r="E30" s="180" t="s">
        <v>135</v>
      </c>
      <c r="F30" s="182">
        <v>6.0</v>
      </c>
      <c r="G30" s="182">
        <v>15.0</v>
      </c>
      <c r="H30" s="182">
        <v>5.0</v>
      </c>
      <c r="I30" s="182">
        <v>26.0</v>
      </c>
      <c r="J30" s="182">
        <v>222.5</v>
      </c>
      <c r="K30" s="182">
        <v>44.5</v>
      </c>
      <c r="L30" s="182">
        <v>1958.0</v>
      </c>
      <c r="M30" s="183"/>
    </row>
    <row r="31" ht="15.75" customHeight="1">
      <c r="A31" s="184" t="s">
        <v>136</v>
      </c>
      <c r="B31" s="185" t="s">
        <v>93</v>
      </c>
      <c r="C31" s="185" t="s">
        <v>137</v>
      </c>
      <c r="D31" s="186">
        <v>44.0</v>
      </c>
      <c r="E31" s="185" t="s">
        <v>138</v>
      </c>
      <c r="F31" s="189">
        <v>6.0</v>
      </c>
      <c r="G31" s="189">
        <v>15.0</v>
      </c>
      <c r="H31" s="189">
        <v>5.0</v>
      </c>
      <c r="I31" s="189">
        <v>26.0</v>
      </c>
      <c r="J31" s="189">
        <v>222.5</v>
      </c>
      <c r="K31" s="189">
        <v>44.5</v>
      </c>
      <c r="L31" s="189">
        <v>1958.0</v>
      </c>
      <c r="M31" s="191"/>
    </row>
    <row r="32" ht="15.75" customHeight="1">
      <c r="A32" s="192"/>
      <c r="B32" s="193"/>
      <c r="C32" s="193"/>
      <c r="D32" s="194"/>
      <c r="E32" s="193"/>
      <c r="F32" s="183"/>
      <c r="G32" s="183"/>
      <c r="H32" s="183"/>
      <c r="I32" s="183"/>
      <c r="J32" s="183"/>
      <c r="K32" s="183"/>
      <c r="L32" s="183"/>
      <c r="M32" s="183"/>
    </row>
    <row r="33" ht="15.75" customHeight="1">
      <c r="A33" s="195"/>
      <c r="B33" s="196"/>
      <c r="C33" s="196"/>
      <c r="D33" s="197"/>
      <c r="E33" s="196"/>
      <c r="F33" s="191"/>
      <c r="G33" s="191"/>
      <c r="H33" s="191"/>
      <c r="I33" s="191"/>
      <c r="J33" s="191"/>
      <c r="K33" s="191"/>
      <c r="L33" s="191"/>
      <c r="M33" s="191"/>
    </row>
    <row r="34" ht="15.75" customHeight="1">
      <c r="A34" s="192"/>
      <c r="B34" s="193"/>
      <c r="C34" s="193"/>
      <c r="D34" s="194"/>
      <c r="E34" s="193"/>
      <c r="F34" s="183"/>
      <c r="G34" s="183"/>
      <c r="H34" s="183"/>
      <c r="I34" s="183"/>
      <c r="J34" s="183"/>
      <c r="K34" s="183"/>
      <c r="L34" s="183"/>
      <c r="M34" s="183"/>
    </row>
    <row r="35" ht="15.75" customHeight="1">
      <c r="A35" s="195"/>
      <c r="B35" s="196"/>
      <c r="C35" s="196"/>
      <c r="D35" s="197"/>
      <c r="E35" s="196"/>
      <c r="F35" s="191"/>
      <c r="G35" s="191"/>
      <c r="H35" s="191"/>
      <c r="I35" s="191"/>
      <c r="J35" s="191"/>
      <c r="K35" s="191"/>
      <c r="L35" s="191"/>
      <c r="M35" s="191"/>
    </row>
    <row r="36" ht="15.75" customHeight="1">
      <c r="A36" s="192"/>
      <c r="B36" s="193"/>
      <c r="C36" s="193"/>
      <c r="D36" s="194"/>
      <c r="E36" s="193"/>
      <c r="F36" s="183"/>
      <c r="G36" s="183"/>
      <c r="H36" s="183"/>
      <c r="I36" s="183"/>
      <c r="J36" s="183"/>
      <c r="K36" s="183"/>
      <c r="L36" s="183"/>
      <c r="M36" s="183"/>
    </row>
    <row r="37" ht="15.75" customHeight="1">
      <c r="A37" s="195"/>
      <c r="B37" s="196"/>
      <c r="C37" s="196"/>
      <c r="D37" s="197"/>
      <c r="E37" s="196"/>
      <c r="F37" s="191"/>
      <c r="G37" s="191"/>
      <c r="H37" s="191"/>
      <c r="I37" s="191"/>
      <c r="J37" s="191"/>
      <c r="K37" s="191"/>
      <c r="L37" s="191"/>
      <c r="M37" s="191"/>
    </row>
    <row r="38" ht="15.75" customHeight="1">
      <c r="A38" s="192"/>
      <c r="B38" s="193"/>
      <c r="C38" s="193"/>
      <c r="D38" s="194"/>
      <c r="E38" s="193"/>
      <c r="F38" s="183"/>
      <c r="G38" s="183"/>
      <c r="H38" s="183"/>
      <c r="I38" s="183"/>
      <c r="J38" s="183"/>
      <c r="K38" s="183"/>
      <c r="L38" s="183"/>
      <c r="M38" s="183"/>
    </row>
    <row r="39" ht="15.75" customHeight="1">
      <c r="A39" s="195"/>
      <c r="B39" s="196"/>
      <c r="C39" s="196"/>
      <c r="D39" s="197"/>
      <c r="E39" s="196"/>
      <c r="F39" s="191"/>
      <c r="G39" s="191"/>
      <c r="H39" s="191"/>
      <c r="I39" s="191"/>
      <c r="J39" s="191"/>
      <c r="K39" s="191"/>
      <c r="L39" s="191"/>
      <c r="M39" s="191"/>
    </row>
    <row r="40" ht="15.75" customHeight="1">
      <c r="A40" s="192"/>
      <c r="B40" s="193"/>
      <c r="C40" s="193"/>
      <c r="D40" s="194"/>
      <c r="E40" s="193"/>
      <c r="F40" s="183"/>
      <c r="G40" s="183"/>
      <c r="H40" s="183"/>
      <c r="I40" s="183"/>
      <c r="J40" s="183"/>
      <c r="K40" s="183"/>
      <c r="L40" s="183"/>
      <c r="M40" s="183"/>
    </row>
    <row r="41" ht="15.75" customHeight="1">
      <c r="A41" s="195"/>
      <c r="B41" s="196"/>
      <c r="C41" s="196"/>
      <c r="D41" s="197"/>
      <c r="E41" s="196"/>
      <c r="F41" s="191"/>
      <c r="G41" s="191"/>
      <c r="H41" s="191"/>
      <c r="I41" s="191"/>
      <c r="J41" s="191"/>
      <c r="K41" s="191"/>
      <c r="L41" s="191"/>
      <c r="M41" s="191"/>
    </row>
    <row r="42" ht="15.75" customHeight="1">
      <c r="A42" s="192"/>
      <c r="B42" s="193"/>
      <c r="C42" s="193"/>
      <c r="D42" s="194"/>
      <c r="E42" s="193"/>
      <c r="F42" s="183"/>
      <c r="G42" s="183"/>
      <c r="H42" s="183"/>
      <c r="I42" s="183"/>
      <c r="J42" s="183"/>
      <c r="K42" s="183"/>
      <c r="L42" s="183"/>
      <c r="M42" s="183"/>
    </row>
    <row r="43" ht="15.75" customHeight="1">
      <c r="A43" s="195"/>
      <c r="B43" s="196"/>
      <c r="C43" s="196"/>
      <c r="D43" s="197"/>
      <c r="E43" s="196"/>
      <c r="F43" s="191"/>
      <c r="G43" s="191"/>
      <c r="H43" s="191"/>
      <c r="I43" s="191"/>
      <c r="J43" s="191"/>
      <c r="K43" s="191"/>
      <c r="L43" s="191"/>
      <c r="M43" s="191"/>
    </row>
    <row r="44" ht="15.75" customHeight="1">
      <c r="A44" s="192"/>
      <c r="B44" s="193"/>
      <c r="C44" s="193"/>
      <c r="D44" s="194"/>
      <c r="E44" s="193"/>
      <c r="F44" s="183"/>
      <c r="G44" s="183"/>
      <c r="H44" s="183"/>
      <c r="I44" s="183"/>
      <c r="J44" s="183"/>
      <c r="K44" s="183"/>
      <c r="L44" s="183"/>
      <c r="M44" s="183"/>
    </row>
    <row r="45" ht="15.75" customHeight="1">
      <c r="A45" s="195"/>
      <c r="B45" s="196"/>
      <c r="C45" s="196"/>
      <c r="D45" s="197"/>
      <c r="E45" s="196"/>
      <c r="F45" s="191"/>
      <c r="G45" s="191"/>
      <c r="H45" s="191"/>
      <c r="I45" s="191"/>
      <c r="J45" s="191"/>
      <c r="K45" s="191"/>
      <c r="L45" s="191"/>
      <c r="M45" s="191"/>
    </row>
    <row r="46" ht="15.75" customHeight="1">
      <c r="A46" s="192"/>
      <c r="B46" s="193"/>
      <c r="C46" s="193"/>
      <c r="D46" s="194"/>
      <c r="E46" s="193"/>
      <c r="F46" s="183"/>
      <c r="G46" s="183"/>
      <c r="H46" s="183"/>
      <c r="I46" s="183"/>
      <c r="J46" s="183"/>
      <c r="K46" s="183"/>
      <c r="L46" s="183"/>
      <c r="M46" s="183"/>
    </row>
    <row r="47" ht="15.75" customHeight="1">
      <c r="A47" s="195"/>
      <c r="B47" s="196"/>
      <c r="C47" s="196"/>
      <c r="D47" s="197"/>
      <c r="E47" s="196"/>
      <c r="F47" s="191"/>
      <c r="G47" s="191"/>
      <c r="H47" s="191"/>
      <c r="I47" s="191"/>
      <c r="J47" s="191"/>
      <c r="K47" s="191"/>
      <c r="L47" s="191"/>
      <c r="M47" s="191"/>
    </row>
    <row r="48" ht="15.75" customHeight="1">
      <c r="A48" s="192"/>
      <c r="B48" s="193"/>
      <c r="C48" s="193"/>
      <c r="D48" s="194"/>
      <c r="E48" s="193"/>
      <c r="F48" s="183"/>
      <c r="G48" s="183"/>
      <c r="H48" s="183"/>
      <c r="I48" s="183"/>
      <c r="J48" s="183"/>
      <c r="K48" s="183"/>
      <c r="L48" s="183"/>
      <c r="M48" s="183"/>
    </row>
    <row r="49" ht="15.75" customHeight="1">
      <c r="A49" s="195"/>
      <c r="B49" s="196"/>
      <c r="C49" s="196"/>
      <c r="D49" s="197"/>
      <c r="E49" s="196"/>
      <c r="F49" s="191"/>
      <c r="G49" s="191"/>
      <c r="H49" s="191"/>
      <c r="I49" s="191"/>
      <c r="J49" s="191"/>
      <c r="K49" s="191"/>
      <c r="L49" s="191"/>
      <c r="M49" s="191"/>
    </row>
    <row r="50" ht="15.75" customHeight="1">
      <c r="A50" s="192"/>
      <c r="B50" s="193"/>
      <c r="C50" s="193"/>
      <c r="D50" s="194"/>
      <c r="E50" s="193"/>
      <c r="F50" s="183"/>
      <c r="G50" s="183"/>
      <c r="H50" s="183"/>
      <c r="I50" s="183"/>
      <c r="J50" s="183"/>
      <c r="K50" s="183"/>
      <c r="L50" s="183"/>
      <c r="M50" s="183"/>
    </row>
    <row r="51" ht="15.75" customHeight="1">
      <c r="A51" s="195"/>
      <c r="B51" s="196"/>
      <c r="C51" s="196"/>
      <c r="D51" s="197"/>
      <c r="E51" s="196"/>
      <c r="F51" s="191"/>
      <c r="G51" s="191"/>
      <c r="H51" s="191"/>
      <c r="I51" s="191"/>
      <c r="J51" s="191"/>
      <c r="K51" s="191"/>
      <c r="L51" s="191"/>
      <c r="M51" s="191"/>
    </row>
    <row r="52" ht="15.75" customHeight="1">
      <c r="A52" s="192"/>
      <c r="B52" s="193"/>
      <c r="C52" s="193"/>
      <c r="D52" s="194"/>
      <c r="E52" s="193"/>
      <c r="F52" s="183"/>
      <c r="G52" s="183"/>
      <c r="H52" s="183"/>
      <c r="I52" s="183"/>
      <c r="J52" s="183"/>
      <c r="K52" s="183"/>
      <c r="L52" s="183"/>
      <c r="M52" s="183"/>
    </row>
    <row r="53" ht="15.75" customHeight="1">
      <c r="A53" s="195"/>
      <c r="B53" s="196"/>
      <c r="C53" s="196"/>
      <c r="D53" s="197"/>
      <c r="E53" s="196"/>
      <c r="F53" s="191"/>
      <c r="G53" s="191"/>
      <c r="H53" s="191"/>
      <c r="I53" s="191"/>
      <c r="J53" s="191"/>
      <c r="K53" s="191"/>
      <c r="L53" s="191"/>
      <c r="M53" s="191"/>
    </row>
    <row r="54" ht="15.75" customHeight="1">
      <c r="A54" s="192"/>
      <c r="B54" s="193"/>
      <c r="C54" s="193"/>
      <c r="D54" s="194"/>
      <c r="E54" s="193"/>
      <c r="F54" s="183"/>
      <c r="G54" s="183"/>
      <c r="H54" s="183"/>
      <c r="I54" s="183"/>
      <c r="J54" s="183"/>
      <c r="K54" s="183"/>
      <c r="L54" s="183"/>
      <c r="M54" s="183"/>
    </row>
    <row r="55" ht="15.75" customHeight="1">
      <c r="A55" s="195"/>
      <c r="B55" s="196"/>
      <c r="C55" s="196"/>
      <c r="D55" s="197"/>
      <c r="E55" s="196"/>
      <c r="F55" s="191"/>
      <c r="G55" s="191"/>
      <c r="H55" s="191"/>
      <c r="I55" s="191"/>
      <c r="J55" s="191"/>
      <c r="K55" s="191"/>
      <c r="L55" s="191"/>
      <c r="M55" s="191"/>
    </row>
    <row r="56" ht="15.75" customHeight="1">
      <c r="A56" s="192"/>
      <c r="B56" s="193"/>
      <c r="C56" s="193"/>
      <c r="D56" s="194"/>
      <c r="E56" s="193"/>
      <c r="F56" s="183"/>
      <c r="G56" s="183"/>
      <c r="H56" s="183"/>
      <c r="I56" s="183"/>
      <c r="J56" s="183"/>
      <c r="K56" s="183"/>
      <c r="L56" s="183"/>
      <c r="M56" s="183"/>
    </row>
    <row r="57" ht="15.75" customHeight="1">
      <c r="A57" s="195"/>
      <c r="B57" s="196"/>
      <c r="C57" s="196"/>
      <c r="D57" s="197"/>
      <c r="E57" s="196"/>
      <c r="F57" s="191"/>
      <c r="G57" s="191"/>
      <c r="H57" s="191"/>
      <c r="I57" s="191"/>
      <c r="J57" s="191"/>
      <c r="K57" s="191"/>
      <c r="L57" s="191"/>
      <c r="M57" s="191"/>
    </row>
    <row r="58" ht="15.75" customHeight="1">
      <c r="A58" s="192"/>
      <c r="B58" s="193"/>
      <c r="C58" s="193"/>
      <c r="D58" s="194"/>
      <c r="E58" s="193"/>
      <c r="F58" s="183"/>
      <c r="G58" s="183"/>
      <c r="H58" s="183"/>
      <c r="I58" s="183"/>
      <c r="J58" s="183"/>
      <c r="K58" s="183"/>
      <c r="L58" s="183"/>
      <c r="M58" s="183"/>
    </row>
    <row r="59" ht="15.75" customHeight="1">
      <c r="A59" s="195"/>
      <c r="B59" s="196"/>
      <c r="C59" s="196"/>
      <c r="D59" s="197"/>
      <c r="E59" s="196"/>
      <c r="F59" s="191"/>
      <c r="G59" s="191"/>
      <c r="H59" s="191"/>
      <c r="I59" s="191"/>
      <c r="J59" s="191"/>
      <c r="K59" s="191"/>
      <c r="L59" s="191"/>
      <c r="M59" s="191"/>
    </row>
    <row r="60" ht="15.75" customHeight="1">
      <c r="A60" s="192"/>
      <c r="B60" s="193"/>
      <c r="C60" s="193"/>
      <c r="D60" s="194"/>
      <c r="E60" s="193"/>
      <c r="F60" s="183"/>
      <c r="G60" s="183"/>
      <c r="H60" s="183"/>
      <c r="I60" s="183"/>
      <c r="J60" s="183"/>
      <c r="K60" s="183"/>
      <c r="L60" s="183"/>
      <c r="M60" s="183"/>
    </row>
    <row r="61" ht="15.75" customHeight="1">
      <c r="A61" s="195"/>
      <c r="B61" s="196"/>
      <c r="C61" s="196"/>
      <c r="D61" s="197"/>
      <c r="E61" s="196"/>
      <c r="F61" s="191"/>
      <c r="G61" s="191"/>
      <c r="H61" s="191"/>
      <c r="I61" s="191"/>
      <c r="J61" s="191"/>
      <c r="K61" s="191"/>
      <c r="L61" s="191"/>
      <c r="M61" s="191"/>
    </row>
    <row r="62" ht="15.75" customHeight="1">
      <c r="A62" s="192"/>
      <c r="B62" s="193"/>
      <c r="C62" s="193"/>
      <c r="D62" s="194"/>
      <c r="E62" s="193"/>
      <c r="F62" s="183"/>
      <c r="G62" s="183"/>
      <c r="H62" s="183"/>
      <c r="I62" s="183"/>
      <c r="J62" s="183"/>
      <c r="K62" s="183"/>
      <c r="L62" s="183"/>
      <c r="M62" s="183"/>
    </row>
    <row r="63" ht="15.75" customHeight="1">
      <c r="A63" s="195"/>
      <c r="B63" s="196"/>
      <c r="C63" s="196"/>
      <c r="D63" s="197"/>
      <c r="E63" s="196"/>
      <c r="F63" s="191"/>
      <c r="G63" s="191"/>
      <c r="H63" s="191"/>
      <c r="I63" s="191"/>
      <c r="J63" s="191"/>
      <c r="K63" s="191"/>
      <c r="L63" s="191"/>
      <c r="M63" s="191"/>
    </row>
    <row r="64" ht="15.75" customHeight="1">
      <c r="A64" s="192"/>
      <c r="B64" s="193"/>
      <c r="C64" s="193"/>
      <c r="D64" s="194"/>
      <c r="E64" s="193"/>
      <c r="F64" s="183"/>
      <c r="G64" s="183"/>
      <c r="H64" s="183"/>
      <c r="I64" s="183"/>
      <c r="J64" s="183"/>
      <c r="K64" s="183"/>
      <c r="L64" s="183"/>
      <c r="M64" s="183"/>
    </row>
    <row r="65" ht="15.75" customHeight="1">
      <c r="A65" s="195"/>
      <c r="B65" s="196"/>
      <c r="C65" s="196"/>
      <c r="D65" s="197"/>
      <c r="E65" s="196"/>
      <c r="F65" s="191"/>
      <c r="G65" s="191"/>
      <c r="H65" s="191"/>
      <c r="I65" s="191"/>
      <c r="J65" s="191"/>
      <c r="K65" s="191"/>
      <c r="L65" s="191"/>
      <c r="M65" s="191"/>
    </row>
    <row r="66" ht="15.75" customHeight="1">
      <c r="A66" s="192"/>
      <c r="B66" s="193"/>
      <c r="C66" s="193"/>
      <c r="D66" s="194"/>
      <c r="E66" s="193"/>
      <c r="F66" s="183"/>
      <c r="G66" s="183"/>
      <c r="H66" s="183"/>
      <c r="I66" s="183"/>
      <c r="J66" s="183"/>
      <c r="K66" s="183"/>
      <c r="L66" s="183"/>
      <c r="M66" s="183"/>
    </row>
    <row r="67" ht="15.75" customHeight="1">
      <c r="A67" s="195"/>
      <c r="B67" s="196"/>
      <c r="C67" s="196"/>
      <c r="D67" s="197"/>
      <c r="E67" s="196"/>
      <c r="F67" s="191"/>
      <c r="G67" s="191"/>
      <c r="H67" s="191"/>
      <c r="I67" s="191"/>
      <c r="J67" s="191"/>
      <c r="K67" s="191"/>
      <c r="L67" s="191"/>
      <c r="M67" s="191"/>
    </row>
    <row r="68" ht="15.75" customHeight="1">
      <c r="A68" s="192"/>
      <c r="B68" s="193"/>
      <c r="C68" s="193"/>
      <c r="D68" s="194"/>
      <c r="E68" s="193"/>
      <c r="F68" s="183"/>
      <c r="G68" s="183"/>
      <c r="H68" s="183"/>
      <c r="I68" s="183"/>
      <c r="J68" s="183"/>
      <c r="K68" s="183"/>
      <c r="L68" s="183"/>
      <c r="M68" s="183"/>
    </row>
    <row r="69" ht="15.75" customHeight="1">
      <c r="A69" s="195"/>
      <c r="B69" s="196"/>
      <c r="C69" s="196"/>
      <c r="D69" s="197"/>
      <c r="E69" s="196"/>
      <c r="F69" s="191"/>
      <c r="G69" s="191"/>
      <c r="H69" s="191"/>
      <c r="I69" s="191"/>
      <c r="J69" s="191"/>
      <c r="K69" s="191"/>
      <c r="L69" s="191"/>
      <c r="M69" s="191"/>
    </row>
    <row r="70" ht="15.75" customHeight="1">
      <c r="A70" s="192"/>
      <c r="B70" s="193"/>
      <c r="C70" s="193"/>
      <c r="D70" s="194"/>
      <c r="E70" s="193"/>
      <c r="F70" s="183"/>
      <c r="G70" s="183"/>
      <c r="H70" s="183"/>
      <c r="I70" s="183"/>
      <c r="J70" s="183"/>
      <c r="K70" s="183"/>
      <c r="L70" s="183"/>
      <c r="M70" s="183"/>
    </row>
    <row r="71" ht="15.75" customHeight="1">
      <c r="A71" s="195"/>
      <c r="B71" s="196"/>
      <c r="C71" s="196"/>
      <c r="D71" s="197"/>
      <c r="E71" s="196"/>
      <c r="F71" s="191"/>
      <c r="G71" s="191"/>
      <c r="H71" s="191"/>
      <c r="I71" s="191"/>
      <c r="J71" s="191"/>
      <c r="K71" s="191"/>
      <c r="L71" s="191"/>
      <c r="M71" s="191"/>
    </row>
    <row r="72" ht="15.75" customHeight="1">
      <c r="A72" s="192"/>
      <c r="B72" s="193"/>
      <c r="C72" s="193"/>
      <c r="D72" s="194"/>
      <c r="E72" s="193"/>
      <c r="F72" s="183"/>
      <c r="G72" s="183"/>
      <c r="H72" s="183"/>
      <c r="I72" s="183"/>
      <c r="J72" s="183"/>
      <c r="K72" s="183"/>
      <c r="L72" s="183"/>
      <c r="M72" s="183"/>
    </row>
    <row r="73" ht="15.75" customHeight="1">
      <c r="A73" s="195"/>
      <c r="B73" s="196"/>
      <c r="C73" s="196"/>
      <c r="D73" s="197"/>
      <c r="E73" s="196"/>
      <c r="F73" s="191"/>
      <c r="G73" s="191"/>
      <c r="H73" s="191"/>
      <c r="I73" s="191"/>
      <c r="J73" s="191"/>
      <c r="K73" s="191"/>
      <c r="L73" s="191"/>
      <c r="M73" s="191"/>
    </row>
    <row r="74" ht="15.75" customHeight="1">
      <c r="A74" s="192"/>
      <c r="B74" s="193"/>
      <c r="C74" s="193"/>
      <c r="D74" s="194"/>
      <c r="E74" s="193"/>
      <c r="F74" s="183"/>
      <c r="G74" s="183"/>
      <c r="H74" s="183"/>
      <c r="I74" s="183"/>
      <c r="J74" s="183"/>
      <c r="K74" s="183"/>
      <c r="L74" s="183"/>
      <c r="M74" s="183"/>
    </row>
    <row r="75" ht="15.75" customHeight="1">
      <c r="A75" s="195"/>
      <c r="B75" s="196"/>
      <c r="C75" s="196"/>
      <c r="D75" s="197"/>
      <c r="E75" s="196"/>
      <c r="F75" s="191"/>
      <c r="G75" s="191"/>
      <c r="H75" s="191"/>
      <c r="I75" s="191"/>
      <c r="J75" s="191"/>
      <c r="K75" s="191"/>
      <c r="L75" s="191"/>
      <c r="M75" s="191"/>
    </row>
    <row r="76" ht="15.75" customHeight="1">
      <c r="A76" s="192"/>
      <c r="B76" s="193"/>
      <c r="C76" s="193"/>
      <c r="D76" s="194"/>
      <c r="E76" s="193"/>
      <c r="F76" s="183"/>
      <c r="G76" s="183"/>
      <c r="H76" s="183"/>
      <c r="I76" s="183"/>
      <c r="J76" s="183"/>
      <c r="K76" s="183"/>
      <c r="L76" s="183"/>
      <c r="M76" s="183"/>
    </row>
    <row r="77" ht="15.75" customHeight="1">
      <c r="A77" s="195"/>
      <c r="B77" s="196"/>
      <c r="C77" s="196"/>
      <c r="D77" s="197"/>
      <c r="E77" s="196"/>
      <c r="F77" s="191"/>
      <c r="G77" s="191"/>
      <c r="H77" s="191"/>
      <c r="I77" s="191"/>
      <c r="J77" s="191"/>
      <c r="K77" s="191"/>
      <c r="L77" s="191"/>
      <c r="M77" s="191"/>
    </row>
    <row r="78" ht="15.75" customHeight="1">
      <c r="A78" s="192"/>
      <c r="B78" s="193"/>
      <c r="C78" s="193"/>
      <c r="D78" s="194"/>
      <c r="E78" s="193"/>
      <c r="F78" s="183"/>
      <c r="G78" s="183"/>
      <c r="H78" s="183"/>
      <c r="I78" s="183"/>
      <c r="J78" s="183"/>
      <c r="K78" s="183"/>
      <c r="L78" s="183"/>
      <c r="M78" s="183"/>
    </row>
    <row r="79" ht="15.75" customHeight="1">
      <c r="A79" s="195"/>
      <c r="B79" s="196"/>
      <c r="C79" s="196"/>
      <c r="D79" s="197"/>
      <c r="E79" s="196"/>
      <c r="F79" s="191"/>
      <c r="G79" s="191"/>
      <c r="H79" s="191"/>
      <c r="I79" s="191"/>
      <c r="J79" s="191"/>
      <c r="K79" s="191"/>
      <c r="L79" s="191"/>
      <c r="M79" s="191"/>
    </row>
    <row r="80" ht="15.75" customHeight="1">
      <c r="A80" s="192"/>
      <c r="B80" s="193"/>
      <c r="C80" s="193"/>
      <c r="D80" s="194"/>
      <c r="E80" s="193"/>
      <c r="F80" s="183"/>
      <c r="G80" s="183"/>
      <c r="H80" s="183"/>
      <c r="I80" s="183"/>
      <c r="J80" s="183"/>
      <c r="K80" s="183"/>
      <c r="L80" s="183"/>
      <c r="M80" s="183"/>
    </row>
    <row r="81" ht="15.75" customHeight="1">
      <c r="A81" s="195"/>
      <c r="B81" s="196"/>
      <c r="C81" s="196"/>
      <c r="D81" s="197"/>
      <c r="E81" s="196"/>
      <c r="F81" s="191"/>
      <c r="G81" s="191"/>
      <c r="H81" s="191"/>
      <c r="I81" s="191"/>
      <c r="J81" s="191"/>
      <c r="K81" s="191"/>
      <c r="L81" s="191"/>
      <c r="M81" s="191"/>
    </row>
    <row r="82" ht="15.75" customHeight="1">
      <c r="A82" s="192"/>
      <c r="B82" s="193"/>
      <c r="C82" s="193"/>
      <c r="D82" s="194"/>
      <c r="E82" s="193"/>
      <c r="F82" s="183"/>
      <c r="G82" s="183"/>
      <c r="H82" s="183"/>
      <c r="I82" s="183"/>
      <c r="J82" s="183"/>
      <c r="K82" s="183"/>
      <c r="L82" s="183"/>
      <c r="M82" s="183"/>
    </row>
    <row r="83" ht="15.75" customHeight="1">
      <c r="A83" s="195"/>
      <c r="B83" s="196"/>
      <c r="C83" s="196"/>
      <c r="D83" s="197"/>
      <c r="E83" s="196"/>
      <c r="F83" s="191"/>
      <c r="G83" s="191"/>
      <c r="H83" s="191"/>
      <c r="I83" s="191"/>
      <c r="J83" s="191"/>
      <c r="K83" s="191"/>
      <c r="L83" s="191"/>
      <c r="M83" s="191"/>
    </row>
    <row r="84" ht="15.75" customHeight="1">
      <c r="A84" s="192"/>
      <c r="B84" s="193"/>
      <c r="C84" s="193"/>
      <c r="D84" s="194"/>
      <c r="E84" s="193"/>
      <c r="F84" s="183"/>
      <c r="G84" s="183"/>
      <c r="H84" s="183"/>
      <c r="I84" s="183"/>
      <c r="J84" s="183"/>
      <c r="K84" s="183"/>
      <c r="L84" s="183"/>
      <c r="M84" s="183"/>
    </row>
    <row r="85" ht="15.75" customHeight="1">
      <c r="A85" s="195"/>
      <c r="B85" s="196"/>
      <c r="C85" s="196"/>
      <c r="D85" s="197"/>
      <c r="E85" s="196"/>
      <c r="F85" s="191"/>
      <c r="G85" s="191"/>
      <c r="H85" s="191"/>
      <c r="I85" s="191"/>
      <c r="J85" s="191"/>
      <c r="K85" s="191"/>
      <c r="L85" s="191"/>
      <c r="M85" s="191"/>
    </row>
    <row r="86" ht="15.75" customHeight="1">
      <c r="A86" s="192"/>
      <c r="B86" s="193"/>
      <c r="C86" s="193"/>
      <c r="D86" s="194"/>
      <c r="E86" s="193"/>
      <c r="F86" s="183"/>
      <c r="G86" s="183"/>
      <c r="H86" s="183"/>
      <c r="I86" s="183"/>
      <c r="J86" s="183"/>
      <c r="K86" s="183"/>
      <c r="L86" s="183"/>
      <c r="M86" s="183"/>
    </row>
    <row r="87" ht="15.75" customHeight="1">
      <c r="A87" s="195"/>
      <c r="B87" s="196"/>
      <c r="C87" s="196"/>
      <c r="D87" s="197"/>
      <c r="E87" s="196"/>
      <c r="F87" s="191"/>
      <c r="G87" s="191"/>
      <c r="H87" s="191"/>
      <c r="I87" s="191"/>
      <c r="J87" s="191"/>
      <c r="K87" s="191"/>
      <c r="L87" s="191"/>
      <c r="M87" s="191"/>
    </row>
    <row r="88" ht="15.75" customHeight="1">
      <c r="A88" s="192"/>
      <c r="B88" s="193"/>
      <c r="C88" s="193"/>
      <c r="D88" s="194"/>
      <c r="E88" s="193"/>
      <c r="F88" s="183"/>
      <c r="G88" s="183"/>
      <c r="H88" s="183"/>
      <c r="I88" s="183"/>
      <c r="J88" s="183"/>
      <c r="K88" s="183"/>
      <c r="L88" s="183"/>
      <c r="M88" s="183"/>
    </row>
    <row r="89" ht="15.75" customHeight="1">
      <c r="A89" s="195"/>
      <c r="B89" s="196"/>
      <c r="C89" s="196"/>
      <c r="D89" s="197"/>
      <c r="E89" s="196"/>
      <c r="F89" s="191"/>
      <c r="G89" s="191"/>
      <c r="H89" s="191"/>
      <c r="I89" s="191"/>
      <c r="J89" s="191"/>
      <c r="K89" s="191"/>
      <c r="L89" s="191"/>
      <c r="M89" s="191"/>
    </row>
    <row r="90" ht="15.75" customHeight="1">
      <c r="A90" s="192"/>
      <c r="B90" s="193"/>
      <c r="C90" s="193"/>
      <c r="D90" s="194"/>
      <c r="E90" s="193"/>
      <c r="F90" s="183"/>
      <c r="G90" s="183"/>
      <c r="H90" s="183"/>
      <c r="I90" s="183"/>
      <c r="J90" s="183"/>
      <c r="K90" s="183"/>
      <c r="L90" s="183"/>
      <c r="M90" s="183"/>
    </row>
    <row r="91" ht="15.75" customHeight="1">
      <c r="A91" s="195"/>
      <c r="B91" s="196"/>
      <c r="C91" s="196"/>
      <c r="D91" s="197"/>
      <c r="E91" s="196"/>
      <c r="F91" s="191"/>
      <c r="G91" s="191"/>
      <c r="H91" s="191"/>
      <c r="I91" s="191"/>
      <c r="J91" s="191"/>
      <c r="K91" s="191"/>
      <c r="L91" s="191"/>
      <c r="M91" s="191"/>
    </row>
    <row r="92" ht="15.75" customHeight="1">
      <c r="A92" s="192"/>
      <c r="B92" s="193"/>
      <c r="C92" s="193"/>
      <c r="D92" s="194"/>
      <c r="E92" s="193"/>
      <c r="F92" s="183"/>
      <c r="G92" s="183"/>
      <c r="H92" s="183"/>
      <c r="I92" s="183"/>
      <c r="J92" s="183"/>
      <c r="K92" s="183"/>
      <c r="L92" s="183"/>
      <c r="M92" s="183"/>
    </row>
    <row r="93" ht="15.75" customHeight="1">
      <c r="A93" s="195"/>
      <c r="B93" s="196"/>
      <c r="C93" s="196"/>
      <c r="D93" s="197"/>
      <c r="E93" s="196"/>
      <c r="F93" s="191"/>
      <c r="G93" s="191"/>
      <c r="H93" s="191"/>
      <c r="I93" s="191"/>
      <c r="J93" s="191"/>
      <c r="K93" s="191"/>
      <c r="L93" s="191"/>
      <c r="M93" s="191"/>
    </row>
    <row r="94" ht="15.75" customHeight="1">
      <c r="A94" s="192"/>
      <c r="B94" s="193"/>
      <c r="C94" s="193"/>
      <c r="D94" s="194"/>
      <c r="E94" s="193"/>
      <c r="F94" s="183"/>
      <c r="G94" s="183"/>
      <c r="H94" s="183"/>
      <c r="I94" s="183"/>
      <c r="J94" s="183"/>
      <c r="K94" s="183"/>
      <c r="L94" s="183"/>
      <c r="M94" s="183"/>
    </row>
    <row r="95" ht="15.75" customHeight="1">
      <c r="A95" s="195"/>
      <c r="B95" s="196"/>
      <c r="C95" s="196"/>
      <c r="D95" s="197"/>
      <c r="E95" s="196"/>
      <c r="F95" s="191"/>
      <c r="G95" s="191"/>
      <c r="H95" s="191"/>
      <c r="I95" s="191"/>
      <c r="J95" s="191"/>
      <c r="K95" s="191"/>
      <c r="L95" s="191"/>
      <c r="M95" s="191"/>
    </row>
    <row r="96" ht="15.75" customHeight="1">
      <c r="A96" s="192"/>
      <c r="B96" s="193"/>
      <c r="C96" s="193"/>
      <c r="D96" s="194"/>
      <c r="E96" s="193"/>
      <c r="F96" s="183"/>
      <c r="G96" s="183"/>
      <c r="H96" s="183"/>
      <c r="I96" s="183"/>
      <c r="J96" s="183"/>
      <c r="K96" s="183"/>
      <c r="L96" s="183"/>
      <c r="M96" s="183"/>
    </row>
    <row r="97" ht="15.75" customHeight="1">
      <c r="A97" s="195"/>
      <c r="B97" s="196"/>
      <c r="C97" s="196"/>
      <c r="D97" s="197"/>
      <c r="E97" s="196"/>
      <c r="F97" s="191"/>
      <c r="G97" s="191"/>
      <c r="H97" s="191"/>
      <c r="I97" s="191"/>
      <c r="J97" s="191"/>
      <c r="K97" s="191"/>
      <c r="L97" s="191"/>
      <c r="M97" s="191"/>
    </row>
    <row r="98" ht="15.75" customHeight="1">
      <c r="A98" s="192"/>
      <c r="B98" s="193"/>
      <c r="C98" s="193"/>
      <c r="D98" s="194"/>
      <c r="E98" s="193"/>
      <c r="F98" s="183"/>
      <c r="G98" s="183"/>
      <c r="H98" s="183"/>
      <c r="I98" s="183"/>
      <c r="J98" s="183"/>
      <c r="K98" s="183"/>
      <c r="L98" s="183"/>
      <c r="M98" s="183"/>
    </row>
    <row r="99" ht="15.75" customHeight="1">
      <c r="A99" s="195"/>
      <c r="B99" s="196"/>
      <c r="C99" s="196"/>
      <c r="D99" s="197"/>
      <c r="E99" s="196"/>
      <c r="F99" s="191"/>
      <c r="G99" s="191"/>
      <c r="H99" s="191"/>
      <c r="I99" s="191"/>
      <c r="J99" s="191"/>
      <c r="K99" s="191"/>
      <c r="L99" s="191"/>
      <c r="M99" s="191"/>
    </row>
    <row r="100" ht="15.75" customHeight="1">
      <c r="A100" s="192"/>
      <c r="B100" s="193"/>
      <c r="C100" s="193"/>
      <c r="D100" s="194"/>
      <c r="E100" s="193"/>
      <c r="F100" s="183"/>
      <c r="G100" s="183"/>
      <c r="H100" s="183"/>
      <c r="I100" s="183"/>
      <c r="J100" s="183"/>
      <c r="K100" s="183"/>
      <c r="L100" s="183"/>
      <c r="M100" s="183"/>
    </row>
    <row r="101" ht="15.75" customHeight="1">
      <c r="A101" s="195"/>
      <c r="B101" s="196"/>
      <c r="C101" s="196"/>
      <c r="D101" s="197"/>
      <c r="E101" s="196"/>
      <c r="F101" s="191"/>
      <c r="G101" s="191"/>
      <c r="H101" s="191"/>
      <c r="I101" s="191"/>
      <c r="J101" s="191"/>
      <c r="K101" s="191"/>
      <c r="L101" s="191"/>
      <c r="M101" s="191"/>
    </row>
    <row r="102" ht="15.75" customHeight="1">
      <c r="A102" s="192"/>
      <c r="B102" s="193"/>
      <c r="C102" s="193"/>
      <c r="D102" s="194"/>
      <c r="E102" s="193"/>
      <c r="F102" s="183"/>
      <c r="G102" s="183"/>
      <c r="H102" s="183"/>
      <c r="I102" s="183"/>
      <c r="J102" s="183"/>
      <c r="K102" s="183"/>
      <c r="L102" s="183"/>
      <c r="M102" s="183"/>
    </row>
    <row r="103" ht="15.75" customHeight="1">
      <c r="A103" s="195"/>
      <c r="B103" s="196"/>
      <c r="C103" s="196"/>
      <c r="D103" s="197"/>
      <c r="E103" s="196"/>
      <c r="F103" s="191"/>
      <c r="G103" s="191"/>
      <c r="H103" s="191"/>
      <c r="I103" s="191"/>
      <c r="J103" s="191"/>
      <c r="K103" s="191"/>
      <c r="L103" s="191"/>
      <c r="M103" s="191"/>
    </row>
    <row r="104" ht="15.75" customHeight="1">
      <c r="A104" s="192"/>
      <c r="B104" s="193"/>
      <c r="C104" s="193"/>
      <c r="D104" s="194"/>
      <c r="E104" s="193"/>
      <c r="F104" s="183"/>
      <c r="G104" s="183"/>
      <c r="H104" s="183"/>
      <c r="I104" s="183"/>
      <c r="J104" s="183"/>
      <c r="K104" s="183"/>
      <c r="L104" s="183"/>
      <c r="M104" s="183"/>
    </row>
    <row r="105" ht="15.75" customHeight="1">
      <c r="A105" s="195"/>
      <c r="B105" s="196"/>
      <c r="C105" s="196"/>
      <c r="D105" s="197"/>
      <c r="E105" s="196"/>
      <c r="F105" s="191"/>
      <c r="G105" s="191"/>
      <c r="H105" s="191"/>
      <c r="I105" s="191"/>
      <c r="J105" s="191"/>
      <c r="K105" s="191"/>
      <c r="L105" s="191"/>
      <c r="M105" s="191"/>
    </row>
    <row r="106" ht="15.75" customHeight="1">
      <c r="A106" s="192"/>
      <c r="B106" s="193"/>
      <c r="C106" s="193"/>
      <c r="D106" s="194"/>
      <c r="E106" s="193"/>
      <c r="F106" s="183"/>
      <c r="G106" s="183"/>
      <c r="H106" s="183"/>
      <c r="I106" s="183"/>
      <c r="J106" s="183"/>
      <c r="K106" s="183"/>
      <c r="L106" s="183"/>
      <c r="M106" s="183"/>
    </row>
    <row r="107" ht="15.75" customHeight="1">
      <c r="A107" s="195"/>
      <c r="B107" s="196"/>
      <c r="C107" s="196"/>
      <c r="D107" s="197"/>
      <c r="E107" s="196"/>
      <c r="F107" s="191"/>
      <c r="G107" s="191"/>
      <c r="H107" s="191"/>
      <c r="I107" s="191"/>
      <c r="J107" s="191"/>
      <c r="K107" s="191"/>
      <c r="L107" s="191"/>
      <c r="M107" s="191"/>
    </row>
    <row r="108" ht="15.75" customHeight="1">
      <c r="A108" s="192"/>
      <c r="B108" s="193"/>
      <c r="C108" s="193"/>
      <c r="D108" s="194"/>
      <c r="E108" s="193"/>
      <c r="F108" s="183"/>
      <c r="G108" s="183"/>
      <c r="H108" s="183"/>
      <c r="I108" s="183"/>
      <c r="J108" s="183"/>
      <c r="K108" s="183"/>
      <c r="L108" s="183"/>
      <c r="M108" s="183"/>
    </row>
    <row r="109" ht="15.75" customHeight="1">
      <c r="A109" s="195"/>
      <c r="B109" s="196"/>
      <c r="C109" s="196"/>
      <c r="D109" s="197"/>
      <c r="E109" s="196"/>
      <c r="F109" s="191"/>
      <c r="G109" s="191"/>
      <c r="H109" s="191"/>
      <c r="I109" s="191"/>
      <c r="J109" s="191"/>
      <c r="K109" s="191"/>
      <c r="L109" s="191"/>
      <c r="M109" s="191"/>
    </row>
    <row r="110" ht="15.75" customHeight="1">
      <c r="A110" s="192"/>
      <c r="B110" s="193"/>
      <c r="C110" s="193"/>
      <c r="D110" s="194"/>
      <c r="E110" s="193"/>
      <c r="F110" s="183"/>
      <c r="G110" s="183"/>
      <c r="H110" s="183"/>
      <c r="I110" s="183"/>
      <c r="J110" s="183"/>
      <c r="K110" s="183"/>
      <c r="L110" s="183"/>
      <c r="M110" s="183"/>
    </row>
    <row r="111" ht="15.75" customHeight="1">
      <c r="A111" s="195"/>
      <c r="B111" s="196"/>
      <c r="C111" s="196"/>
      <c r="D111" s="197"/>
      <c r="E111" s="196"/>
      <c r="F111" s="191"/>
      <c r="G111" s="191"/>
      <c r="H111" s="191"/>
      <c r="I111" s="191"/>
      <c r="J111" s="191"/>
      <c r="K111" s="191"/>
      <c r="L111" s="191"/>
      <c r="M111" s="191"/>
    </row>
    <row r="112" ht="15.75" customHeight="1">
      <c r="A112" s="192"/>
      <c r="B112" s="193"/>
      <c r="C112" s="193"/>
      <c r="D112" s="194"/>
      <c r="E112" s="193"/>
      <c r="F112" s="183"/>
      <c r="G112" s="183"/>
      <c r="H112" s="183"/>
      <c r="I112" s="183"/>
      <c r="J112" s="183"/>
      <c r="K112" s="183"/>
      <c r="L112" s="183"/>
      <c r="M112" s="183"/>
    </row>
    <row r="113" ht="15.75" customHeight="1">
      <c r="A113" s="195"/>
      <c r="B113" s="196"/>
      <c r="C113" s="196"/>
      <c r="D113" s="197"/>
      <c r="E113" s="196"/>
      <c r="F113" s="191"/>
      <c r="G113" s="191"/>
      <c r="H113" s="191"/>
      <c r="I113" s="191"/>
      <c r="J113" s="191"/>
      <c r="K113" s="191"/>
      <c r="L113" s="191"/>
      <c r="M113" s="191"/>
    </row>
    <row r="114" ht="15.75" customHeight="1">
      <c r="A114" s="192"/>
      <c r="B114" s="193"/>
      <c r="C114" s="193"/>
      <c r="D114" s="194"/>
      <c r="E114" s="193"/>
      <c r="F114" s="183"/>
      <c r="G114" s="183"/>
      <c r="H114" s="183"/>
      <c r="I114" s="183"/>
      <c r="J114" s="183"/>
      <c r="K114" s="183"/>
      <c r="L114" s="183"/>
      <c r="M114" s="183"/>
    </row>
    <row r="115" ht="15.75" customHeight="1">
      <c r="A115" s="195"/>
      <c r="B115" s="196"/>
      <c r="C115" s="196"/>
      <c r="D115" s="197"/>
      <c r="E115" s="196"/>
      <c r="F115" s="191"/>
      <c r="G115" s="191"/>
      <c r="H115" s="191"/>
      <c r="I115" s="191"/>
      <c r="J115" s="191"/>
      <c r="K115" s="191"/>
      <c r="L115" s="191"/>
      <c r="M115" s="191"/>
    </row>
    <row r="116" ht="15.75" customHeight="1">
      <c r="A116" s="192"/>
      <c r="B116" s="193"/>
      <c r="C116" s="193"/>
      <c r="D116" s="194"/>
      <c r="E116" s="193"/>
      <c r="F116" s="183"/>
      <c r="G116" s="183"/>
      <c r="H116" s="183"/>
      <c r="I116" s="183"/>
      <c r="J116" s="183"/>
      <c r="K116" s="183"/>
      <c r="L116" s="183"/>
      <c r="M116" s="183"/>
    </row>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sheetData>
  <autoFilter ref="$A$1:$M$1">
    <sortState ref="A1:M1">
      <sortCondition ref="E1"/>
      <sortCondition ref="C1"/>
      <sortCondition ref="B1"/>
    </sortState>
  </autoFilter>
  <conditionalFormatting sqref="A1:M1">
    <cfRule type="containsText" dxfId="4" priority="1" operator="containsText" text="POR DEFINIR">
      <formula>NOT(ISERROR(SEARCH(("POR DEFINIR"),(A1))))</formula>
    </cfRule>
  </conditionalFormatting>
  <conditionalFormatting sqref="E1:E116">
    <cfRule type="expression" dxfId="16" priority="2">
      <formula>COUNTIF($E$1:$E116,E1)&gt;1</formula>
    </cfRule>
  </conditionalFormatting>
  <dataValidations>
    <dataValidation type="list" allowBlank="1" showDropDown="1" showErrorMessage="1" sqref="E3">
      <formula1>#REF!</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06666"/>
    <outlinePr summaryBelow="0" summaryRight="0"/>
  </sheetPr>
  <sheetViews>
    <sheetView showGridLines="0" workbookViewId="0">
      <pane xSplit="7.0" ySplit="4.0" topLeftCell="H5" activePane="bottomRight" state="frozen"/>
      <selection activeCell="H1" sqref="H1" pane="topRight"/>
      <selection activeCell="A5" sqref="A5" pane="bottomLeft"/>
      <selection activeCell="H5" sqref="H5" pane="bottomRight"/>
    </sheetView>
  </sheetViews>
  <sheetFormatPr customHeight="1" defaultColWidth="12.63" defaultRowHeight="15.0" outlineLevelRow="1"/>
  <cols>
    <col customWidth="1" min="1" max="1" width="27.5"/>
    <col customWidth="1" min="2" max="2" width="17.38"/>
    <col customWidth="1" min="3" max="3" width="26.5"/>
    <col customWidth="1" min="4" max="4" width="50.75"/>
    <col customWidth="1" min="5" max="5" width="12.5"/>
    <col customWidth="1" min="6" max="6" width="19.63"/>
    <col customWidth="1" min="7" max="7" width="13.13"/>
    <col customWidth="1" min="8" max="11" width="12.0"/>
    <col customWidth="1" min="12" max="12" width="29.38"/>
  </cols>
  <sheetData>
    <row r="1" ht="33.0" customHeight="1">
      <c r="A1" s="198" t="s">
        <v>139</v>
      </c>
      <c r="B1" s="199"/>
      <c r="C1" s="199"/>
      <c r="D1" s="199" t="s">
        <v>56</v>
      </c>
      <c r="E1" s="200"/>
      <c r="F1" s="199"/>
      <c r="G1" s="201">
        <f>SUBTOTAL(109,G5:G1770)</f>
        <v>327.29</v>
      </c>
      <c r="H1" s="202"/>
      <c r="I1" s="202"/>
      <c r="J1" s="202"/>
      <c r="K1" s="202"/>
      <c r="L1" s="199"/>
    </row>
    <row r="2" ht="15.75" customHeight="1" collapsed="1">
      <c r="A2" s="199">
        <f>IFERROR(__xludf.DUMMYFUNCTION("COUNTUNIQUE(A5:A1770)"),22.0)</f>
        <v>22</v>
      </c>
      <c r="B2" s="199"/>
      <c r="C2" s="199"/>
      <c r="D2" s="199"/>
      <c r="E2" s="200"/>
      <c r="F2" s="199"/>
      <c r="G2" s="199"/>
      <c r="H2" s="202"/>
      <c r="I2" s="202"/>
      <c r="J2" s="202"/>
      <c r="K2" s="202"/>
      <c r="L2" s="199"/>
    </row>
    <row r="3" ht="15.0" hidden="1" customHeight="1" outlineLevel="1">
      <c r="A3" s="199"/>
      <c r="B3" s="203" t="str">
        <f>IF(D1="FUNCIONARIO","","AND Col1 matches '"&amp;D1&amp;"' ")</f>
        <v/>
      </c>
      <c r="C3" s="199"/>
      <c r="D3" s="199" t="str">
        <f>IF(D1="FUNCIONARIO","","AND Col1 matches '"&amp;D1&amp;"' ")</f>
        <v/>
      </c>
      <c r="E3" s="200"/>
      <c r="F3" s="199"/>
      <c r="G3" s="200"/>
      <c r="H3" s="202"/>
      <c r="I3" s="202"/>
      <c r="J3" s="202"/>
      <c r="K3" s="202"/>
      <c r="L3" s="199"/>
    </row>
    <row r="4" ht="33.0" customHeight="1">
      <c r="A4" s="177" t="s">
        <v>56</v>
      </c>
      <c r="B4" s="177" t="s">
        <v>140</v>
      </c>
      <c r="C4" s="204" t="s">
        <v>141</v>
      </c>
      <c r="D4" s="204" t="s">
        <v>142</v>
      </c>
      <c r="E4" s="205" t="s">
        <v>143</v>
      </c>
      <c r="F4" s="206" t="s">
        <v>144</v>
      </c>
      <c r="G4" s="207" t="s">
        <v>145</v>
      </c>
      <c r="H4" s="208" t="s">
        <v>146</v>
      </c>
      <c r="I4" s="209" t="s">
        <v>147</v>
      </c>
      <c r="J4" s="209"/>
      <c r="K4" s="209"/>
      <c r="L4" s="210"/>
    </row>
    <row r="5" ht="15.75" customHeight="1">
      <c r="A5" s="211" t="str">
        <f>IFERROR(__xludf.DUMMYFUNCTION("QUERY({ENCUESTA_GESTION!B3:J1770;ENCUESTA_REU!B3:J1770;ENCUESTA_DER!B3:J1770},""SELECT * WHERE Col3 IS NOT NULL ""&amp;B3&amp;"" "",0)"),"SORAYA CRUCES DIAZ")</f>
        <v>SORAYA CRUCES DIAZ</v>
      </c>
      <c r="B5" s="212" t="str">
        <f>IFERROR(__xludf.DUMMYFUNCTION("""COMPUTED_VALUE"""),"GESTION")</f>
        <v>GESTION</v>
      </c>
      <c r="C5" s="213" t="str">
        <f>IFERROR(__xludf.DUMMYFUNCTION("""COMPUTED_VALUE"""),"MAISFC")</f>
        <v>MAISFC</v>
      </c>
      <c r="D5" s="213" t="str">
        <f>IFERROR(__xludf.DUMMYFUNCTION("""COMPUTED_VALUE"""),"ENCARGAD@ SALUD FAMILIAR")</f>
        <v>ENCARGAD@ SALUD FAMILIAR</v>
      </c>
      <c r="E5" s="214">
        <f>IFERROR(__xludf.DUMMYFUNCTION("""COMPUTED_VALUE"""),11.0)</f>
        <v>11</v>
      </c>
      <c r="F5" s="213" t="str">
        <f>IFERROR(__xludf.DUMMYFUNCTION("""COMPUTED_VALUE"""),"Independiente")</f>
        <v>Independiente</v>
      </c>
      <c r="G5" s="215">
        <f>IFERROR(__xludf.DUMMYFUNCTION("""COMPUTED_VALUE"""),11.0)</f>
        <v>11</v>
      </c>
      <c r="H5" s="216" t="str">
        <f>IFERROR(__xludf.DUMMYFUNCTION("""COMPUTED_VALUE"""),"SORAYA CRUCES DIAZGESTIONMAISFCENCARGAD@ SALUD FAMILIAR")</f>
        <v>SORAYA CRUCES DIAZGESTIONMAISFCENCARGAD@ SALUD FAMILIAR</v>
      </c>
      <c r="I5" s="216"/>
      <c r="J5" s="216"/>
      <c r="K5" s="216"/>
      <c r="L5" s="217"/>
    </row>
    <row r="6" ht="18.0" customHeight="1">
      <c r="A6" s="212" t="str">
        <f>IFERROR(__xludf.DUMMYFUNCTION("""COMPUTED_VALUE"""),"SORAYA CRUCES DIAZ")</f>
        <v>SORAYA CRUCES DIAZ</v>
      </c>
      <c r="B6" s="212" t="str">
        <f>IFERROR(__xludf.DUMMYFUNCTION("""COMPUTED_VALUE"""),"GESTION")</f>
        <v>GESTION</v>
      </c>
      <c r="C6" s="212" t="str">
        <f>IFERROR(__xludf.DUMMYFUNCTION("""COMPUTED_VALUE"""),"PROGRAMA - TRANSVERSAL")</f>
        <v>PROGRAMA - TRANSVERSAL</v>
      </c>
      <c r="D6" s="212" t="str">
        <f>IFERROR(__xludf.DUMMYFUNCTION("""COMPUTED_VALUE"""),"ENCARGADO  PROGRAMA (1 HRS)")</f>
        <v>ENCARGADO  PROGRAMA (1 HRS)</v>
      </c>
      <c r="E6" s="218">
        <f>IFERROR(__xludf.DUMMYFUNCTION("""COMPUTED_VALUE"""),1.0)</f>
        <v>1</v>
      </c>
      <c r="F6" s="212" t="str">
        <f>IFERROR(__xludf.DUMMYFUNCTION("""COMPUTED_VALUE"""),"Independiente")</f>
        <v>Independiente</v>
      </c>
      <c r="G6" s="215">
        <f>IFERROR(__xludf.DUMMYFUNCTION("""COMPUTED_VALUE"""),1.0)</f>
        <v>1</v>
      </c>
      <c r="H6" s="216" t="str">
        <f>IFERROR(__xludf.DUMMYFUNCTION("""COMPUTED_VALUE"""),"SORAYA CRUCES DIAZGESTIONPROGRAMA - TRANSVERSALENCARGADO  PROGRAMA (1 HRS)")</f>
        <v>SORAYA CRUCES DIAZGESTIONPROGRAMA - TRANSVERSALENCARGADO  PROGRAMA (1 HRS)</v>
      </c>
      <c r="I6" s="216"/>
      <c r="J6" s="216"/>
      <c r="K6" s="216"/>
      <c r="L6" s="217"/>
    </row>
    <row r="7" ht="18.0" customHeight="1">
      <c r="A7" s="212" t="str">
        <f>IFERROR(__xludf.DUMMYFUNCTION("""COMPUTED_VALUE"""),"SORAYA CRUCES DIAZ")</f>
        <v>SORAYA CRUCES DIAZ</v>
      </c>
      <c r="B7" s="212" t="str">
        <f>IFERROR(__xludf.DUMMYFUNCTION("""COMPUTED_VALUE"""),"GESTION")</f>
        <v>GESTION</v>
      </c>
      <c r="C7" s="213" t="str">
        <f>IFERROR(__xludf.DUMMYFUNCTION("""COMPUTED_VALUE"""),"PROGRAMA - TRANSVERSAL")</f>
        <v>PROGRAMA - TRANSVERSAL</v>
      </c>
      <c r="D7" s="213" t="str">
        <f>IFERROR(__xludf.DUMMYFUNCTION("""COMPUTED_VALUE"""),"CONTRALOR SALUD SEXUAL Y REPRODUCTIVA (2 HRS)")</f>
        <v>CONTRALOR SALUD SEXUAL Y REPRODUCTIVA (2 HRS)</v>
      </c>
      <c r="E7" s="218">
        <f>IFERROR(__xludf.DUMMYFUNCTION("""COMPUTED_VALUE"""),2.0)</f>
        <v>2</v>
      </c>
      <c r="F7" s="212" t="str">
        <f>IFERROR(__xludf.DUMMYFUNCTION("""COMPUTED_VALUE"""),"Independiente")</f>
        <v>Independiente</v>
      </c>
      <c r="G7" s="215">
        <f>IFERROR(__xludf.DUMMYFUNCTION("""COMPUTED_VALUE"""),2.0)</f>
        <v>2</v>
      </c>
      <c r="H7" s="216" t="str">
        <f>IFERROR(__xludf.DUMMYFUNCTION("""COMPUTED_VALUE"""),"SORAYA CRUCES DIAZGESTIONPROGRAMA - TRANSVERSALCONTRALOR SALUD SEXUAL Y REPRODUCTIVA (2 HRS)")</f>
        <v>SORAYA CRUCES DIAZGESTIONPROGRAMA - TRANSVERSALCONTRALOR SALUD SEXUAL Y REPRODUCTIVA (2 HRS)</v>
      </c>
      <c r="I7" s="216"/>
      <c r="J7" s="216"/>
      <c r="K7" s="216"/>
      <c r="L7" s="217"/>
    </row>
    <row r="8" ht="18.0" customHeight="1">
      <c r="A8" s="212" t="str">
        <f>IFERROR(__xludf.DUMMYFUNCTION("""COMPUTED_VALUE"""),"SORAYA CRUCES DIAZ")</f>
        <v>SORAYA CRUCES DIAZ</v>
      </c>
      <c r="B8" s="212" t="str">
        <f>IFERROR(__xludf.DUMMYFUNCTION("""COMPUTED_VALUE"""),"GESTION")</f>
        <v>GESTION</v>
      </c>
      <c r="C8" s="212" t="str">
        <f>IFERROR(__xludf.DUMMYFUNCTION("""COMPUTED_VALUE"""),"PROGRAMA - TRANSVERSAL")</f>
        <v>PROGRAMA - TRANSVERSAL</v>
      </c>
      <c r="D8" s="212" t="str">
        <f>IFERROR(__xludf.DUMMYFUNCTION("""COMPUTED_VALUE"""),"ENCARGADO  PROGRAMA (1 HRS)")</f>
        <v>ENCARGADO  PROGRAMA (1 HRS)</v>
      </c>
      <c r="E8" s="218">
        <f>IFERROR(__xludf.DUMMYFUNCTION("""COMPUTED_VALUE"""),1.0)</f>
        <v>1</v>
      </c>
      <c r="F8" s="212" t="str">
        <f>IFERROR(__xludf.DUMMYFUNCTION("""COMPUTED_VALUE"""),"Independiente")</f>
        <v>Independiente</v>
      </c>
      <c r="G8" s="215">
        <f>IFERROR(__xludf.DUMMYFUNCTION("""COMPUTED_VALUE"""),1.0)</f>
        <v>1</v>
      </c>
      <c r="H8" s="216" t="str">
        <f>IFERROR(__xludf.DUMMYFUNCTION("""COMPUTED_VALUE"""),"SORAYA CRUCES DIAZGESTIONPROGRAMA - TRANSVERSALENCARGADO  PROGRAMA (1 HRS)")</f>
        <v>SORAYA CRUCES DIAZGESTIONPROGRAMA - TRANSVERSALENCARGADO  PROGRAMA (1 HRS)</v>
      </c>
      <c r="I8" s="216"/>
      <c r="J8" s="216"/>
      <c r="K8" s="216"/>
      <c r="L8" s="217"/>
    </row>
    <row r="9" ht="18.0" customHeight="1">
      <c r="A9" s="212" t="str">
        <f>IFERROR(__xludf.DUMMYFUNCTION("""COMPUTED_VALUE"""),"VANESSA ESPINOZA ESPINOZA")</f>
        <v>VANESSA ESPINOZA ESPINOZA</v>
      </c>
      <c r="B9" s="212" t="str">
        <f>IFERROR(__xludf.DUMMYFUNCTION("""COMPUTED_VALUE"""),"GESTION")</f>
        <v>GESTION</v>
      </c>
      <c r="C9" s="212" t="str">
        <f>IFERROR(__xludf.DUMMYFUNCTION("""COMPUTED_VALUE"""),"COMUNIDAD")</f>
        <v>COMUNIDAD</v>
      </c>
      <c r="D9" s="212" t="str">
        <f>IFERROR(__xludf.DUMMYFUNCTION("""COMPUTED_VALUE"""),"ENCARGAD@ GESTOR COMUNITARIO (33 HORAS)")</f>
        <v>ENCARGAD@ GESTOR COMUNITARIO (33 HORAS)</v>
      </c>
      <c r="E9" s="218">
        <f>IFERROR(__xludf.DUMMYFUNCTION("""COMPUTED_VALUE"""),33.0)</f>
        <v>33</v>
      </c>
      <c r="F9" s="219" t="str">
        <f>IFERROR(__xludf.DUMMYFUNCTION("""COMPUTED_VALUE"""),"Independiente")</f>
        <v>Independiente</v>
      </c>
      <c r="G9" s="215">
        <f>IFERROR(__xludf.DUMMYFUNCTION("""COMPUTED_VALUE"""),33.0)</f>
        <v>33</v>
      </c>
      <c r="H9" s="216" t="str">
        <f>IFERROR(__xludf.DUMMYFUNCTION("""COMPUTED_VALUE"""),"VANESSA ESPINOZA ESPINOZAGESTIONCOMUNIDADENCARGAD@ GESTOR COMUNITARIO (33 HORAS)")</f>
        <v>VANESSA ESPINOZA ESPINOZAGESTIONCOMUNIDADENCARGAD@ GESTOR COMUNITARIO (33 HORAS)</v>
      </c>
      <c r="I9" s="216"/>
      <c r="J9" s="216"/>
      <c r="K9" s="216"/>
      <c r="L9" s="217"/>
    </row>
    <row r="10" ht="18.0" customHeight="1">
      <c r="A10" s="212" t="str">
        <f>IFERROR(__xludf.DUMMYFUNCTION("""COMPUTED_VALUE"""),"ALEJANDRO REYES MURILLO")</f>
        <v>ALEJANDRO REYES MURILLO</v>
      </c>
      <c r="B10" s="212" t="str">
        <f>IFERROR(__xludf.DUMMYFUNCTION("""COMPUTED_VALUE"""),"GESTION")</f>
        <v>GESTION</v>
      </c>
      <c r="C10" s="212" t="str">
        <f>IFERROR(__xludf.DUMMYFUNCTION("""COMPUTED_VALUE"""),"PROGRAMA - TRANSVERSAL")</f>
        <v>PROGRAMA - TRANSVERSAL</v>
      </c>
      <c r="D10" s="212" t="str">
        <f>IFERROR(__xludf.DUMMYFUNCTION("""COMPUTED_VALUE"""),"ENCARGADO  PROGRAMA (1 HRS)")</f>
        <v>ENCARGADO  PROGRAMA (1 HRS)</v>
      </c>
      <c r="E10" s="218">
        <f>IFERROR(__xludf.DUMMYFUNCTION("""COMPUTED_VALUE"""),1.0)</f>
        <v>1</v>
      </c>
      <c r="F10" s="212" t="str">
        <f>IFERROR(__xludf.DUMMYFUNCTION("""COMPUTED_VALUE"""),"Independiente")</f>
        <v>Independiente</v>
      </c>
      <c r="G10" s="215">
        <f>IFERROR(__xludf.DUMMYFUNCTION("""COMPUTED_VALUE"""),1.0)</f>
        <v>1</v>
      </c>
      <c r="H10" s="216" t="str">
        <f>IFERROR(__xludf.DUMMYFUNCTION("""COMPUTED_VALUE"""),"ALEJANDRO REYES MURILLOGESTIONPROGRAMA - TRANSVERSALENCARGADO  PROGRAMA (1 HRS)")</f>
        <v>ALEJANDRO REYES MURILLOGESTIONPROGRAMA - TRANSVERSALENCARGADO  PROGRAMA (1 HRS)</v>
      </c>
      <c r="I10" s="216"/>
      <c r="J10" s="216"/>
      <c r="K10" s="216"/>
      <c r="L10" s="217"/>
    </row>
    <row r="11" ht="18.0" customHeight="1">
      <c r="A11" s="212" t="str">
        <f>IFERROR(__xludf.DUMMYFUNCTION("""COMPUTED_VALUE"""),"ALEJANDRO REYES MURILLO")</f>
        <v>ALEJANDRO REYES MURILLO</v>
      </c>
      <c r="B11" s="212" t="str">
        <f>IFERROR(__xludf.DUMMYFUNCTION("""COMPUTED_VALUE"""),"GESTION")</f>
        <v>GESTION</v>
      </c>
      <c r="C11" s="212" t="str">
        <f>IFERROR(__xludf.DUMMYFUNCTION("""COMPUTED_VALUE"""),"PROGRAMA - TRANSVERSAL")</f>
        <v>PROGRAMA - TRANSVERSAL</v>
      </c>
      <c r="D11" s="212" t="str">
        <f>IFERROR(__xludf.DUMMYFUNCTION("""COMPUTED_VALUE"""),"ENCARGAD@ PROGRAMA ADULTO Y ADULTO MAYOR (PSCV) (5 HRS)")</f>
        <v>ENCARGAD@ PROGRAMA ADULTO Y ADULTO MAYOR (PSCV) (5 HRS)</v>
      </c>
      <c r="E11" s="218">
        <f>IFERROR(__xludf.DUMMYFUNCTION("""COMPUTED_VALUE"""),5.0)</f>
        <v>5</v>
      </c>
      <c r="F11" s="212" t="str">
        <f>IFERROR(__xludf.DUMMYFUNCTION("""COMPUTED_VALUE"""),"Independiente")</f>
        <v>Independiente</v>
      </c>
      <c r="G11" s="215">
        <f>IFERROR(__xludf.DUMMYFUNCTION("""COMPUTED_VALUE"""),5.0)</f>
        <v>5</v>
      </c>
      <c r="H11" s="216" t="str">
        <f>IFERROR(__xludf.DUMMYFUNCTION("""COMPUTED_VALUE"""),"ALEJANDRO REYES MURILLOGESTIONPROGRAMA - TRANSVERSALENCARGAD@ PROGRAMA ADULTO Y ADULTO MAYOR (PSCV) (5 HRS)")</f>
        <v>ALEJANDRO REYES MURILLOGESTIONPROGRAMA - TRANSVERSALENCARGAD@ PROGRAMA ADULTO Y ADULTO MAYOR (PSCV) (5 HRS)</v>
      </c>
      <c r="I11" s="216"/>
      <c r="J11" s="216"/>
      <c r="K11" s="216"/>
      <c r="L11" s="217"/>
    </row>
    <row r="12" ht="18.0" customHeight="1">
      <c r="A12" s="220" t="str">
        <f>IFERROR(__xludf.DUMMYFUNCTION("""COMPUTED_VALUE"""),"GERARDO VALENCIA BERMUDEZ")</f>
        <v>GERARDO VALENCIA BERMUDEZ</v>
      </c>
      <c r="B12" s="220" t="str">
        <f>IFERROR(__xludf.DUMMYFUNCTION("""COMPUTED_VALUE"""),"GESTION")</f>
        <v>GESTION</v>
      </c>
      <c r="C12" s="220" t="str">
        <f>IFERROR(__xludf.DUMMYFUNCTION("""COMPUTED_VALUE"""),"PROGRAMA - TRANSVERSAL")</f>
        <v>PROGRAMA - TRANSVERSAL</v>
      </c>
      <c r="D12" s="220" t="str">
        <f>IFERROR(__xludf.DUMMYFUNCTION("""COMPUTED_VALUE"""),"ENCARGADO  PROGRAMA (1 HRS)")</f>
        <v>ENCARGADO  PROGRAMA (1 HRS)</v>
      </c>
      <c r="E12" s="221">
        <f>IFERROR(__xludf.DUMMYFUNCTION("""COMPUTED_VALUE"""),1.0)</f>
        <v>1</v>
      </c>
      <c r="F12" s="220" t="str">
        <f>IFERROR(__xludf.DUMMYFUNCTION("""COMPUTED_VALUE"""),"Independiente")</f>
        <v>Independiente</v>
      </c>
      <c r="G12" s="222">
        <f>IFERROR(__xludf.DUMMYFUNCTION("""COMPUTED_VALUE"""),1.0)</f>
        <v>1</v>
      </c>
      <c r="H12" s="223" t="str">
        <f>IFERROR(__xludf.DUMMYFUNCTION("""COMPUTED_VALUE"""),"GERARDO VALENCIA BERMUDEZGESTIONPROGRAMA - TRANSVERSALENCARGADO  PROGRAMA (1 HRS)")</f>
        <v>GERARDO VALENCIA BERMUDEZGESTIONPROGRAMA - TRANSVERSALENCARGADO  PROGRAMA (1 HRS)</v>
      </c>
      <c r="I12" s="223"/>
      <c r="J12" s="223"/>
      <c r="K12" s="223"/>
      <c r="L12" s="224"/>
    </row>
    <row r="13" ht="18.0" customHeight="1">
      <c r="A13" s="212" t="str">
        <f>IFERROR(__xludf.DUMMYFUNCTION("""COMPUTED_VALUE"""),"GERARDO VALENCIA BERMUDEZ")</f>
        <v>GERARDO VALENCIA BERMUDEZ</v>
      </c>
      <c r="B13" s="212" t="str">
        <f>IFERROR(__xludf.DUMMYFUNCTION("""COMPUTED_VALUE"""),"GESTION")</f>
        <v>GESTION</v>
      </c>
      <c r="C13" s="212" t="str">
        <f>IFERROR(__xludf.DUMMYFUNCTION("""COMPUTED_VALUE"""),"SALUD PUBLICA")</f>
        <v>SALUD PUBLICA</v>
      </c>
      <c r="D13" s="212" t="str">
        <f>IFERROR(__xludf.DUMMYFUNCTION("""COMPUTED_VALUE"""),"REFERENTE TBC - MEDICO (15 MIN)")</f>
        <v>REFERENTE TBC - MEDICO (15 MIN)</v>
      </c>
      <c r="E13" s="218">
        <f>IFERROR(__xludf.DUMMYFUNCTION("""COMPUTED_VALUE"""),0.25)</f>
        <v>0.25</v>
      </c>
      <c r="F13" s="212" t="str">
        <f>IFERROR(__xludf.DUMMYFUNCTION("""COMPUTED_VALUE"""),"Independiente")</f>
        <v>Independiente</v>
      </c>
      <c r="G13" s="215">
        <f>IFERROR(__xludf.DUMMYFUNCTION("""COMPUTED_VALUE"""),0.25)</f>
        <v>0.25</v>
      </c>
      <c r="H13" s="216" t="str">
        <f>IFERROR(__xludf.DUMMYFUNCTION("""COMPUTED_VALUE"""),"GERARDO VALENCIA BERMUDEZGESTIONSALUD PUBLICAREFERENTE TBC - MEDICO (15 MIN)")</f>
        <v>GERARDO VALENCIA BERMUDEZGESTIONSALUD PUBLICAREFERENTE TBC - MEDICO (15 MIN)</v>
      </c>
      <c r="I13" s="216"/>
      <c r="J13" s="216"/>
      <c r="K13" s="216"/>
      <c r="L13" s="217"/>
    </row>
    <row r="14" ht="18.0" customHeight="1">
      <c r="A14" s="212" t="str">
        <f>IFERROR(__xludf.DUMMYFUNCTION("""COMPUTED_VALUE"""),"GERARDO VALENCIA BERMUDEZ")</f>
        <v>GERARDO VALENCIA BERMUDEZ</v>
      </c>
      <c r="B14" s="212" t="str">
        <f>IFERROR(__xludf.DUMMYFUNCTION("""COMPUTED_VALUE"""),"GESTION")</f>
        <v>GESTION</v>
      </c>
      <c r="C14" s="212" t="str">
        <f>IFERROR(__xludf.DUMMYFUNCTION("""COMPUTED_VALUE"""),"TECNICO - ADMNISTRATIVO")</f>
        <v>TECNICO - ADMNISTRATIVO</v>
      </c>
      <c r="D14" s="212" t="str">
        <f>IFERROR(__xludf.DUMMYFUNCTION("""COMPUTED_VALUE"""),"ESTADISTICA MENSUAL COMPLETA (4 HRS × 12 VECES)")</f>
        <v>ESTADISTICA MENSUAL COMPLETA (4 HRS × 12 VECES)</v>
      </c>
      <c r="E14" s="218">
        <f>IFERROR(__xludf.DUMMYFUNCTION("""COMPUTED_VALUE"""),0.9)</f>
        <v>0.9</v>
      </c>
      <c r="F14" s="212" t="str">
        <f>IFERROR(__xludf.DUMMYFUNCTION("""COMPUTED_VALUE"""),"Independiente")</f>
        <v>Independiente</v>
      </c>
      <c r="G14" s="215">
        <f>IFERROR(__xludf.DUMMYFUNCTION("""COMPUTED_VALUE"""),0.9)</f>
        <v>0.9</v>
      </c>
      <c r="H14" s="216" t="str">
        <f>IFERROR(__xludf.DUMMYFUNCTION("""COMPUTED_VALUE"""),"GERARDO VALENCIA BERMUDEZGESTIONTECNICO - ADMNISTRATIVOESTADISTICA MENSUAL COMPLETA (4 HRS × 12 VECES)")</f>
        <v>GERARDO VALENCIA BERMUDEZGESTIONTECNICO - ADMNISTRATIVOESTADISTICA MENSUAL COMPLETA (4 HRS × 12 VECES)</v>
      </c>
      <c r="I14" s="216"/>
      <c r="J14" s="216"/>
      <c r="K14" s="216"/>
      <c r="L14" s="225"/>
    </row>
    <row r="15" ht="18.0" customHeight="1">
      <c r="A15" s="212" t="str">
        <f>IFERROR(__xludf.DUMMYFUNCTION("""COMPUTED_VALUE"""),"ALEJANDRO REYES MURILLO")</f>
        <v>ALEJANDRO REYES MURILLO</v>
      </c>
      <c r="B15" s="212" t="str">
        <f>IFERROR(__xludf.DUMMYFUNCTION("""COMPUTED_VALUE"""),"GESTION")</f>
        <v>GESTION</v>
      </c>
      <c r="C15" s="212" t="str">
        <f>IFERROR(__xludf.DUMMYFUNCTION("""COMPUTED_VALUE"""),"TECNICO - ADMNISTRATIVO")</f>
        <v>TECNICO - ADMNISTRATIVO</v>
      </c>
      <c r="D15" s="212" t="str">
        <f>IFERROR(__xludf.DUMMYFUNCTION("""COMPUTED_VALUE"""),"ESTADISTICA MENSUAL (1 DIA)")</f>
        <v>ESTADISTICA MENSUAL (1 DIA)</v>
      </c>
      <c r="E15" s="218">
        <f>IFERROR(__xludf.DUMMYFUNCTION("""COMPUTED_VALUE"""),2.0)</f>
        <v>2</v>
      </c>
      <c r="F15" s="212" t="str">
        <f>IFERROR(__xludf.DUMMYFUNCTION("""COMPUTED_VALUE"""),"Independiente")</f>
        <v>Independiente</v>
      </c>
      <c r="G15" s="215">
        <f>IFERROR(__xludf.DUMMYFUNCTION("""COMPUTED_VALUE"""),2.0)</f>
        <v>2</v>
      </c>
      <c r="H15" s="216" t="str">
        <f>IFERROR(__xludf.DUMMYFUNCTION("""COMPUTED_VALUE"""),"ALEJANDRO REYES MURILLOGESTIONTECNICO - ADMNISTRATIVOESTADISTICA MENSUAL (1 DIA)")</f>
        <v>ALEJANDRO REYES MURILLOGESTIONTECNICO - ADMNISTRATIVOESTADISTICA MENSUAL (1 DIA)</v>
      </c>
      <c r="I15" s="216"/>
      <c r="J15" s="216"/>
      <c r="K15" s="216"/>
      <c r="L15" s="217"/>
    </row>
    <row r="16" ht="18.0" customHeight="1">
      <c r="A16" s="212" t="str">
        <f>IFERROR(__xludf.DUMMYFUNCTION("""COMPUTED_VALUE"""),"CONSTANZA PALMA MONTERO")</f>
        <v>CONSTANZA PALMA MONTERO</v>
      </c>
      <c r="B16" s="212" t="str">
        <f>IFERROR(__xludf.DUMMYFUNCTION("""COMPUTED_VALUE"""),"GESTION")</f>
        <v>GESTION</v>
      </c>
      <c r="C16" s="212" t="str">
        <f>IFERROR(__xludf.DUMMYFUNCTION("""COMPUTED_VALUE"""),"TECNICO - ADMNISTRATIVO")</f>
        <v>TECNICO - ADMNISTRATIVO</v>
      </c>
      <c r="D16" s="212" t="str">
        <f>IFERROR(__xludf.DUMMYFUNCTION("""COMPUTED_VALUE"""),"ESTADISTICA MENSUAL COMPLETA (4 HRS × 12 VECES)")</f>
        <v>ESTADISTICA MENSUAL COMPLETA (4 HRS × 12 VECES)</v>
      </c>
      <c r="E16" s="218">
        <f>IFERROR(__xludf.DUMMYFUNCTION("""COMPUTED_VALUE"""),0.9)</f>
        <v>0.9</v>
      </c>
      <c r="F16" s="212" t="str">
        <f>IFERROR(__xludf.DUMMYFUNCTION("""COMPUTED_VALUE"""),"Independiente")</f>
        <v>Independiente</v>
      </c>
      <c r="G16" s="215">
        <f>IFERROR(__xludf.DUMMYFUNCTION("""COMPUTED_VALUE"""),0.9)</f>
        <v>0.9</v>
      </c>
      <c r="H16" s="216" t="str">
        <f>IFERROR(__xludf.DUMMYFUNCTION("""COMPUTED_VALUE"""),"CONSTANZA PALMA MONTEROGESTIONTECNICO - ADMNISTRATIVOESTADISTICA MENSUAL COMPLETA (4 HRS × 12 VECES)")</f>
        <v>CONSTANZA PALMA MONTEROGESTIONTECNICO - ADMNISTRATIVOESTADISTICA MENSUAL COMPLETA (4 HRS × 12 VECES)</v>
      </c>
      <c r="I16" s="216"/>
      <c r="J16" s="216"/>
      <c r="K16" s="216"/>
      <c r="L16" s="217"/>
    </row>
    <row r="17" ht="18.0" customHeight="1">
      <c r="A17" s="212" t="str">
        <f>IFERROR(__xludf.DUMMYFUNCTION("""COMPUTED_VALUE"""),"CRISTOBAL VELASQUEZ VASQUEZ")</f>
        <v>CRISTOBAL VELASQUEZ VASQUEZ</v>
      </c>
      <c r="B17" s="212" t="str">
        <f>IFERROR(__xludf.DUMMYFUNCTION("""COMPUTED_VALUE"""),"GESTION")</f>
        <v>GESTION</v>
      </c>
      <c r="C17" s="212" t="str">
        <f>IFERROR(__xludf.DUMMYFUNCTION("""COMPUTED_VALUE"""),"TECNICO - ADMNISTRATIVO")</f>
        <v>TECNICO - ADMNISTRATIVO</v>
      </c>
      <c r="D17" s="212" t="str">
        <f>IFERROR(__xludf.DUMMYFUNCTION("""COMPUTED_VALUE"""),"ESTADISTICA MENSUAL")</f>
        <v>ESTADISTICA MENSUAL</v>
      </c>
      <c r="E17" s="218">
        <f>IFERROR(__xludf.DUMMYFUNCTION("""COMPUTED_VALUE"""),2.0)</f>
        <v>2</v>
      </c>
      <c r="F17" s="212" t="str">
        <f>IFERROR(__xludf.DUMMYFUNCTION("""COMPUTED_VALUE"""),"Independiente")</f>
        <v>Independiente</v>
      </c>
      <c r="G17" s="215">
        <f>IFERROR(__xludf.DUMMYFUNCTION("""COMPUTED_VALUE"""),2.0)</f>
        <v>2</v>
      </c>
      <c r="H17" s="216" t="str">
        <f>IFERROR(__xludf.DUMMYFUNCTION("""COMPUTED_VALUE"""),"CRISTOBAL VELASQUEZ VASQUEZGESTIONTECNICO - ADMNISTRATIVOESTADISTICA MENSUAL")</f>
        <v>CRISTOBAL VELASQUEZ VASQUEZGESTIONTECNICO - ADMNISTRATIVOESTADISTICA MENSUAL</v>
      </c>
      <c r="I17" s="216"/>
      <c r="J17" s="216"/>
      <c r="K17" s="216"/>
      <c r="L17" s="217"/>
    </row>
    <row r="18" ht="18.0" customHeight="1">
      <c r="A18" s="212" t="str">
        <f>IFERROR(__xludf.DUMMYFUNCTION("""COMPUTED_VALUE"""),"CLAUDIO PINTO VILLALOBOS")</f>
        <v>CLAUDIO PINTO VILLALOBOS</v>
      </c>
      <c r="B18" s="212" t="str">
        <f>IFERROR(__xludf.DUMMYFUNCTION("""COMPUTED_VALUE"""),"GESTION")</f>
        <v>GESTION</v>
      </c>
      <c r="C18" s="212" t="str">
        <f>IFERROR(__xludf.DUMMYFUNCTION("""COMPUTED_VALUE"""),"TECNICO - ADMNISTRATIVO")</f>
        <v>TECNICO - ADMNISTRATIVO</v>
      </c>
      <c r="D18" s="212" t="str">
        <f>IFERROR(__xludf.DUMMYFUNCTION("""COMPUTED_VALUE"""),"ESTADISTICA MENSUAL COMPLETA (4 HRS × 12 VECES)")</f>
        <v>ESTADISTICA MENSUAL COMPLETA (4 HRS × 12 VECES)</v>
      </c>
      <c r="E18" s="218">
        <f>IFERROR(__xludf.DUMMYFUNCTION("""COMPUTED_VALUE"""),0.9)</f>
        <v>0.9</v>
      </c>
      <c r="F18" s="212" t="str">
        <f>IFERROR(__xludf.DUMMYFUNCTION("""COMPUTED_VALUE"""),"Independiente")</f>
        <v>Independiente</v>
      </c>
      <c r="G18" s="215">
        <f>IFERROR(__xludf.DUMMYFUNCTION("""COMPUTED_VALUE"""),0.9)</f>
        <v>0.9</v>
      </c>
      <c r="H18" s="216" t="str">
        <f>IFERROR(__xludf.DUMMYFUNCTION("""COMPUTED_VALUE"""),"CLAUDIO PINTO VILLALOBOSGESTIONTECNICO - ADMNISTRATIVOESTADISTICA MENSUAL COMPLETA (4 HRS × 12 VECES)")</f>
        <v>CLAUDIO PINTO VILLALOBOSGESTIONTECNICO - ADMNISTRATIVOESTADISTICA MENSUAL COMPLETA (4 HRS × 12 VECES)</v>
      </c>
      <c r="I18" s="216"/>
      <c r="J18" s="216"/>
      <c r="K18" s="216"/>
      <c r="L18" s="217"/>
    </row>
    <row r="19" ht="18.0" customHeight="1">
      <c r="A19" s="212" t="str">
        <f>IFERROR(__xludf.DUMMYFUNCTION("""COMPUTED_VALUE"""),"EDGAR CARVAJAL TORRES")</f>
        <v>EDGAR CARVAJAL TORRES</v>
      </c>
      <c r="B19" s="212" t="str">
        <f>IFERROR(__xludf.DUMMYFUNCTION("""COMPUTED_VALUE"""),"GESTION")</f>
        <v>GESTION</v>
      </c>
      <c r="C19" s="212" t="str">
        <f>IFERROR(__xludf.DUMMYFUNCTION("""COMPUTED_VALUE"""),"TECNICO - ADMNISTRATIVO")</f>
        <v>TECNICO - ADMNISTRATIVO</v>
      </c>
      <c r="D19" s="212" t="str">
        <f>IFERROR(__xludf.DUMMYFUNCTION("""COMPUTED_VALUE"""),"ESTADISTICA MENSUAL COMPLETA (4 HRS × 12 VECES)")</f>
        <v>ESTADISTICA MENSUAL COMPLETA (4 HRS × 12 VECES)</v>
      </c>
      <c r="E19" s="218">
        <f>IFERROR(__xludf.DUMMYFUNCTION("""COMPUTED_VALUE"""),0.9)</f>
        <v>0.9</v>
      </c>
      <c r="F19" s="212" t="str">
        <f>IFERROR(__xludf.DUMMYFUNCTION("""COMPUTED_VALUE"""),"Independiente")</f>
        <v>Independiente</v>
      </c>
      <c r="G19" s="215">
        <f>IFERROR(__xludf.DUMMYFUNCTION("""COMPUTED_VALUE"""),0.9)</f>
        <v>0.9</v>
      </c>
      <c r="H19" s="216" t="str">
        <f>IFERROR(__xludf.DUMMYFUNCTION("""COMPUTED_VALUE"""),"EDGAR CARVAJAL TORRESGESTIONTECNICO - ADMNISTRATIVOESTADISTICA MENSUAL COMPLETA (4 HRS × 12 VECES)")</f>
        <v>EDGAR CARVAJAL TORRESGESTIONTECNICO - ADMNISTRATIVOESTADISTICA MENSUAL COMPLETA (4 HRS × 12 VECES)</v>
      </c>
      <c r="I19" s="216"/>
      <c r="J19" s="216"/>
      <c r="K19" s="216"/>
      <c r="L19" s="217"/>
    </row>
    <row r="20" ht="18.0" customHeight="1">
      <c r="A20" s="212" t="str">
        <f>IFERROR(__xludf.DUMMYFUNCTION("""COMPUTED_VALUE"""),"ELIZABETH ZARATE ROJAS")</f>
        <v>ELIZABETH ZARATE ROJAS</v>
      </c>
      <c r="B20" s="212" t="str">
        <f>IFERROR(__xludf.DUMMYFUNCTION("""COMPUTED_VALUE"""),"GESTION")</f>
        <v>GESTION</v>
      </c>
      <c r="C20" s="212" t="str">
        <f>IFERROR(__xludf.DUMMYFUNCTION("""COMPUTED_VALUE"""),"TECNICO - ADMNISTRATIVO")</f>
        <v>TECNICO - ADMNISTRATIVO</v>
      </c>
      <c r="D20" s="212" t="str">
        <f>IFERROR(__xludf.DUMMYFUNCTION("""COMPUTED_VALUE"""),"ESTADISTICA MENSUAL COMPLETA (4 HRS × 12 VECES)")</f>
        <v>ESTADISTICA MENSUAL COMPLETA (4 HRS × 12 VECES)</v>
      </c>
      <c r="E20" s="218">
        <f>IFERROR(__xludf.DUMMYFUNCTION("""COMPUTED_VALUE"""),0.9)</f>
        <v>0.9</v>
      </c>
      <c r="F20" s="226" t="str">
        <f>IFERROR(__xludf.DUMMYFUNCTION("""COMPUTED_VALUE"""),"Independiente")</f>
        <v>Independiente</v>
      </c>
      <c r="G20" s="215">
        <f>IFERROR(__xludf.DUMMYFUNCTION("""COMPUTED_VALUE"""),0.9)</f>
        <v>0.9</v>
      </c>
      <c r="H20" s="216" t="str">
        <f>IFERROR(__xludf.DUMMYFUNCTION("""COMPUTED_VALUE"""),"ELIZABETH ZARATE ROJASGESTIONTECNICO - ADMNISTRATIVOESTADISTICA MENSUAL COMPLETA (4 HRS × 12 VECES)")</f>
        <v>ELIZABETH ZARATE ROJASGESTIONTECNICO - ADMNISTRATIVOESTADISTICA MENSUAL COMPLETA (4 HRS × 12 VECES)</v>
      </c>
      <c r="I20" s="216"/>
      <c r="J20" s="216"/>
      <c r="K20" s="216"/>
      <c r="L20" s="217"/>
    </row>
    <row r="21" ht="18.0" customHeight="1">
      <c r="A21" s="212" t="str">
        <f>IFERROR(__xludf.DUMMYFUNCTION("""COMPUTED_VALUE"""),"FANNY QUINTANILLA CORDERO")</f>
        <v>FANNY QUINTANILLA CORDERO</v>
      </c>
      <c r="B21" s="212" t="str">
        <f>IFERROR(__xludf.DUMMYFUNCTION("""COMPUTED_VALUE"""),"GESTION")</f>
        <v>GESTION</v>
      </c>
      <c r="C21" s="212" t="str">
        <f>IFERROR(__xludf.DUMMYFUNCTION("""COMPUTED_VALUE"""),"TECNICO - ADMNISTRATIVO")</f>
        <v>TECNICO - ADMNISTRATIVO</v>
      </c>
      <c r="D21" s="212" t="str">
        <f>IFERROR(__xludf.DUMMYFUNCTION("""COMPUTED_VALUE"""),"ESTADISTICA MENSUAL COMPLETA (4 HRS × 12 VECES)")</f>
        <v>ESTADISTICA MENSUAL COMPLETA (4 HRS × 12 VECES)</v>
      </c>
      <c r="E21" s="218">
        <f>IFERROR(__xludf.DUMMYFUNCTION("""COMPUTED_VALUE"""),0.9)</f>
        <v>0.9</v>
      </c>
      <c r="F21" s="226" t="str">
        <f>IFERROR(__xludf.DUMMYFUNCTION("""COMPUTED_VALUE"""),"Independiente")</f>
        <v>Independiente</v>
      </c>
      <c r="G21" s="215">
        <f>IFERROR(__xludf.DUMMYFUNCTION("""COMPUTED_VALUE"""),0.9)</f>
        <v>0.9</v>
      </c>
      <c r="H21" s="216" t="str">
        <f>IFERROR(__xludf.DUMMYFUNCTION("""COMPUTED_VALUE"""),"FANNY QUINTANILLA CORDEROGESTIONTECNICO - ADMNISTRATIVOESTADISTICA MENSUAL COMPLETA (4 HRS × 12 VECES)")</f>
        <v>FANNY QUINTANILLA CORDEROGESTIONTECNICO - ADMNISTRATIVOESTADISTICA MENSUAL COMPLETA (4 HRS × 12 VECES)</v>
      </c>
      <c r="I21" s="216"/>
      <c r="J21" s="216"/>
      <c r="K21" s="216"/>
      <c r="L21" s="217"/>
    </row>
    <row r="22" ht="18.0" customHeight="1">
      <c r="A22" s="212" t="str">
        <f>IFERROR(__xludf.DUMMYFUNCTION("""COMPUTED_VALUE"""),"JAIME REYES TORO")</f>
        <v>JAIME REYES TORO</v>
      </c>
      <c r="B22" s="212" t="str">
        <f>IFERROR(__xludf.DUMMYFUNCTION("""COMPUTED_VALUE"""),"GESTION")</f>
        <v>GESTION</v>
      </c>
      <c r="C22" s="212" t="str">
        <f>IFERROR(__xludf.DUMMYFUNCTION("""COMPUTED_VALUE"""),"TECNICO - ADMNISTRATIVO")</f>
        <v>TECNICO - ADMNISTRATIVO</v>
      </c>
      <c r="D22" s="212" t="str">
        <f>IFERROR(__xludf.DUMMYFUNCTION("""COMPUTED_VALUE"""),"ESTADISTICA MENSUAL (1 DIA)")</f>
        <v>ESTADISTICA MENSUAL (1 DIA)</v>
      </c>
      <c r="E22" s="218">
        <f>IFERROR(__xludf.DUMMYFUNCTION("""COMPUTED_VALUE"""),2.0)</f>
        <v>2</v>
      </c>
      <c r="F22" s="226" t="str">
        <f>IFERROR(__xludf.DUMMYFUNCTION("""COMPUTED_VALUE"""),"Independiente")</f>
        <v>Independiente</v>
      </c>
      <c r="G22" s="215">
        <f>IFERROR(__xludf.DUMMYFUNCTION("""COMPUTED_VALUE"""),2.0)</f>
        <v>2</v>
      </c>
      <c r="H22" s="216" t="str">
        <f>IFERROR(__xludf.DUMMYFUNCTION("""COMPUTED_VALUE"""),"JAIME REYES TOROGESTIONTECNICO - ADMNISTRATIVOESTADISTICA MENSUAL (1 DIA)")</f>
        <v>JAIME REYES TOROGESTIONTECNICO - ADMNISTRATIVOESTADISTICA MENSUAL (1 DIA)</v>
      </c>
      <c r="I22" s="216"/>
      <c r="J22" s="216"/>
      <c r="K22" s="216"/>
      <c r="L22" s="217"/>
    </row>
    <row r="23" ht="18.0" customHeight="1">
      <c r="A23" s="212" t="str">
        <f>IFERROR(__xludf.DUMMYFUNCTION("""COMPUTED_VALUE"""),"MARCELA JAQUE LIZAMA")</f>
        <v>MARCELA JAQUE LIZAMA</v>
      </c>
      <c r="B23" s="212" t="str">
        <f>IFERROR(__xludf.DUMMYFUNCTION("""COMPUTED_VALUE"""),"GESTION")</f>
        <v>GESTION</v>
      </c>
      <c r="C23" s="212" t="str">
        <f>IFERROR(__xludf.DUMMYFUNCTION("""COMPUTED_VALUE"""),"TECNICO - ADMNISTRATIVO")</f>
        <v>TECNICO - ADMNISTRATIVO</v>
      </c>
      <c r="D23" s="212" t="str">
        <f>IFERROR(__xludf.DUMMYFUNCTION("""COMPUTED_VALUE"""),"ESTADISTICA MENSUAL COMPLETA (4 HRS × 12 VECES)")</f>
        <v>ESTADISTICA MENSUAL COMPLETA (4 HRS × 12 VECES)</v>
      </c>
      <c r="E23" s="218">
        <f>IFERROR(__xludf.DUMMYFUNCTION("""COMPUTED_VALUE"""),0.9)</f>
        <v>0.9</v>
      </c>
      <c r="F23" s="226" t="str">
        <f>IFERROR(__xludf.DUMMYFUNCTION("""COMPUTED_VALUE"""),"Independiente")</f>
        <v>Independiente</v>
      </c>
      <c r="G23" s="215">
        <f>IFERROR(__xludf.DUMMYFUNCTION("""COMPUTED_VALUE"""),0.9)</f>
        <v>0.9</v>
      </c>
      <c r="H23" s="216" t="str">
        <f>IFERROR(__xludf.DUMMYFUNCTION("""COMPUTED_VALUE"""),"MARCELA JAQUE LIZAMAGESTIONTECNICO - ADMNISTRATIVOESTADISTICA MENSUAL COMPLETA (4 HRS × 12 VECES)")</f>
        <v>MARCELA JAQUE LIZAMAGESTIONTECNICO - ADMNISTRATIVOESTADISTICA MENSUAL COMPLETA (4 HRS × 12 VECES)</v>
      </c>
      <c r="I23" s="216"/>
      <c r="J23" s="216"/>
      <c r="K23" s="216"/>
      <c r="L23" s="217"/>
    </row>
    <row r="24" ht="18.0" customHeight="1">
      <c r="A24" s="212" t="str">
        <f>IFERROR(__xludf.DUMMYFUNCTION("""COMPUTED_VALUE"""),"VALERIA NUÑEZ QUINCHEL")</f>
        <v>VALERIA NUÑEZ QUINCHEL</v>
      </c>
      <c r="B24" s="212" t="str">
        <f>IFERROR(__xludf.DUMMYFUNCTION("""COMPUTED_VALUE"""),"GESTION")</f>
        <v>GESTION</v>
      </c>
      <c r="C24" s="212" t="str">
        <f>IFERROR(__xludf.DUMMYFUNCTION("""COMPUTED_VALUE"""),"TECNICO - ADMNISTRATIVO")</f>
        <v>TECNICO - ADMNISTRATIVO</v>
      </c>
      <c r="D24" s="212" t="str">
        <f>IFERROR(__xludf.DUMMYFUNCTION("""COMPUTED_VALUE"""),"ESTADISTICA MENSUAL (1 DIA)")</f>
        <v>ESTADISTICA MENSUAL (1 DIA)</v>
      </c>
      <c r="E24" s="218">
        <f>IFERROR(__xludf.DUMMYFUNCTION("""COMPUTED_VALUE"""),2.0)</f>
        <v>2</v>
      </c>
      <c r="F24" s="226" t="str">
        <f>IFERROR(__xludf.DUMMYFUNCTION("""COMPUTED_VALUE"""),"Independiente")</f>
        <v>Independiente</v>
      </c>
      <c r="G24" s="215">
        <f>IFERROR(__xludf.DUMMYFUNCTION("""COMPUTED_VALUE"""),2.0)</f>
        <v>2</v>
      </c>
      <c r="H24" s="216" t="str">
        <f>IFERROR(__xludf.DUMMYFUNCTION("""COMPUTED_VALUE"""),"VALERIA NUÑEZ QUINCHELGESTIONTECNICO - ADMNISTRATIVOESTADISTICA MENSUAL (1 DIA)")</f>
        <v>VALERIA NUÑEZ QUINCHELGESTIONTECNICO - ADMNISTRATIVOESTADISTICA MENSUAL (1 DIA)</v>
      </c>
      <c r="I24" s="216"/>
      <c r="J24" s="216"/>
      <c r="K24" s="216"/>
      <c r="L24" s="217"/>
    </row>
    <row r="25" ht="18.0" customHeight="1">
      <c r="A25" s="212" t="str">
        <f>IFERROR(__xludf.DUMMYFUNCTION("""COMPUTED_VALUE"""),"LUIS GONZALEZ SEPULVEDA")</f>
        <v>LUIS GONZALEZ SEPULVEDA</v>
      </c>
      <c r="B25" s="212" t="str">
        <f>IFERROR(__xludf.DUMMYFUNCTION("""COMPUTED_VALUE"""),"GESTION")</f>
        <v>GESTION</v>
      </c>
      <c r="C25" s="212" t="str">
        <f>IFERROR(__xludf.DUMMYFUNCTION("""COMPUTED_VALUE"""),"TECNICO - ADMNISTRATIVO")</f>
        <v>TECNICO - ADMNISTRATIVO</v>
      </c>
      <c r="D25" s="212" t="str">
        <f>IFERROR(__xludf.DUMMYFUNCTION("""COMPUTED_VALUE"""),"ESTADISTICA MENSUAL (1 DIA)")</f>
        <v>ESTADISTICA MENSUAL (1 DIA)</v>
      </c>
      <c r="E25" s="218">
        <f>IFERROR(__xludf.DUMMYFUNCTION("""COMPUTED_VALUE"""),2.0)</f>
        <v>2</v>
      </c>
      <c r="F25" s="226" t="str">
        <f>IFERROR(__xludf.DUMMYFUNCTION("""COMPUTED_VALUE"""),"Independiente")</f>
        <v>Independiente</v>
      </c>
      <c r="G25" s="215">
        <f>IFERROR(__xludf.DUMMYFUNCTION("""COMPUTED_VALUE"""),2.0)</f>
        <v>2</v>
      </c>
      <c r="H25" s="216" t="str">
        <f>IFERROR(__xludf.DUMMYFUNCTION("""COMPUTED_VALUE"""),"LUIS GONZALEZ SEPULVEDAGESTIONTECNICO - ADMNISTRATIVOESTADISTICA MENSUAL (1 DIA)")</f>
        <v>LUIS GONZALEZ SEPULVEDAGESTIONTECNICO - ADMNISTRATIVOESTADISTICA MENSUAL (1 DIA)</v>
      </c>
      <c r="I25" s="216"/>
      <c r="J25" s="216"/>
      <c r="K25" s="216"/>
      <c r="L25" s="217"/>
    </row>
    <row r="26" ht="18.0" customHeight="1">
      <c r="A26" s="212" t="str">
        <f>IFERROR(__xludf.DUMMYFUNCTION("""COMPUTED_VALUE"""),"FANNY QUINTANILLA CORDERO")</f>
        <v>FANNY QUINTANILLA CORDERO</v>
      </c>
      <c r="B26" s="212" t="str">
        <f>IFERROR(__xludf.DUMMYFUNCTION("""COMPUTED_VALUE"""),"GESTION")</f>
        <v>GESTION</v>
      </c>
      <c r="C26" s="212" t="str">
        <f>IFERROR(__xludf.DUMMYFUNCTION("""COMPUTED_VALUE"""),"PROGRAMA - TRANSVERSAL")</f>
        <v>PROGRAMA - TRANSVERSAL</v>
      </c>
      <c r="D26" s="212" t="str">
        <f>IFERROR(__xludf.DUMMYFUNCTION("""COMPUTED_VALUE"""),"ENCARGADO  PROGRAMA (1 HRS)")</f>
        <v>ENCARGADO  PROGRAMA (1 HRS)</v>
      </c>
      <c r="E26" s="218">
        <f>IFERROR(__xludf.DUMMYFUNCTION("""COMPUTED_VALUE"""),1.0)</f>
        <v>1</v>
      </c>
      <c r="F26" s="226" t="str">
        <f>IFERROR(__xludf.DUMMYFUNCTION("""COMPUTED_VALUE"""),"Independiente")</f>
        <v>Independiente</v>
      </c>
      <c r="G26" s="215">
        <f>IFERROR(__xludf.DUMMYFUNCTION("""COMPUTED_VALUE"""),1.0)</f>
        <v>1</v>
      </c>
      <c r="H26" s="216" t="str">
        <f>IFERROR(__xludf.DUMMYFUNCTION("""COMPUTED_VALUE"""),"FANNY QUINTANILLA CORDEROGESTIONPROGRAMA - TRANSVERSALENCARGADO  PROGRAMA (1 HRS)")</f>
        <v>FANNY QUINTANILLA CORDEROGESTIONPROGRAMA - TRANSVERSALENCARGADO  PROGRAMA (1 HRS)</v>
      </c>
      <c r="I26" s="216"/>
      <c r="J26" s="216"/>
      <c r="K26" s="216"/>
      <c r="L26" s="217"/>
    </row>
    <row r="27" ht="18.0" customHeight="1">
      <c r="A27" s="212" t="str">
        <f>IFERROR(__xludf.DUMMYFUNCTION("""COMPUTED_VALUE"""),"MYRRHA ANDAUR MARTINEZ")</f>
        <v>MYRRHA ANDAUR MARTINEZ</v>
      </c>
      <c r="B27" s="212" t="str">
        <f>IFERROR(__xludf.DUMMYFUNCTION("""COMPUTED_VALUE"""),"GESTION")</f>
        <v>GESTION</v>
      </c>
      <c r="C27" s="212" t="str">
        <f>IFERROR(__xludf.DUMMYFUNCTION("""COMPUTED_VALUE"""),"TECNICO - ADMNISTRATIVO")</f>
        <v>TECNICO - ADMNISTRATIVO</v>
      </c>
      <c r="D27" s="212" t="str">
        <f>IFERROR(__xludf.DUMMYFUNCTION("""COMPUTED_VALUE"""),"ESTADISTICA MENSUAL (1 DIA)")</f>
        <v>ESTADISTICA MENSUAL (1 DIA)</v>
      </c>
      <c r="E27" s="218">
        <f>IFERROR(__xludf.DUMMYFUNCTION("""COMPUTED_VALUE"""),2.0)</f>
        <v>2</v>
      </c>
      <c r="F27" s="226" t="str">
        <f>IFERROR(__xludf.DUMMYFUNCTION("""COMPUTED_VALUE"""),"Independiente")</f>
        <v>Independiente</v>
      </c>
      <c r="G27" s="215">
        <f>IFERROR(__xludf.DUMMYFUNCTION("""COMPUTED_VALUE"""),2.0)</f>
        <v>2</v>
      </c>
      <c r="H27" s="216" t="str">
        <f>IFERROR(__xludf.DUMMYFUNCTION("""COMPUTED_VALUE"""),"MYRRHA ANDAUR MARTINEZGESTIONTECNICO - ADMNISTRATIVOESTADISTICA MENSUAL (1 DIA)")</f>
        <v>MYRRHA ANDAUR MARTINEZGESTIONTECNICO - ADMNISTRATIVOESTADISTICA MENSUAL (1 DIA)</v>
      </c>
      <c r="I27" s="216"/>
      <c r="J27" s="216"/>
      <c r="K27" s="216"/>
      <c r="L27" s="217"/>
    </row>
    <row r="28" ht="18.0" customHeight="1">
      <c r="A28" s="212" t="str">
        <f>IFERROR(__xludf.DUMMYFUNCTION("""COMPUTED_VALUE"""),"FANNY QUINTANILLA CORDERO")</f>
        <v>FANNY QUINTANILLA CORDERO</v>
      </c>
      <c r="B28" s="212" t="str">
        <f>IFERROR(__xludf.DUMMYFUNCTION("""COMPUTED_VALUE"""),"GESTION")</f>
        <v>GESTION</v>
      </c>
      <c r="C28" s="212" t="str">
        <f>IFERROR(__xludf.DUMMYFUNCTION("""COMPUTED_VALUE"""),"PROGRAMA - TRANSVERSAL")</f>
        <v>PROGRAMA - TRANSVERSAL</v>
      </c>
      <c r="D28" s="212" t="str">
        <f>IFERROR(__xludf.DUMMYFUNCTION("""COMPUTED_VALUE"""),"ENCARGAD@ PROGRAMA DEPENDENCIA SEVERA Y CPNO  (2 HORAS)")</f>
        <v>ENCARGAD@ PROGRAMA DEPENDENCIA SEVERA Y CPNO  (2 HORAS)</v>
      </c>
      <c r="E28" s="218">
        <f>IFERROR(__xludf.DUMMYFUNCTION("""COMPUTED_VALUE"""),2.0)</f>
        <v>2</v>
      </c>
      <c r="F28" s="212" t="str">
        <f>IFERROR(__xludf.DUMMYFUNCTION("""COMPUTED_VALUE"""),"Independiente")</f>
        <v>Independiente</v>
      </c>
      <c r="G28" s="215">
        <f>IFERROR(__xludf.DUMMYFUNCTION("""COMPUTED_VALUE"""),2.0)</f>
        <v>2</v>
      </c>
      <c r="H28" s="216" t="str">
        <f>IFERROR(__xludf.DUMMYFUNCTION("""COMPUTED_VALUE"""),"FANNY QUINTANILLA CORDEROGESTIONPROGRAMA - TRANSVERSALENCARGAD@ PROGRAMA DEPENDENCIA SEVERA Y CPNO  (2 HORAS)")</f>
        <v>FANNY QUINTANILLA CORDEROGESTIONPROGRAMA - TRANSVERSALENCARGAD@ PROGRAMA DEPENDENCIA SEVERA Y CPNO  (2 HORAS)</v>
      </c>
      <c r="I28" s="216"/>
      <c r="J28" s="216"/>
      <c r="K28" s="216"/>
      <c r="L28" s="217"/>
    </row>
    <row r="29" ht="18.0" customHeight="1">
      <c r="A29" s="212" t="str">
        <f>IFERROR(__xludf.DUMMYFUNCTION("""COMPUTED_VALUE"""),"CAROL AMBO AMPUERO")</f>
        <v>CAROL AMBO AMPUERO</v>
      </c>
      <c r="B29" s="212" t="str">
        <f>IFERROR(__xludf.DUMMYFUNCTION("""COMPUTED_VALUE"""),"GESTION")</f>
        <v>GESTION</v>
      </c>
      <c r="C29" s="212" t="str">
        <f>IFERROR(__xludf.DUMMYFUNCTION("""COMPUTED_VALUE"""),"PROGRAMA - TRANSVERSAL")</f>
        <v>PROGRAMA - TRANSVERSAL</v>
      </c>
      <c r="D29" s="212" t="str">
        <f>IFERROR(__xludf.DUMMYFUNCTION("""COMPUTED_VALUE"""),"ENCARGADO  PROGRAMA (3 HRS)")</f>
        <v>ENCARGADO  PROGRAMA (3 HRS)</v>
      </c>
      <c r="E29" s="218">
        <f>IFERROR(__xludf.DUMMYFUNCTION("""COMPUTED_VALUE"""),3.0)</f>
        <v>3</v>
      </c>
      <c r="F29" s="212" t="str">
        <f>IFERROR(__xludf.DUMMYFUNCTION("""COMPUTED_VALUE"""),"Independiente")</f>
        <v>Independiente</v>
      </c>
      <c r="G29" s="215">
        <f>IFERROR(__xludf.DUMMYFUNCTION("""COMPUTED_VALUE"""),3.0)</f>
        <v>3</v>
      </c>
      <c r="H29" s="216" t="str">
        <f>IFERROR(__xludf.DUMMYFUNCTION("""COMPUTED_VALUE"""),"CAROL AMBO AMPUEROGESTIONPROGRAMA - TRANSVERSALENCARGADO  PROGRAMA (3 HRS)")</f>
        <v>CAROL AMBO AMPUEROGESTIONPROGRAMA - TRANSVERSALENCARGADO  PROGRAMA (3 HRS)</v>
      </c>
      <c r="I29" s="216"/>
      <c r="J29" s="216"/>
      <c r="K29" s="216"/>
      <c r="L29" s="217"/>
    </row>
    <row r="30" ht="18.0" customHeight="1">
      <c r="A30" s="212" t="str">
        <f>IFERROR(__xludf.DUMMYFUNCTION("""COMPUTED_VALUE"""),"CAROL AMBO AMPUERO")</f>
        <v>CAROL AMBO AMPUERO</v>
      </c>
      <c r="B30" s="212" t="str">
        <f>IFERROR(__xludf.DUMMYFUNCTION("""COMPUTED_VALUE"""),"GESTION")</f>
        <v>GESTION</v>
      </c>
      <c r="C30" s="212" t="str">
        <f>IFERROR(__xludf.DUMMYFUNCTION("""COMPUTED_VALUE"""),"SALUD PUBLICA")</f>
        <v>SALUD PUBLICA</v>
      </c>
      <c r="D30" s="212" t="str">
        <f>IFERROR(__xludf.DUMMYFUNCTION("""COMPUTED_VALUE"""),"ENCARGAD@ PROGRAMA TBC (2 HRS)")</f>
        <v>ENCARGAD@ PROGRAMA TBC (2 HRS)</v>
      </c>
      <c r="E30" s="218">
        <f>IFERROR(__xludf.DUMMYFUNCTION("""COMPUTED_VALUE"""),2.0)</f>
        <v>2</v>
      </c>
      <c r="F30" s="212" t="str">
        <f>IFERROR(__xludf.DUMMYFUNCTION("""COMPUTED_VALUE"""),"Independiente")</f>
        <v>Independiente</v>
      </c>
      <c r="G30" s="215">
        <f>IFERROR(__xludf.DUMMYFUNCTION("""COMPUTED_VALUE"""),2.0)</f>
        <v>2</v>
      </c>
      <c r="H30" s="216" t="str">
        <f>IFERROR(__xludf.DUMMYFUNCTION("""COMPUTED_VALUE"""),"CAROL AMBO AMPUEROGESTIONSALUD PUBLICAENCARGAD@ PROGRAMA TBC (2 HRS)")</f>
        <v>CAROL AMBO AMPUEROGESTIONSALUD PUBLICAENCARGAD@ PROGRAMA TBC (2 HRS)</v>
      </c>
      <c r="I30" s="216"/>
      <c r="J30" s="216"/>
      <c r="K30" s="216"/>
      <c r="L30" s="217"/>
    </row>
    <row r="31" ht="18.0" customHeight="1">
      <c r="A31" s="212" t="str">
        <f>IFERROR(__xludf.DUMMYFUNCTION("""COMPUTED_VALUE"""),"CAROL AMBO AMPUERO")</f>
        <v>CAROL AMBO AMPUERO</v>
      </c>
      <c r="B31" s="212" t="str">
        <f>IFERROR(__xludf.DUMMYFUNCTION("""COMPUTED_VALUE"""),"GESTION")</f>
        <v>GESTION</v>
      </c>
      <c r="C31" s="212" t="str">
        <f>IFERROR(__xludf.DUMMYFUNCTION("""COMPUTED_VALUE"""),"SALUD PUBLICA")</f>
        <v>SALUD PUBLICA</v>
      </c>
      <c r="D31" s="212" t="str">
        <f>IFERROR(__xludf.DUMMYFUNCTION("""COMPUTED_VALUE"""),"ENCARGAD@ IAAS (2 HRS)")</f>
        <v>ENCARGAD@ IAAS (2 HRS)</v>
      </c>
      <c r="E31" s="218">
        <f>IFERROR(__xludf.DUMMYFUNCTION("""COMPUTED_VALUE"""),2.0)</f>
        <v>2</v>
      </c>
      <c r="F31" s="212" t="str">
        <f>IFERROR(__xludf.DUMMYFUNCTION("""COMPUTED_VALUE"""),"Independiente")</f>
        <v>Independiente</v>
      </c>
      <c r="G31" s="215">
        <f>IFERROR(__xludf.DUMMYFUNCTION("""COMPUTED_VALUE"""),2.0)</f>
        <v>2</v>
      </c>
      <c r="H31" s="216" t="str">
        <f>IFERROR(__xludf.DUMMYFUNCTION("""COMPUTED_VALUE"""),"CAROL AMBO AMPUEROGESTIONSALUD PUBLICAENCARGAD@ IAAS (2 HRS)")</f>
        <v>CAROL AMBO AMPUEROGESTIONSALUD PUBLICAENCARGAD@ IAAS (2 HRS)</v>
      </c>
      <c r="I31" s="216"/>
      <c r="J31" s="216"/>
      <c r="K31" s="216"/>
      <c r="L31" s="217"/>
    </row>
    <row r="32" ht="18.0" customHeight="1">
      <c r="A32" s="212" t="str">
        <f>IFERROR(__xludf.DUMMYFUNCTION("""COMPUTED_VALUE"""),"CAROL AMBO AMPUERO")</f>
        <v>CAROL AMBO AMPUERO</v>
      </c>
      <c r="B32" s="212" t="str">
        <f>IFERROR(__xludf.DUMMYFUNCTION("""COMPUTED_VALUE"""),"GESTION")</f>
        <v>GESTION</v>
      </c>
      <c r="C32" s="212" t="str">
        <f>IFERROR(__xludf.DUMMYFUNCTION("""COMPUTED_VALUE"""),"SALUD PUBLICA")</f>
        <v>SALUD PUBLICA</v>
      </c>
      <c r="D32" s="212" t="str">
        <f>IFERROR(__xludf.DUMMYFUNCTION("""COMPUTED_VALUE"""),"ENCARGAD@ EPIDEMIOLOGIA  2 (2 HRS)")</f>
        <v>ENCARGAD@ EPIDEMIOLOGIA  2 (2 HRS)</v>
      </c>
      <c r="E32" s="218">
        <f>IFERROR(__xludf.DUMMYFUNCTION("""COMPUTED_VALUE"""),2.0)</f>
        <v>2</v>
      </c>
      <c r="F32" s="212" t="str">
        <f>IFERROR(__xludf.DUMMYFUNCTION("""COMPUTED_VALUE"""),"Independiente")</f>
        <v>Independiente</v>
      </c>
      <c r="G32" s="215">
        <f>IFERROR(__xludf.DUMMYFUNCTION("""COMPUTED_VALUE"""),2.0)</f>
        <v>2</v>
      </c>
      <c r="H32" s="216" t="str">
        <f>IFERROR(__xludf.DUMMYFUNCTION("""COMPUTED_VALUE"""),"CAROL AMBO AMPUEROGESTIONSALUD PUBLICAENCARGAD@ EPIDEMIOLOGIA  2 (2 HRS)")</f>
        <v>CAROL AMBO AMPUEROGESTIONSALUD PUBLICAENCARGAD@ EPIDEMIOLOGIA  2 (2 HRS)</v>
      </c>
      <c r="I32" s="216"/>
      <c r="J32" s="216"/>
      <c r="K32" s="216"/>
      <c r="L32" s="217"/>
    </row>
    <row r="33" ht="18.0" customHeight="1">
      <c r="A33" s="212" t="str">
        <f>IFERROR(__xludf.DUMMYFUNCTION("""COMPUTED_VALUE"""),"CAROL AMBO AMPUERO")</f>
        <v>CAROL AMBO AMPUERO</v>
      </c>
      <c r="B33" s="212" t="str">
        <f>IFERROR(__xludf.DUMMYFUNCTION("""COMPUTED_VALUE"""),"GESTION")</f>
        <v>GESTION</v>
      </c>
      <c r="C33" s="212" t="str">
        <f>IFERROR(__xludf.DUMMYFUNCTION("""COMPUTED_VALUE"""),"TECNICO - ADMNISTRATIVO")</f>
        <v>TECNICO - ADMNISTRATIVO</v>
      </c>
      <c r="D33" s="212" t="str">
        <f>IFERROR(__xludf.DUMMYFUNCTION("""COMPUTED_VALUE"""),"ENCARGADO TOMA DE MUESTRA (2 HRS)")</f>
        <v>ENCARGADO TOMA DE MUESTRA (2 HRS)</v>
      </c>
      <c r="E33" s="218">
        <f>IFERROR(__xludf.DUMMYFUNCTION("""COMPUTED_VALUE"""),2.0)</f>
        <v>2</v>
      </c>
      <c r="F33" s="212" t="str">
        <f>IFERROR(__xludf.DUMMYFUNCTION("""COMPUTED_VALUE"""),"Independiente")</f>
        <v>Independiente</v>
      </c>
      <c r="G33" s="215">
        <f>IFERROR(__xludf.DUMMYFUNCTION("""COMPUTED_VALUE"""),2.0)</f>
        <v>2</v>
      </c>
      <c r="H33" s="216" t="str">
        <f>IFERROR(__xludf.DUMMYFUNCTION("""COMPUTED_VALUE"""),"CAROL AMBO AMPUEROGESTIONTECNICO - ADMNISTRATIVOENCARGADO TOMA DE MUESTRA (2 HRS)")</f>
        <v>CAROL AMBO AMPUEROGESTIONTECNICO - ADMNISTRATIVOENCARGADO TOMA DE MUESTRA (2 HRS)</v>
      </c>
      <c r="I33" s="216"/>
      <c r="J33" s="216"/>
      <c r="K33" s="216"/>
      <c r="L33" s="217"/>
    </row>
    <row r="34" ht="18.0" customHeight="1">
      <c r="A34" s="212" t="str">
        <f>IFERROR(__xludf.DUMMYFUNCTION("""COMPUTED_VALUE"""),"CAROL AMBO AMPUERO")</f>
        <v>CAROL AMBO AMPUERO</v>
      </c>
      <c r="B34" s="212" t="str">
        <f>IFERROR(__xludf.DUMMYFUNCTION("""COMPUTED_VALUE"""),"GESTION")</f>
        <v>GESTION</v>
      </c>
      <c r="C34" s="212" t="str">
        <f>IFERROR(__xludf.DUMMYFUNCTION("""COMPUTED_VALUE"""),"PROGRAMA - TRANSVERSAL")</f>
        <v>PROGRAMA - TRANSVERSAL</v>
      </c>
      <c r="D34" s="212" t="str">
        <f>IFERROR(__xludf.DUMMYFUNCTION("""COMPUTED_VALUE"""),"ENCARGADO  PROGRAMA (3 HRS)")</f>
        <v>ENCARGADO  PROGRAMA (3 HRS)</v>
      </c>
      <c r="E34" s="218">
        <f>IFERROR(__xludf.DUMMYFUNCTION("""COMPUTED_VALUE"""),3.0)</f>
        <v>3</v>
      </c>
      <c r="F34" s="212" t="str">
        <f>IFERROR(__xludf.DUMMYFUNCTION("""COMPUTED_VALUE"""),"Independiente")</f>
        <v>Independiente</v>
      </c>
      <c r="G34" s="215">
        <f>IFERROR(__xludf.DUMMYFUNCTION("""COMPUTED_VALUE"""),3.0)</f>
        <v>3</v>
      </c>
      <c r="H34" s="216" t="str">
        <f>IFERROR(__xludf.DUMMYFUNCTION("""COMPUTED_VALUE"""),"CAROL AMBO AMPUEROGESTIONPROGRAMA - TRANSVERSALENCARGADO  PROGRAMA (3 HRS)")</f>
        <v>CAROL AMBO AMPUEROGESTIONPROGRAMA - TRANSVERSALENCARGADO  PROGRAMA (3 HRS)</v>
      </c>
      <c r="I34" s="216"/>
      <c r="J34" s="216"/>
      <c r="K34" s="216"/>
      <c r="L34" s="217"/>
    </row>
    <row r="35" ht="18.0" customHeight="1">
      <c r="A35" s="212" t="str">
        <f>IFERROR(__xludf.DUMMYFUNCTION("""COMPUTED_VALUE"""),"CAROL AMBO AMPUERO")</f>
        <v>CAROL AMBO AMPUERO</v>
      </c>
      <c r="B35" s="212" t="str">
        <f>IFERROR(__xludf.DUMMYFUNCTION("""COMPUTED_VALUE"""),"GESTION")</f>
        <v>GESTION</v>
      </c>
      <c r="C35" s="212" t="str">
        <f>IFERROR(__xludf.DUMMYFUNCTION("""COMPUTED_VALUE"""),"PROGRAMA - TRANSVERSAL")</f>
        <v>PROGRAMA - TRANSVERSAL</v>
      </c>
      <c r="D35" s="212" t="str">
        <f>IFERROR(__xludf.DUMMYFUNCTION("""COMPUTED_VALUE"""),"ENCARGAD@ PROGRAMA ADULTO Y ADULTO MAYOR (PSCV) (3 HRS)")</f>
        <v>ENCARGAD@ PROGRAMA ADULTO Y ADULTO MAYOR (PSCV) (3 HRS)</v>
      </c>
      <c r="E35" s="218">
        <f>IFERROR(__xludf.DUMMYFUNCTION("""COMPUTED_VALUE"""),3.0)</f>
        <v>3</v>
      </c>
      <c r="F35" s="212" t="str">
        <f>IFERROR(__xludf.DUMMYFUNCTION("""COMPUTED_VALUE"""),"Independiente")</f>
        <v>Independiente</v>
      </c>
      <c r="G35" s="215">
        <f>IFERROR(__xludf.DUMMYFUNCTION("""COMPUTED_VALUE"""),3.0)</f>
        <v>3</v>
      </c>
      <c r="H35" s="216" t="str">
        <f>IFERROR(__xludf.DUMMYFUNCTION("""COMPUTED_VALUE"""),"CAROL AMBO AMPUEROGESTIONPROGRAMA - TRANSVERSALENCARGAD@ PROGRAMA ADULTO Y ADULTO MAYOR (PSCV) (3 HRS)")</f>
        <v>CAROL AMBO AMPUEROGESTIONPROGRAMA - TRANSVERSALENCARGAD@ PROGRAMA ADULTO Y ADULTO MAYOR (PSCV) (3 HRS)</v>
      </c>
      <c r="I35" s="216"/>
      <c r="J35" s="216"/>
      <c r="K35" s="216"/>
      <c r="L35" s="217"/>
    </row>
    <row r="36" ht="18.0" customHeight="1">
      <c r="A36" s="212" t="str">
        <f>IFERROR(__xludf.DUMMYFUNCTION("""COMPUTED_VALUE"""),"CAROL AMBO AMPUERO")</f>
        <v>CAROL AMBO AMPUERO</v>
      </c>
      <c r="B36" s="212" t="str">
        <f>IFERROR(__xludf.DUMMYFUNCTION("""COMPUTED_VALUE"""),"GESTION")</f>
        <v>GESTION</v>
      </c>
      <c r="C36" s="212" t="str">
        <f>IFERROR(__xludf.DUMMYFUNCTION("""COMPUTED_VALUE"""),"SALUD PUBLICA")</f>
        <v>SALUD PUBLICA</v>
      </c>
      <c r="D36" s="212" t="str">
        <f>IFERROR(__xludf.DUMMYFUNCTION("""COMPUTED_VALUE"""),"ENCARGAD@ NANEAS (2 HRS)")</f>
        <v>ENCARGAD@ NANEAS (2 HRS)</v>
      </c>
      <c r="E36" s="218">
        <f>IFERROR(__xludf.DUMMYFUNCTION("""COMPUTED_VALUE"""),2.0)</f>
        <v>2</v>
      </c>
      <c r="F36" s="212" t="str">
        <f>IFERROR(__xludf.DUMMYFUNCTION("""COMPUTED_VALUE"""),"Independiente")</f>
        <v>Independiente</v>
      </c>
      <c r="G36" s="215">
        <f>IFERROR(__xludf.DUMMYFUNCTION("""COMPUTED_VALUE"""),2.0)</f>
        <v>2</v>
      </c>
      <c r="H36" s="216" t="str">
        <f>IFERROR(__xludf.DUMMYFUNCTION("""COMPUTED_VALUE"""),"CAROL AMBO AMPUEROGESTIONSALUD PUBLICAENCARGAD@ NANEAS (2 HRS)")</f>
        <v>CAROL AMBO AMPUEROGESTIONSALUD PUBLICAENCARGAD@ NANEAS (2 HRS)</v>
      </c>
      <c r="I36" s="216"/>
      <c r="J36" s="216"/>
      <c r="K36" s="216"/>
      <c r="L36" s="217"/>
    </row>
    <row r="37" ht="18.0" customHeight="1">
      <c r="A37" s="212" t="str">
        <f>IFERROR(__xludf.DUMMYFUNCTION("""COMPUTED_VALUE"""),"PAULA ABARCA MORALES")</f>
        <v>PAULA ABARCA MORALES</v>
      </c>
      <c r="B37" s="212" t="str">
        <f>IFERROR(__xludf.DUMMYFUNCTION("""COMPUTED_VALUE"""),"GESTION")</f>
        <v>GESTION</v>
      </c>
      <c r="C37" s="212" t="str">
        <f>IFERROR(__xludf.DUMMYFUNCTION("""COMPUTED_VALUE"""),"TECNICO - ADMNISTRATIVO")</f>
        <v>TECNICO - ADMNISTRATIVO</v>
      </c>
      <c r="D37" s="212" t="str">
        <f>IFERROR(__xludf.DUMMYFUNCTION("""COMPUTED_VALUE"""),"ENCARGAD@ CECOSF")</f>
        <v>ENCARGAD@ CECOSF</v>
      </c>
      <c r="E37" s="218">
        <f>IFERROR(__xludf.DUMMYFUNCTION("""COMPUTED_VALUE"""),22.0)</f>
        <v>22</v>
      </c>
      <c r="F37" s="212" t="str">
        <f>IFERROR(__xludf.DUMMYFUNCTION("""COMPUTED_VALUE"""),"Independiente")</f>
        <v>Independiente</v>
      </c>
      <c r="G37" s="215">
        <f>IFERROR(__xludf.DUMMYFUNCTION("""COMPUTED_VALUE"""),22.0)</f>
        <v>22</v>
      </c>
      <c r="H37" s="216" t="str">
        <f>IFERROR(__xludf.DUMMYFUNCTION("""COMPUTED_VALUE"""),"PAULA ABARCA MORALESGESTIONTECNICO - ADMNISTRATIVOENCARGAD@ CECOSF")</f>
        <v>PAULA ABARCA MORALESGESTIONTECNICO - ADMNISTRATIVOENCARGAD@ CECOSF</v>
      </c>
      <c r="I37" s="216"/>
      <c r="J37" s="216"/>
      <c r="K37" s="216"/>
      <c r="L37" s="217"/>
    </row>
    <row r="38" ht="18.0" customHeight="1">
      <c r="A38" s="212" t="str">
        <f>IFERROR(__xludf.DUMMYFUNCTION("""COMPUTED_VALUE"""),"PAULA ABARCA MORALES")</f>
        <v>PAULA ABARCA MORALES</v>
      </c>
      <c r="B38" s="212" t="str">
        <f>IFERROR(__xludf.DUMMYFUNCTION("""COMPUTED_VALUE"""),"GESTION")</f>
        <v>GESTION</v>
      </c>
      <c r="C38" s="212" t="str">
        <f>IFERROR(__xludf.DUMMYFUNCTION("""COMPUTED_VALUE"""),"TECNICO - ADMNISTRATIVO")</f>
        <v>TECNICO - ADMNISTRATIVO</v>
      </c>
      <c r="D38" s="212" t="str">
        <f>IFERROR(__xludf.DUMMYFUNCTION("""COMPUTED_VALUE"""),"ENCARGAD@ PROGRAMACION (2 HRS)")</f>
        <v>ENCARGAD@ PROGRAMACION (2 HRS)</v>
      </c>
      <c r="E38" s="218">
        <f>IFERROR(__xludf.DUMMYFUNCTION("""COMPUTED_VALUE"""),2.0)</f>
        <v>2</v>
      </c>
      <c r="F38" s="212" t="str">
        <f>IFERROR(__xludf.DUMMYFUNCTION("""COMPUTED_VALUE"""),"Incluido en otras Horas Gestión")</f>
        <v>Incluido en otras Horas Gestión</v>
      </c>
      <c r="G38" s="215">
        <f>IFERROR(__xludf.DUMMYFUNCTION("""COMPUTED_VALUE"""),0.0)</f>
        <v>0</v>
      </c>
      <c r="H38" s="216" t="str">
        <f>IFERROR(__xludf.DUMMYFUNCTION("""COMPUTED_VALUE"""),"PAULA ABARCA MORALESGESTIONTECNICO - ADMNISTRATIVOENCARGAD@ PROGRAMACION (2 HRS)")</f>
        <v>PAULA ABARCA MORALESGESTIONTECNICO - ADMNISTRATIVOENCARGAD@ PROGRAMACION (2 HRS)</v>
      </c>
      <c r="I38" s="216"/>
      <c r="J38" s="216"/>
      <c r="K38" s="216"/>
      <c r="L38" s="217"/>
    </row>
    <row r="39" ht="18.0" customHeight="1">
      <c r="A39" s="212" t="str">
        <f>IFERROR(__xludf.DUMMYFUNCTION("""COMPUTED_VALUE"""),"PAULA ABARCA MORALES")</f>
        <v>PAULA ABARCA MORALES</v>
      </c>
      <c r="B39" s="212" t="str">
        <f>IFERROR(__xludf.DUMMYFUNCTION("""COMPUTED_VALUE"""),"GESTION")</f>
        <v>GESTION</v>
      </c>
      <c r="C39" s="212" t="str">
        <f>IFERROR(__xludf.DUMMYFUNCTION("""COMPUTED_VALUE"""),"DERECHOS Y DEBERES")</f>
        <v>DERECHOS Y DEBERES</v>
      </c>
      <c r="D39" s="212" t="str">
        <f>IFERROR(__xludf.DUMMYFUNCTION("""COMPUTED_VALUE"""),"ENCARGAD@ OIRS (5 HORAS)")</f>
        <v>ENCARGAD@ OIRS (5 HORAS)</v>
      </c>
      <c r="E39" s="218">
        <f>IFERROR(__xludf.DUMMYFUNCTION("""COMPUTED_VALUE"""),5.0)</f>
        <v>5</v>
      </c>
      <c r="F39" s="212" t="str">
        <f>IFERROR(__xludf.DUMMYFUNCTION("""COMPUTED_VALUE"""),"Incluido en otras Horas Gestión")</f>
        <v>Incluido en otras Horas Gestión</v>
      </c>
      <c r="G39" s="215">
        <f>IFERROR(__xludf.DUMMYFUNCTION("""COMPUTED_VALUE"""),0.0)</f>
        <v>0</v>
      </c>
      <c r="H39" s="216" t="str">
        <f>IFERROR(__xludf.DUMMYFUNCTION("""COMPUTED_VALUE"""),"PAULA ABARCA MORALESGESTIONDERECHOS Y DEBERESENCARGAD@ OIRS (5 HORAS)")</f>
        <v>PAULA ABARCA MORALESGESTIONDERECHOS Y DEBERESENCARGAD@ OIRS (5 HORAS)</v>
      </c>
      <c r="I39" s="216"/>
      <c r="J39" s="216"/>
      <c r="K39" s="216"/>
      <c r="L39" s="217"/>
    </row>
    <row r="40" ht="18.0" customHeight="1">
      <c r="A40" s="212" t="str">
        <f>IFERROR(__xludf.DUMMYFUNCTION("""COMPUTED_VALUE"""),"PAULA ABARCA MORALES")</f>
        <v>PAULA ABARCA MORALES</v>
      </c>
      <c r="B40" s="212" t="str">
        <f>IFERROR(__xludf.DUMMYFUNCTION("""COMPUTED_VALUE"""),"GESTION")</f>
        <v>GESTION</v>
      </c>
      <c r="C40" s="212" t="str">
        <f>IFERROR(__xludf.DUMMYFUNCTION("""COMPUTED_VALUE"""),"SALUD PUBLICA")</f>
        <v>SALUD PUBLICA</v>
      </c>
      <c r="D40" s="212" t="str">
        <f>IFERROR(__xludf.DUMMYFUNCTION("""COMPUTED_VALUE"""),"ENCARGAD@ PPAA (PNAC-PACAM) (5 HRS)")</f>
        <v>ENCARGAD@ PPAA (PNAC-PACAM) (5 HRS)</v>
      </c>
      <c r="E40" s="218">
        <f>IFERROR(__xludf.DUMMYFUNCTION("""COMPUTED_VALUE"""),5.0)</f>
        <v>5</v>
      </c>
      <c r="F40" s="212" t="str">
        <f>IFERROR(__xludf.DUMMYFUNCTION("""COMPUTED_VALUE"""),"Incluido en otras Horas Gestión")</f>
        <v>Incluido en otras Horas Gestión</v>
      </c>
      <c r="G40" s="215">
        <f>IFERROR(__xludf.DUMMYFUNCTION("""COMPUTED_VALUE"""),0.0)</f>
        <v>0</v>
      </c>
      <c r="H40" s="216" t="str">
        <f>IFERROR(__xludf.DUMMYFUNCTION("""COMPUTED_VALUE"""),"PAULA ABARCA MORALESGESTIONSALUD PUBLICAENCARGAD@ PPAA (PNAC-PACAM) (5 HRS)")</f>
        <v>PAULA ABARCA MORALESGESTIONSALUD PUBLICAENCARGAD@ PPAA (PNAC-PACAM) (5 HRS)</v>
      </c>
      <c r="I40" s="216"/>
      <c r="J40" s="216"/>
      <c r="K40" s="216"/>
      <c r="L40" s="217"/>
    </row>
    <row r="41" ht="18.0" customHeight="1">
      <c r="A41" s="212" t="str">
        <f>IFERROR(__xludf.DUMMYFUNCTION("""COMPUTED_VALUE"""),"PAULINA DIAZ MEDINA")</f>
        <v>PAULINA DIAZ MEDINA</v>
      </c>
      <c r="B41" s="212" t="str">
        <f>IFERROR(__xludf.DUMMYFUNCTION("""COMPUTED_VALUE"""),"GESTION")</f>
        <v>GESTION</v>
      </c>
      <c r="C41" s="212" t="str">
        <f>IFERROR(__xludf.DUMMYFUNCTION("""COMPUTED_VALUE"""),"DERECHOS Y DEBERES")</f>
        <v>DERECHOS Y DEBERES</v>
      </c>
      <c r="D41" s="212" t="str">
        <f>IFERROR(__xludf.DUMMYFUNCTION("""COMPUTED_VALUE"""),"ENCARGAD@ MIGRANTES (1 HR)")</f>
        <v>ENCARGAD@ MIGRANTES (1 HR)</v>
      </c>
      <c r="E41" s="218">
        <f>IFERROR(__xludf.DUMMYFUNCTION("""COMPUTED_VALUE"""),1.0)</f>
        <v>1</v>
      </c>
      <c r="F41" s="212" t="str">
        <f>IFERROR(__xludf.DUMMYFUNCTION("""COMPUTED_VALUE"""),"Incluido en otras Horas Gestión")</f>
        <v>Incluido en otras Horas Gestión</v>
      </c>
      <c r="G41" s="215">
        <f>IFERROR(__xludf.DUMMYFUNCTION("""COMPUTED_VALUE"""),0.0)</f>
        <v>0</v>
      </c>
      <c r="H41" s="216" t="str">
        <f>IFERROR(__xludf.DUMMYFUNCTION("""COMPUTED_VALUE"""),"PAULINA DIAZ MEDINAGESTIONDERECHOS Y DEBERESENCARGAD@ MIGRANTES (1 HR)")</f>
        <v>PAULINA DIAZ MEDINAGESTIONDERECHOS Y DEBERESENCARGAD@ MIGRANTES (1 HR)</v>
      </c>
      <c r="I41" s="216"/>
      <c r="J41" s="216"/>
      <c r="K41" s="216"/>
      <c r="L41" s="217"/>
    </row>
    <row r="42" ht="18.0" customHeight="1">
      <c r="A42" s="212" t="str">
        <f>IFERROR(__xludf.DUMMYFUNCTION("""COMPUTED_VALUE"""),"PAULINA DIAZ MEDINA")</f>
        <v>PAULINA DIAZ MEDINA</v>
      </c>
      <c r="B42" s="212" t="str">
        <f>IFERROR(__xludf.DUMMYFUNCTION("""COMPUTED_VALUE"""),"GESTION")</f>
        <v>GESTION</v>
      </c>
      <c r="C42" s="212" t="str">
        <f>IFERROR(__xludf.DUMMYFUNCTION("""COMPUTED_VALUE"""),"COMUNIDAD")</f>
        <v>COMUNIDAD</v>
      </c>
      <c r="D42" s="212" t="str">
        <f>IFERROR(__xludf.DUMMYFUNCTION("""COMPUTED_VALUE"""),"ENCARGAD@ PARTICIPACION Y PROMOCION  (22 HORAS)")</f>
        <v>ENCARGAD@ PARTICIPACION Y PROMOCION  (22 HORAS)</v>
      </c>
      <c r="E42" s="218">
        <f>IFERROR(__xludf.DUMMYFUNCTION("""COMPUTED_VALUE"""),22.0)</f>
        <v>22</v>
      </c>
      <c r="F42" s="212" t="str">
        <f>IFERROR(__xludf.DUMMYFUNCTION("""COMPUTED_VALUE"""),"Independiente")</f>
        <v>Independiente</v>
      </c>
      <c r="G42" s="215">
        <f>IFERROR(__xludf.DUMMYFUNCTION("""COMPUTED_VALUE"""),22.0)</f>
        <v>22</v>
      </c>
      <c r="H42" s="216" t="str">
        <f>IFERROR(__xludf.DUMMYFUNCTION("""COMPUTED_VALUE"""),"PAULINA DIAZ MEDINAGESTIONCOMUNIDADENCARGAD@ PARTICIPACION Y PROMOCION  (22 HORAS)")</f>
        <v>PAULINA DIAZ MEDINAGESTIONCOMUNIDADENCARGAD@ PARTICIPACION Y PROMOCION  (22 HORAS)</v>
      </c>
      <c r="I42" s="216"/>
      <c r="J42" s="216"/>
      <c r="K42" s="216"/>
      <c r="L42" s="217"/>
    </row>
    <row r="43" ht="18.0" customHeight="1">
      <c r="A43" s="212" t="str">
        <f>IFERROR(__xludf.DUMMYFUNCTION("""COMPUTED_VALUE"""),"CONSTANZA PALMA MONTERO")</f>
        <v>CONSTANZA PALMA MONTERO</v>
      </c>
      <c r="B43" s="212" t="str">
        <f>IFERROR(__xludf.DUMMYFUNCTION("""COMPUTED_VALUE"""),"GESTION")</f>
        <v>GESTION</v>
      </c>
      <c r="C43" s="212" t="str">
        <f>IFERROR(__xludf.DUMMYFUNCTION("""COMPUTED_VALUE"""),"MAISFC")</f>
        <v>MAISFC</v>
      </c>
      <c r="D43" s="212" t="str">
        <f>IFERROR(__xludf.DUMMYFUNCTION("""COMPUTED_VALUE"""),"ENCARGAD@ ECICEP (3 HRS)")</f>
        <v>ENCARGAD@ ECICEP (3 HRS)</v>
      </c>
      <c r="E43" s="218">
        <f>IFERROR(__xludf.DUMMYFUNCTION("""COMPUTED_VALUE"""),3.0)</f>
        <v>3</v>
      </c>
      <c r="F43" s="212" t="str">
        <f>IFERROR(__xludf.DUMMYFUNCTION("""COMPUTED_VALUE"""),"Independiente")</f>
        <v>Independiente</v>
      </c>
      <c r="G43" s="215">
        <f>IFERROR(__xludf.DUMMYFUNCTION("""COMPUTED_VALUE"""),3.0)</f>
        <v>3</v>
      </c>
      <c r="H43" s="216" t="str">
        <f>IFERROR(__xludf.DUMMYFUNCTION("""COMPUTED_VALUE"""),"CONSTANZA PALMA MONTEROGESTIONMAISFCENCARGAD@ ECICEP (3 HRS)")</f>
        <v>CONSTANZA PALMA MONTEROGESTIONMAISFCENCARGAD@ ECICEP (3 HRS)</v>
      </c>
      <c r="I43" s="216"/>
      <c r="J43" s="216"/>
      <c r="K43" s="216"/>
      <c r="L43" s="217"/>
    </row>
    <row r="44" ht="18.0" customHeight="1">
      <c r="A44" s="212" t="str">
        <f>IFERROR(__xludf.DUMMYFUNCTION("""COMPUTED_VALUE"""),"FANNY QUINTANILLA CORDERO")</f>
        <v>FANNY QUINTANILLA CORDERO</v>
      </c>
      <c r="B44" s="212" t="str">
        <f>IFERROR(__xludf.DUMMYFUNCTION("""COMPUTED_VALUE"""),"GESTION")</f>
        <v>GESTION</v>
      </c>
      <c r="C44" s="212" t="str">
        <f>IFERROR(__xludf.DUMMYFUNCTION("""COMPUTED_VALUE"""),"TECNICO - ADMNISTRATIVO")</f>
        <v>TECNICO - ADMNISTRATIVO</v>
      </c>
      <c r="D44" s="212" t="str">
        <f>IFERROR(__xludf.DUMMYFUNCTION("""COMPUTED_VALUE"""),"ESTADISTICA TRIMESTRAL (2 DIAS)")</f>
        <v>ESTADISTICA TRIMESTRAL (2 DIAS)</v>
      </c>
      <c r="E44" s="218">
        <f>IFERROR(__xludf.DUMMYFUNCTION("""COMPUTED_VALUE"""),1.25)</f>
        <v>1.25</v>
      </c>
      <c r="F44" s="212" t="str">
        <f>IFERROR(__xludf.DUMMYFUNCTION("""COMPUTED_VALUE"""),"Independiente")</f>
        <v>Independiente</v>
      </c>
      <c r="G44" s="215">
        <f>IFERROR(__xludf.DUMMYFUNCTION("""COMPUTED_VALUE"""),1.25)</f>
        <v>1.25</v>
      </c>
      <c r="H44" s="216" t="str">
        <f>IFERROR(__xludf.DUMMYFUNCTION("""COMPUTED_VALUE"""),"FANNY QUINTANILLA CORDEROGESTIONTECNICO - ADMNISTRATIVOESTADISTICA TRIMESTRAL (2 DIAS)")</f>
        <v>FANNY QUINTANILLA CORDEROGESTIONTECNICO - ADMNISTRATIVOESTADISTICA TRIMESTRAL (2 DIAS)</v>
      </c>
      <c r="I44" s="216"/>
      <c r="J44" s="216"/>
      <c r="K44" s="216"/>
      <c r="L44" s="217"/>
    </row>
    <row r="45" ht="18.0" customHeight="1">
      <c r="A45" s="212" t="str">
        <f>IFERROR(__xludf.DUMMYFUNCTION("""COMPUTED_VALUE"""),"CAROL AMBO AMPUERO")</f>
        <v>CAROL AMBO AMPUERO</v>
      </c>
      <c r="B45" s="212" t="str">
        <f>IFERROR(__xludf.DUMMYFUNCTION("""COMPUTED_VALUE"""),"GESTION")</f>
        <v>GESTION</v>
      </c>
      <c r="C45" s="212" t="str">
        <f>IFERROR(__xludf.DUMMYFUNCTION("""COMPUTED_VALUE"""),"TECNICO - ADMNISTRATIVO")</f>
        <v>TECNICO - ADMNISTRATIVO</v>
      </c>
      <c r="D45" s="212" t="str">
        <f>IFERROR(__xludf.DUMMYFUNCTION("""COMPUTED_VALUE"""),"ESTADISTICA MENSUAL (1 DIA)")</f>
        <v>ESTADISTICA MENSUAL (1 DIA)</v>
      </c>
      <c r="E45" s="218">
        <f>IFERROR(__xludf.DUMMYFUNCTION("""COMPUTED_VALUE"""),2.0)</f>
        <v>2</v>
      </c>
      <c r="F45" s="212" t="str">
        <f>IFERROR(__xludf.DUMMYFUNCTION("""COMPUTED_VALUE"""),"Independiente")</f>
        <v>Independiente</v>
      </c>
      <c r="G45" s="215">
        <f>IFERROR(__xludf.DUMMYFUNCTION("""COMPUTED_VALUE"""),2.0)</f>
        <v>2</v>
      </c>
      <c r="H45" s="216" t="str">
        <f>IFERROR(__xludf.DUMMYFUNCTION("""COMPUTED_VALUE"""),"CAROL AMBO AMPUEROGESTIONTECNICO - ADMNISTRATIVOESTADISTICA MENSUAL (1 DIA)")</f>
        <v>CAROL AMBO AMPUEROGESTIONTECNICO - ADMNISTRATIVOESTADISTICA MENSUAL (1 DIA)</v>
      </c>
      <c r="I45" s="216"/>
      <c r="J45" s="216"/>
      <c r="K45" s="216"/>
      <c r="L45" s="217"/>
    </row>
    <row r="46" ht="18.0" customHeight="1">
      <c r="A46" s="212" t="str">
        <f>IFERROR(__xludf.DUMMYFUNCTION("""COMPUTED_VALUE"""),"CAROL AMBO AMPUERO")</f>
        <v>CAROL AMBO AMPUERO</v>
      </c>
      <c r="B46" s="212" t="str">
        <f>IFERROR(__xludf.DUMMYFUNCTION("""COMPUTED_VALUE"""),"GESTION")</f>
        <v>GESTION</v>
      </c>
      <c r="C46" s="212" t="str">
        <f>IFERROR(__xludf.DUMMYFUNCTION("""COMPUTED_VALUE"""),"TECNICO - ADMNISTRATIVO")</f>
        <v>TECNICO - ADMNISTRATIVO</v>
      </c>
      <c r="D46" s="212" t="str">
        <f>IFERROR(__xludf.DUMMYFUNCTION("""COMPUTED_VALUE"""),"ESTADISTICA TRIMESTRAL (2 DIAS)")</f>
        <v>ESTADISTICA TRIMESTRAL (2 DIAS)</v>
      </c>
      <c r="E46" s="218">
        <f>IFERROR(__xludf.DUMMYFUNCTION("""COMPUTED_VALUE"""),1.25)</f>
        <v>1.25</v>
      </c>
      <c r="F46" s="212" t="str">
        <f>IFERROR(__xludf.DUMMYFUNCTION("""COMPUTED_VALUE"""),"Independiente")</f>
        <v>Independiente</v>
      </c>
      <c r="G46" s="215">
        <f>IFERROR(__xludf.DUMMYFUNCTION("""COMPUTED_VALUE"""),1.25)</f>
        <v>1.25</v>
      </c>
      <c r="H46" s="216" t="str">
        <f>IFERROR(__xludf.DUMMYFUNCTION("""COMPUTED_VALUE"""),"CAROL AMBO AMPUEROGESTIONTECNICO - ADMNISTRATIVOESTADISTICA TRIMESTRAL (2 DIAS)")</f>
        <v>CAROL AMBO AMPUEROGESTIONTECNICO - ADMNISTRATIVOESTADISTICA TRIMESTRAL (2 DIAS)</v>
      </c>
      <c r="I46" s="216"/>
      <c r="J46" s="216"/>
      <c r="K46" s="216"/>
      <c r="L46" s="217"/>
    </row>
    <row r="47" ht="18.0" customHeight="1">
      <c r="A47" s="212" t="str">
        <f>IFERROR(__xludf.DUMMYFUNCTION("""COMPUTED_VALUE"""),"VANESSA ESPINOZA ESPINOZA")</f>
        <v>VANESSA ESPINOZA ESPINOZA</v>
      </c>
      <c r="B47" s="212" t="str">
        <f>IFERROR(__xludf.DUMMYFUNCTION("""COMPUTED_VALUE"""),"GESTION")</f>
        <v>GESTION</v>
      </c>
      <c r="C47" s="212" t="str">
        <f>IFERROR(__xludf.DUMMYFUNCTION("""COMPUTED_VALUE"""),"TECNICO - ADMNISTRATIVO")</f>
        <v>TECNICO - ADMNISTRATIVO</v>
      </c>
      <c r="D47" s="212" t="str">
        <f>IFERROR(__xludf.DUMMYFUNCTION("""COMPUTED_VALUE"""),"ESTADISTICA MENSUAL COMPLETA (4 HRS × 12 VECES)")</f>
        <v>ESTADISTICA MENSUAL COMPLETA (4 HRS × 12 VECES)</v>
      </c>
      <c r="E47" s="218">
        <f>IFERROR(__xludf.DUMMYFUNCTION("""COMPUTED_VALUE"""),0.9)</f>
        <v>0.9</v>
      </c>
      <c r="F47" s="212" t="str">
        <f>IFERROR(__xludf.DUMMYFUNCTION("""COMPUTED_VALUE"""),"Independiente")</f>
        <v>Independiente</v>
      </c>
      <c r="G47" s="215">
        <f>IFERROR(__xludf.DUMMYFUNCTION("""COMPUTED_VALUE"""),0.9)</f>
        <v>0.9</v>
      </c>
      <c r="H47" s="216" t="str">
        <f>IFERROR(__xludf.DUMMYFUNCTION("""COMPUTED_VALUE"""),"VANESSA ESPINOZA ESPINOZAGESTIONTECNICO - ADMNISTRATIVOESTADISTICA MENSUAL COMPLETA (4 HRS × 12 VECES)")</f>
        <v>VANESSA ESPINOZA ESPINOZAGESTIONTECNICO - ADMNISTRATIVOESTADISTICA MENSUAL COMPLETA (4 HRS × 12 VECES)</v>
      </c>
      <c r="I47" s="216"/>
      <c r="J47" s="216"/>
      <c r="K47" s="216"/>
      <c r="L47" s="217"/>
    </row>
    <row r="48" ht="18.0" customHeight="1">
      <c r="A48" s="212" t="str">
        <f>IFERROR(__xludf.DUMMYFUNCTION("""COMPUTED_VALUE"""),"SORAYA CRUCES DIAZ")</f>
        <v>SORAYA CRUCES DIAZ</v>
      </c>
      <c r="B48" s="212" t="str">
        <f>IFERROR(__xludf.DUMMYFUNCTION("""COMPUTED_VALUE"""),"GESTION")</f>
        <v>GESTION</v>
      </c>
      <c r="C48" s="212" t="str">
        <f>IFERROR(__xludf.DUMMYFUNCTION("""COMPUTED_VALUE"""),"TECNICO - ADMNISTRATIVO")</f>
        <v>TECNICO - ADMNISTRATIVO</v>
      </c>
      <c r="D48" s="212" t="str">
        <f>IFERROR(__xludf.DUMMYFUNCTION("""COMPUTED_VALUE"""),"ESTADISTICA MENSUAL (1 DIA)")</f>
        <v>ESTADISTICA MENSUAL (1 DIA)</v>
      </c>
      <c r="E48" s="218">
        <f>IFERROR(__xludf.DUMMYFUNCTION("""COMPUTED_VALUE"""),2.0)</f>
        <v>2</v>
      </c>
      <c r="F48" s="212" t="str">
        <f>IFERROR(__xludf.DUMMYFUNCTION("""COMPUTED_VALUE"""),"Independiente")</f>
        <v>Independiente</v>
      </c>
      <c r="G48" s="215">
        <f>IFERROR(__xludf.DUMMYFUNCTION("""COMPUTED_VALUE"""),2.0)</f>
        <v>2</v>
      </c>
      <c r="H48" s="216" t="str">
        <f>IFERROR(__xludf.DUMMYFUNCTION("""COMPUTED_VALUE"""),"SORAYA CRUCES DIAZGESTIONTECNICO - ADMNISTRATIVOESTADISTICA MENSUAL (1 DIA)")</f>
        <v>SORAYA CRUCES DIAZGESTIONTECNICO - ADMNISTRATIVOESTADISTICA MENSUAL (1 DIA)</v>
      </c>
      <c r="I48" s="216"/>
      <c r="J48" s="216"/>
      <c r="K48" s="216"/>
      <c r="L48" s="217"/>
    </row>
    <row r="49" ht="18.0" customHeight="1">
      <c r="A49" s="212" t="str">
        <f>IFERROR(__xludf.DUMMYFUNCTION("""COMPUTED_VALUE"""),"PAULA ABARCA MORALES")</f>
        <v>PAULA ABARCA MORALES</v>
      </c>
      <c r="B49" s="212" t="str">
        <f>IFERROR(__xludf.DUMMYFUNCTION("""COMPUTED_VALUE"""),"GESTION")</f>
        <v>GESTION</v>
      </c>
      <c r="C49" s="212" t="str">
        <f>IFERROR(__xludf.DUMMYFUNCTION("""COMPUTED_VALUE"""),"TECNICO - ADMNISTRATIVO")</f>
        <v>TECNICO - ADMNISTRATIVO</v>
      </c>
      <c r="D49" s="212" t="str">
        <f>IFERROR(__xludf.DUMMYFUNCTION("""COMPUTED_VALUE"""),"ESTADISTICA MENSUAL (1 DIA)")</f>
        <v>ESTADISTICA MENSUAL (1 DIA)</v>
      </c>
      <c r="E49" s="218">
        <f>IFERROR(__xludf.DUMMYFUNCTION("""COMPUTED_VALUE"""),2.0)</f>
        <v>2</v>
      </c>
      <c r="F49" s="212" t="str">
        <f>IFERROR(__xludf.DUMMYFUNCTION("""COMPUTED_VALUE"""),"Independiente")</f>
        <v>Independiente</v>
      </c>
      <c r="G49" s="215">
        <f>IFERROR(__xludf.DUMMYFUNCTION("""COMPUTED_VALUE"""),2.0)</f>
        <v>2</v>
      </c>
      <c r="H49" s="216" t="str">
        <f>IFERROR(__xludf.DUMMYFUNCTION("""COMPUTED_VALUE"""),"PAULA ABARCA MORALESGESTIONTECNICO - ADMNISTRATIVOESTADISTICA MENSUAL (1 DIA)")</f>
        <v>PAULA ABARCA MORALESGESTIONTECNICO - ADMNISTRATIVOESTADISTICA MENSUAL (1 DIA)</v>
      </c>
      <c r="I49" s="216"/>
      <c r="J49" s="216"/>
      <c r="K49" s="216"/>
      <c r="L49" s="217"/>
    </row>
    <row r="50" ht="18.0" customHeight="1">
      <c r="A50" s="212" t="str">
        <f>IFERROR(__xludf.DUMMYFUNCTION("""COMPUTED_VALUE"""),"PAULINA DIAZ MEDINA")</f>
        <v>PAULINA DIAZ MEDINA</v>
      </c>
      <c r="B50" s="212" t="str">
        <f>IFERROR(__xludf.DUMMYFUNCTION("""COMPUTED_VALUE"""),"GESTION")</f>
        <v>GESTION</v>
      </c>
      <c r="C50" s="212" t="str">
        <f>IFERROR(__xludf.DUMMYFUNCTION("""COMPUTED_VALUE"""),"TECNICO - ADMNISTRATIVO")</f>
        <v>TECNICO - ADMNISTRATIVO</v>
      </c>
      <c r="D50" s="212" t="str">
        <f>IFERROR(__xludf.DUMMYFUNCTION("""COMPUTED_VALUE"""),"ESTADISTICA MENSUAL COMPLETA (4 HRS × 12 VECES)")</f>
        <v>ESTADISTICA MENSUAL COMPLETA (4 HRS × 12 VECES)</v>
      </c>
      <c r="E50" s="218">
        <f>IFERROR(__xludf.DUMMYFUNCTION("""COMPUTED_VALUE"""),0.9)</f>
        <v>0.9</v>
      </c>
      <c r="F50" s="212" t="str">
        <f>IFERROR(__xludf.DUMMYFUNCTION("""COMPUTED_VALUE"""),"Independiente")</f>
        <v>Independiente</v>
      </c>
      <c r="G50" s="215">
        <f>IFERROR(__xludf.DUMMYFUNCTION("""COMPUTED_VALUE"""),0.9)</f>
        <v>0.9</v>
      </c>
      <c r="H50" s="216" t="str">
        <f>IFERROR(__xludf.DUMMYFUNCTION("""COMPUTED_VALUE"""),"PAULINA DIAZ MEDINAGESTIONTECNICO - ADMNISTRATIVOESTADISTICA MENSUAL COMPLETA (4 HRS × 12 VECES)")</f>
        <v>PAULINA DIAZ MEDINAGESTIONTECNICO - ADMNISTRATIVOESTADISTICA MENSUAL COMPLETA (4 HRS × 12 VECES)</v>
      </c>
      <c r="I50" s="216"/>
      <c r="J50" s="216"/>
      <c r="K50" s="216"/>
      <c r="L50" s="217"/>
    </row>
    <row r="51" ht="18.0" customHeight="1">
      <c r="A51" s="212" t="str">
        <f>IFERROR(__xludf.DUMMYFUNCTION("""COMPUTED_VALUE"""),"KARINA MONTANARES")</f>
        <v>KARINA MONTANARES</v>
      </c>
      <c r="B51" s="212" t="str">
        <f>IFERROR(__xludf.DUMMYFUNCTION("""COMPUTED_VALUE"""),"GESTION")</f>
        <v>GESTION</v>
      </c>
      <c r="C51" s="212" t="str">
        <f>IFERROR(__xludf.DUMMYFUNCTION("""COMPUTED_VALUE"""),"TECNICO - ADMNISTRATIVO")</f>
        <v>TECNICO - ADMNISTRATIVO</v>
      </c>
      <c r="D51" s="212" t="str">
        <f>IFERROR(__xludf.DUMMYFUNCTION("""COMPUTED_VALUE"""),"ESTADISTICA MENSUAL COMPLETA (4 HRS × 12 VECES)")</f>
        <v>ESTADISTICA MENSUAL COMPLETA (4 HRS × 12 VECES)</v>
      </c>
      <c r="E51" s="218">
        <f>IFERROR(__xludf.DUMMYFUNCTION("""COMPUTED_VALUE"""),0.9)</f>
        <v>0.9</v>
      </c>
      <c r="F51" s="212" t="str">
        <f>IFERROR(__xludf.DUMMYFUNCTION("""COMPUTED_VALUE"""),"Independiente")</f>
        <v>Independiente</v>
      </c>
      <c r="G51" s="215">
        <f>IFERROR(__xludf.DUMMYFUNCTION("""COMPUTED_VALUE"""),0.9)</f>
        <v>0.9</v>
      </c>
      <c r="H51" s="216" t="str">
        <f>IFERROR(__xludf.DUMMYFUNCTION("""COMPUTED_VALUE"""),"KARINA MONTANARESGESTIONTECNICO - ADMNISTRATIVOESTADISTICA MENSUAL COMPLETA (4 HRS × 12 VECES)")</f>
        <v>KARINA MONTANARESGESTIONTECNICO - ADMNISTRATIVOESTADISTICA MENSUAL COMPLETA (4 HRS × 12 VECES)</v>
      </c>
      <c r="I51" s="216"/>
      <c r="J51" s="216"/>
      <c r="K51" s="216"/>
      <c r="L51" s="217"/>
    </row>
    <row r="52" ht="18.0" customHeight="1">
      <c r="A52" s="212" t="str">
        <f>IFERROR(__xludf.DUMMYFUNCTION("""COMPUTED_VALUE"""),"DANIELA ROJAS GAMBOA")</f>
        <v>DANIELA ROJAS GAMBOA</v>
      </c>
      <c r="B52" s="212" t="str">
        <f>IFERROR(__xludf.DUMMYFUNCTION("""COMPUTED_VALUE"""),"GESTION")</f>
        <v>GESTION</v>
      </c>
      <c r="C52" s="212" t="str">
        <f>IFERROR(__xludf.DUMMYFUNCTION("""COMPUTED_VALUE"""),"TECNICO - ADMNISTRATIVO")</f>
        <v>TECNICO - ADMNISTRATIVO</v>
      </c>
      <c r="D52" s="212" t="str">
        <f>IFERROR(__xludf.DUMMYFUNCTION("""COMPUTED_VALUE"""),"ESTADISTICA MENSUAL (1 DIA)")</f>
        <v>ESTADISTICA MENSUAL (1 DIA)</v>
      </c>
      <c r="E52" s="218">
        <f>IFERROR(__xludf.DUMMYFUNCTION("""COMPUTED_VALUE"""),2.0)</f>
        <v>2</v>
      </c>
      <c r="F52" s="212" t="str">
        <f>IFERROR(__xludf.DUMMYFUNCTION("""COMPUTED_VALUE"""),"Independiente")</f>
        <v>Independiente</v>
      </c>
      <c r="G52" s="215">
        <f>IFERROR(__xludf.DUMMYFUNCTION("""COMPUTED_VALUE"""),2.0)</f>
        <v>2</v>
      </c>
      <c r="H52" s="216" t="str">
        <f>IFERROR(__xludf.DUMMYFUNCTION("""COMPUTED_VALUE"""),"DANIELA ROJAS GAMBOAGESTIONTECNICO - ADMNISTRATIVOESTADISTICA MENSUAL (1 DIA)")</f>
        <v>DANIELA ROJAS GAMBOAGESTIONTECNICO - ADMNISTRATIVOESTADISTICA MENSUAL (1 DIA)</v>
      </c>
      <c r="I52" s="216"/>
      <c r="J52" s="216"/>
      <c r="K52" s="216"/>
      <c r="L52" s="217"/>
    </row>
    <row r="53" ht="18.0" customHeight="1">
      <c r="A53" s="212" t="str">
        <f>IFERROR(__xludf.DUMMYFUNCTION("""COMPUTED_VALUE"""),"ANGELA ZUÑIGA MUGA")</f>
        <v>ANGELA ZUÑIGA MUGA</v>
      </c>
      <c r="B53" s="212" t="str">
        <f>IFERROR(__xludf.DUMMYFUNCTION("""COMPUTED_VALUE"""),"GESTION")</f>
        <v>GESTION</v>
      </c>
      <c r="C53" s="212" t="str">
        <f>IFERROR(__xludf.DUMMYFUNCTION("""COMPUTED_VALUE"""),"TECNICO - ADMNISTRATIVO")</f>
        <v>TECNICO - ADMNISTRATIVO</v>
      </c>
      <c r="D53" s="212" t="str">
        <f>IFERROR(__xludf.DUMMYFUNCTION("""COMPUTED_VALUE"""),"ESTADISTICA MENSUAL (1 DIA)")</f>
        <v>ESTADISTICA MENSUAL (1 DIA)</v>
      </c>
      <c r="E53" s="218">
        <f>IFERROR(__xludf.DUMMYFUNCTION("""COMPUTED_VALUE"""),2.0)</f>
        <v>2</v>
      </c>
      <c r="F53" s="212" t="str">
        <f>IFERROR(__xludf.DUMMYFUNCTION("""COMPUTED_VALUE"""),"Independiente")</f>
        <v>Independiente</v>
      </c>
      <c r="G53" s="215">
        <f>IFERROR(__xludf.DUMMYFUNCTION("""COMPUTED_VALUE"""),2.0)</f>
        <v>2</v>
      </c>
      <c r="H53" s="216" t="str">
        <f>IFERROR(__xludf.DUMMYFUNCTION("""COMPUTED_VALUE"""),"ANGELA ZUÑIGA MUGAGESTIONTECNICO - ADMNISTRATIVOESTADISTICA MENSUAL (1 DIA)")</f>
        <v>ANGELA ZUÑIGA MUGAGESTIONTECNICO - ADMNISTRATIVOESTADISTICA MENSUAL (1 DIA)</v>
      </c>
      <c r="I53" s="216"/>
      <c r="J53" s="216"/>
      <c r="K53" s="216"/>
      <c r="L53" s="217"/>
    </row>
    <row r="54" ht="18.0" customHeight="1">
      <c r="A54" s="212" t="str">
        <f>IFERROR(__xludf.DUMMYFUNCTION("""COMPUTED_VALUE"""),"PRUEBA")</f>
        <v>PRUEBA</v>
      </c>
      <c r="B54" s="212" t="str">
        <f>IFERROR(__xludf.DUMMYFUNCTION("""COMPUTED_VALUE"""),"REUNION")</f>
        <v>REUNION</v>
      </c>
      <c r="C54" s="212" t="str">
        <f>IFERROR(__xludf.DUMMYFUNCTION("""COMPUTED_VALUE"""),"EQUIPO")</f>
        <v>EQUIPO</v>
      </c>
      <c r="D54" s="212" t="str">
        <f>IFERROR(__xludf.DUMMYFUNCTION("""COMPUTED_VALUE"""),"REUNIÓN EQUIPO PYP CESFAM")</f>
        <v>REUNIÓN EQUIPO PYP CESFAM</v>
      </c>
      <c r="E54" s="218">
        <f>IFERROR(__xludf.DUMMYFUNCTION("""COMPUTED_VALUE"""),0.45)</f>
        <v>0.45</v>
      </c>
      <c r="F54" s="212" t="str">
        <f>IFERROR(__xludf.DUMMYFUNCTION("""COMPUTED_VALUE"""),"Independiente")</f>
        <v>Independiente</v>
      </c>
      <c r="G54" s="215">
        <f>IFERROR(__xludf.DUMMYFUNCTION("""COMPUTED_VALUE"""),2.0)</f>
        <v>2</v>
      </c>
      <c r="H54" s="216" t="str">
        <f>IFERROR(__xludf.DUMMYFUNCTION("""COMPUTED_VALUE"""),"PRUEBAREUNIONEQUIPOREUNIÓN EQUIPO PYP CESFAM")</f>
        <v>PRUEBAREUNIONEQUIPOREUNIÓN EQUIPO PYP CESFAM</v>
      </c>
      <c r="I54" s="216"/>
      <c r="J54" s="216"/>
      <c r="K54" s="216"/>
      <c r="L54" s="217"/>
    </row>
    <row r="55" ht="18.0" customHeight="1">
      <c r="A55" s="212" t="str">
        <f>IFERROR(__xludf.DUMMYFUNCTION("""COMPUTED_VALUE"""),"PAULINA DIAZ MEDINA")</f>
        <v>PAULINA DIAZ MEDINA</v>
      </c>
      <c r="B55" s="212" t="str">
        <f>IFERROR(__xludf.DUMMYFUNCTION("""COMPUTED_VALUE"""),"REUNION")</f>
        <v>REUNION</v>
      </c>
      <c r="C55" s="212" t="str">
        <f>IFERROR(__xludf.DUMMYFUNCTION("""COMPUTED_VALUE"""),"COMUNIDAD")</f>
        <v>COMUNIDAD</v>
      </c>
      <c r="D55" s="212" t="str">
        <f>IFERROR(__xludf.DUMMYFUNCTION("""COMPUTED_VALUE"""),"COMSE")</f>
        <v>COMSE</v>
      </c>
      <c r="E55" s="218">
        <f>IFERROR(__xludf.DUMMYFUNCTION("""COMPUTED_VALUE"""),0.75)</f>
        <v>0.75</v>
      </c>
      <c r="F55" s="212" t="str">
        <f>IFERROR(__xludf.DUMMYFUNCTION("""COMPUTED_VALUE"""),"Incluido en otras Horas Gestión")</f>
        <v>Incluido en otras Horas Gestión</v>
      </c>
      <c r="G55" s="215"/>
      <c r="H55" s="216" t="str">
        <f>IFERROR(__xludf.DUMMYFUNCTION("""COMPUTED_VALUE"""),"PAULINA DIAZ MEDINAREUNIONCOMUNIDADCOMSE")</f>
        <v>PAULINA DIAZ MEDINAREUNIONCOMUNIDADCOMSE</v>
      </c>
      <c r="I55" s="216"/>
      <c r="J55" s="216"/>
      <c r="K55" s="216"/>
      <c r="L55" s="217"/>
    </row>
    <row r="56" ht="18.0" customHeight="1">
      <c r="A56" s="212" t="str">
        <f>IFERROR(__xludf.DUMMYFUNCTION("""COMPUTED_VALUE"""),"VANESSA ESPINOZA ESPINOZA")</f>
        <v>VANESSA ESPINOZA ESPINOZA</v>
      </c>
      <c r="B56" s="212" t="str">
        <f>IFERROR(__xludf.DUMMYFUNCTION("""COMPUTED_VALUE"""),"REUNION")</f>
        <v>REUNION</v>
      </c>
      <c r="C56" s="212" t="str">
        <f>IFERROR(__xludf.DUMMYFUNCTION("""COMPUTED_VALUE"""),"COMUNIDAD")</f>
        <v>COMUNIDAD</v>
      </c>
      <c r="D56" s="212" t="str">
        <f>IFERROR(__xludf.DUMMYFUNCTION("""COMPUTED_VALUE"""),"COMSE")</f>
        <v>COMSE</v>
      </c>
      <c r="E56" s="218">
        <f>IFERROR(__xludf.DUMMYFUNCTION("""COMPUTED_VALUE"""),0.75)</f>
        <v>0.75</v>
      </c>
      <c r="F56" s="212" t="str">
        <f>IFERROR(__xludf.DUMMYFUNCTION("""COMPUTED_VALUE"""),"Incluido en otras Horas Gestión")</f>
        <v>Incluido en otras Horas Gestión</v>
      </c>
      <c r="G56" s="215">
        <f>IFERROR(__xludf.DUMMYFUNCTION("""COMPUTED_VALUE"""),0.0)</f>
        <v>0</v>
      </c>
      <c r="H56" s="216" t="str">
        <f>IFERROR(__xludf.DUMMYFUNCTION("""COMPUTED_VALUE"""),"VANESSA ESPINOZA ESPINOZAREUNIONCOMUNIDADCOMSE")</f>
        <v>VANESSA ESPINOZA ESPINOZAREUNIONCOMUNIDADCOMSE</v>
      </c>
      <c r="I56" s="216"/>
      <c r="J56" s="216"/>
      <c r="K56" s="216"/>
      <c r="L56" s="217"/>
    </row>
    <row r="57" ht="18.0" customHeight="1">
      <c r="A57" s="212" t="str">
        <f>IFERROR(__xludf.DUMMYFUNCTION("""COMPUTED_VALUE"""),"SORAYA CRUCES DIAZ")</f>
        <v>SORAYA CRUCES DIAZ</v>
      </c>
      <c r="B57" s="212" t="str">
        <f>IFERROR(__xludf.DUMMYFUNCTION("""COMPUTED_VALUE"""),"REUNION")</f>
        <v>REUNION</v>
      </c>
      <c r="C57" s="212" t="str">
        <f>IFERROR(__xludf.DUMMYFUNCTION("""COMPUTED_VALUE"""),"FUNCIONARIO")</f>
        <v>FUNCIONARIO</v>
      </c>
      <c r="D57" s="212" t="str">
        <f>IFERROR(__xludf.DUMMYFUNCTION("""COMPUTED_VALUE"""),"AUTOCUIDADO")</f>
        <v>AUTOCUIDADO</v>
      </c>
      <c r="E57" s="218">
        <f>IFERROR(__xludf.DUMMYFUNCTION("""COMPUTED_VALUE"""),0.6)</f>
        <v>0.6</v>
      </c>
      <c r="F57" s="212" t="str">
        <f>IFERROR(__xludf.DUMMYFUNCTION("""COMPUTED_VALUE"""),"Independiente")</f>
        <v>Independiente</v>
      </c>
      <c r="G57" s="215"/>
      <c r="H57" s="216" t="str">
        <f>IFERROR(__xludf.DUMMYFUNCTION("""COMPUTED_VALUE"""),"SORAYA CRUCES DIAZREUNIONFUNCIONARIOAUTOCUIDADO")</f>
        <v>SORAYA CRUCES DIAZREUNIONFUNCIONARIOAUTOCUIDADO</v>
      </c>
      <c r="I57" s="216"/>
      <c r="J57" s="216"/>
      <c r="K57" s="216"/>
      <c r="L57" s="217"/>
    </row>
    <row r="58" ht="18.0" customHeight="1">
      <c r="A58" s="212" t="str">
        <f>IFERROR(__xludf.DUMMYFUNCTION("""COMPUTED_VALUE"""),"SORAYA CRUCES DIAZ")</f>
        <v>SORAYA CRUCES DIAZ</v>
      </c>
      <c r="B58" s="212" t="str">
        <f>IFERROR(__xludf.DUMMYFUNCTION("""COMPUTED_VALUE"""),"REUNION")</f>
        <v>REUNION</v>
      </c>
      <c r="C58" s="212" t="str">
        <f>IFERROR(__xludf.DUMMYFUNCTION("""COMPUTED_VALUE"""),"MAISFC")</f>
        <v>MAISFC</v>
      </c>
      <c r="D58" s="212" t="str">
        <f>IFERROR(__xludf.DUMMYFUNCTION("""COMPUTED_VALUE"""),"CONSEJO AMPLIADO")</f>
        <v>CONSEJO AMPLIADO</v>
      </c>
      <c r="E58" s="218">
        <f>IFERROR(__xludf.DUMMYFUNCTION("""COMPUTED_VALUE"""),0.5)</f>
        <v>0.5</v>
      </c>
      <c r="F58" s="212" t="str">
        <f>IFERROR(__xludf.DUMMYFUNCTION("""COMPUTED_VALUE"""),"Independiente")</f>
        <v>Independiente</v>
      </c>
      <c r="G58" s="215">
        <f>IFERROR(__xludf.DUMMYFUNCTION("""COMPUTED_VALUE"""),0.5)</f>
        <v>0.5</v>
      </c>
      <c r="H58" s="216" t="str">
        <f>IFERROR(__xludf.DUMMYFUNCTION("""COMPUTED_VALUE"""),"SORAYA CRUCES DIAZREUNIONMAISFCCONSEJO AMPLIADO")</f>
        <v>SORAYA CRUCES DIAZREUNIONMAISFCCONSEJO AMPLIADO</v>
      </c>
      <c r="I58" s="216"/>
      <c r="J58" s="216"/>
      <c r="K58" s="216"/>
      <c r="L58" s="217"/>
    </row>
    <row r="59" ht="18.0" customHeight="1">
      <c r="A59" s="212" t="str">
        <f>IFERROR(__xludf.DUMMYFUNCTION("""COMPUTED_VALUE"""),"SORAYA CRUCES DIAZ")</f>
        <v>SORAYA CRUCES DIAZ</v>
      </c>
      <c r="B59" s="212" t="str">
        <f>IFERROR(__xludf.DUMMYFUNCTION("""COMPUTED_VALUE"""),"REUNION")</f>
        <v>REUNION</v>
      </c>
      <c r="C59" s="212" t="str">
        <f>IFERROR(__xludf.DUMMYFUNCTION("""COMPUTED_VALUE"""),"MAISFC")</f>
        <v>MAISFC</v>
      </c>
      <c r="D59" s="212" t="str">
        <f>IFERROR(__xludf.DUMMYFUNCTION("""COMPUTED_VALUE"""),"REUNIÓN EQUIPO CABECERA")</f>
        <v>REUNIÓN EQUIPO CABECERA</v>
      </c>
      <c r="E59" s="218">
        <f>IFERROR(__xludf.DUMMYFUNCTION("""COMPUTED_VALUE"""),0.5)</f>
        <v>0.5</v>
      </c>
      <c r="F59" s="212" t="str">
        <f>IFERROR(__xludf.DUMMYFUNCTION("""COMPUTED_VALUE"""),"Independiente")</f>
        <v>Independiente</v>
      </c>
      <c r="G59" s="215">
        <f>IFERROR(__xludf.DUMMYFUNCTION("""COMPUTED_VALUE"""),0.5)</f>
        <v>0.5</v>
      </c>
      <c r="H59" s="216" t="str">
        <f>IFERROR(__xludf.DUMMYFUNCTION("""COMPUTED_VALUE"""),"SORAYA CRUCES DIAZREUNIONMAISFCREUNIÓN EQUIPO CABECERA")</f>
        <v>SORAYA CRUCES DIAZREUNIONMAISFCREUNIÓN EQUIPO CABECERA</v>
      </c>
      <c r="I59" s="216"/>
      <c r="J59" s="216"/>
      <c r="K59" s="216"/>
      <c r="L59" s="217"/>
    </row>
    <row r="60" ht="18.0" customHeight="1">
      <c r="A60" s="212" t="str">
        <f>IFERROR(__xludf.DUMMYFUNCTION("""COMPUTED_VALUE"""),"SORAYA CRUCES DIAZ")</f>
        <v>SORAYA CRUCES DIAZ</v>
      </c>
      <c r="B60" s="212" t="str">
        <f>IFERROR(__xludf.DUMMYFUNCTION("""COMPUTED_VALUE"""),"REUNION")</f>
        <v>REUNION</v>
      </c>
      <c r="C60" s="212" t="str">
        <f>IFERROR(__xludf.DUMMYFUNCTION("""COMPUTED_VALUE"""),"MAISFC")</f>
        <v>MAISFC</v>
      </c>
      <c r="D60" s="212" t="str">
        <f>IFERROR(__xludf.DUMMYFUNCTION("""COMPUTED_VALUE"""),"REUNIÓN SECTOR (2 HRS - X12)")</f>
        <v>REUNIÓN SECTOR (2 HRS - X12)</v>
      </c>
      <c r="E60" s="218">
        <f>IFERROR(__xludf.DUMMYFUNCTION("""COMPUTED_VALUE"""),0.6)</f>
        <v>0.6</v>
      </c>
      <c r="F60" s="212" t="str">
        <f>IFERROR(__xludf.DUMMYFUNCTION("""COMPUTED_VALUE"""),"Independiente")</f>
        <v>Independiente</v>
      </c>
      <c r="G60" s="215">
        <f>IFERROR(__xludf.DUMMYFUNCTION("""COMPUTED_VALUE"""),0.6)</f>
        <v>0.6</v>
      </c>
      <c r="H60" s="216" t="str">
        <f>IFERROR(__xludf.DUMMYFUNCTION("""COMPUTED_VALUE"""),"SORAYA CRUCES DIAZREUNIONMAISFCREUNIÓN SECTOR (2 HRS - X12)")</f>
        <v>SORAYA CRUCES DIAZREUNIONMAISFCREUNIÓN SECTOR (2 HRS - X12)</v>
      </c>
      <c r="I60" s="216"/>
      <c r="J60" s="216"/>
      <c r="K60" s="216"/>
      <c r="L60" s="217"/>
    </row>
    <row r="61" ht="18.0" customHeight="1">
      <c r="A61" s="212" t="str">
        <f>IFERROR(__xludf.DUMMYFUNCTION("""COMPUTED_VALUE"""),"GERARDO VALENCIA BERMUDEZ")</f>
        <v>GERARDO VALENCIA BERMUDEZ</v>
      </c>
      <c r="B61" s="212" t="str">
        <f>IFERROR(__xludf.DUMMYFUNCTION("""COMPUTED_VALUE"""),"REUNION")</f>
        <v>REUNION</v>
      </c>
      <c r="C61" s="212" t="str">
        <f>IFERROR(__xludf.DUMMYFUNCTION("""COMPUTED_VALUE"""),"FUNCIONARIO")</f>
        <v>FUNCIONARIO</v>
      </c>
      <c r="D61" s="212" t="str">
        <f>IFERROR(__xludf.DUMMYFUNCTION("""COMPUTED_VALUE"""),"AUTOCUIDADO")</f>
        <v>AUTOCUIDADO</v>
      </c>
      <c r="E61" s="218">
        <f>IFERROR(__xludf.DUMMYFUNCTION("""COMPUTED_VALUE"""),0.6)</f>
        <v>0.6</v>
      </c>
      <c r="F61" s="212" t="str">
        <f>IFERROR(__xludf.DUMMYFUNCTION("""COMPUTED_VALUE"""),"Independiente")</f>
        <v>Independiente</v>
      </c>
      <c r="G61" s="215">
        <f>IFERROR(__xludf.DUMMYFUNCTION("""COMPUTED_VALUE"""),0.6)</f>
        <v>0.6</v>
      </c>
      <c r="H61" s="216" t="str">
        <f>IFERROR(__xludf.DUMMYFUNCTION("""COMPUTED_VALUE"""),"GERARDO VALENCIA BERMUDEZREUNIONFUNCIONARIOAUTOCUIDADO")</f>
        <v>GERARDO VALENCIA BERMUDEZREUNIONFUNCIONARIOAUTOCUIDADO</v>
      </c>
      <c r="I61" s="216"/>
      <c r="J61" s="216"/>
      <c r="K61" s="216"/>
      <c r="L61" s="217"/>
    </row>
    <row r="62" ht="18.0" customHeight="1">
      <c r="A62" s="212" t="str">
        <f>IFERROR(__xludf.DUMMYFUNCTION("""COMPUTED_VALUE"""),"GERARDO VALENCIA BERMUDEZ")</f>
        <v>GERARDO VALENCIA BERMUDEZ</v>
      </c>
      <c r="B62" s="212" t="str">
        <f>IFERROR(__xludf.DUMMYFUNCTION("""COMPUTED_VALUE"""),"REUNION")</f>
        <v>REUNION</v>
      </c>
      <c r="C62" s="212" t="str">
        <f>IFERROR(__xludf.DUMMYFUNCTION("""COMPUTED_VALUE"""),"MAISFC")</f>
        <v>MAISFC</v>
      </c>
      <c r="D62" s="212" t="str">
        <f>IFERROR(__xludf.DUMMYFUNCTION("""COMPUTED_VALUE"""),"CONSEJO AMPLIADO")</f>
        <v>CONSEJO AMPLIADO</v>
      </c>
      <c r="E62" s="218">
        <f>IFERROR(__xludf.DUMMYFUNCTION("""COMPUTED_VALUE"""),0.5)</f>
        <v>0.5</v>
      </c>
      <c r="F62" s="212" t="str">
        <f>IFERROR(__xludf.DUMMYFUNCTION("""COMPUTED_VALUE"""),"Independiente")</f>
        <v>Independiente</v>
      </c>
      <c r="G62" s="215">
        <f>IFERROR(__xludf.DUMMYFUNCTION("""COMPUTED_VALUE"""),0.5)</f>
        <v>0.5</v>
      </c>
      <c r="H62" s="216" t="str">
        <f>IFERROR(__xludf.DUMMYFUNCTION("""COMPUTED_VALUE"""),"GERARDO VALENCIA BERMUDEZREUNIONMAISFCCONSEJO AMPLIADO")</f>
        <v>GERARDO VALENCIA BERMUDEZREUNIONMAISFCCONSEJO AMPLIADO</v>
      </c>
      <c r="I62" s="216"/>
      <c r="J62" s="216"/>
      <c r="K62" s="216"/>
      <c r="L62" s="217"/>
    </row>
    <row r="63" ht="18.0" customHeight="1">
      <c r="A63" s="212" t="str">
        <f>IFERROR(__xludf.DUMMYFUNCTION("""COMPUTED_VALUE"""),"GERARDO VALENCIA BERMUDEZ")</f>
        <v>GERARDO VALENCIA BERMUDEZ</v>
      </c>
      <c r="B63" s="212" t="str">
        <f>IFERROR(__xludf.DUMMYFUNCTION("""COMPUTED_VALUE"""),"REUNION")</f>
        <v>REUNION</v>
      </c>
      <c r="C63" s="212" t="str">
        <f>IFERROR(__xludf.DUMMYFUNCTION("""COMPUTED_VALUE"""),"MAISFC")</f>
        <v>MAISFC</v>
      </c>
      <c r="D63" s="212" t="str">
        <f>IFERROR(__xludf.DUMMYFUNCTION("""COMPUTED_VALUE"""),"REUNIÓN EQUIPO CABECERA")</f>
        <v>REUNIÓN EQUIPO CABECERA</v>
      </c>
      <c r="E63" s="218">
        <f>IFERROR(__xludf.DUMMYFUNCTION("""COMPUTED_VALUE"""),0.5)</f>
        <v>0.5</v>
      </c>
      <c r="F63" s="212" t="str">
        <f>IFERROR(__xludf.DUMMYFUNCTION("""COMPUTED_VALUE"""),"Independiente")</f>
        <v>Independiente</v>
      </c>
      <c r="G63" s="215">
        <f>IFERROR(__xludf.DUMMYFUNCTION("""COMPUTED_VALUE"""),0.5)</f>
        <v>0.5</v>
      </c>
      <c r="H63" s="216" t="str">
        <f>IFERROR(__xludf.DUMMYFUNCTION("""COMPUTED_VALUE"""),"GERARDO VALENCIA BERMUDEZREUNIONMAISFCREUNIÓN EQUIPO CABECERA")</f>
        <v>GERARDO VALENCIA BERMUDEZREUNIONMAISFCREUNIÓN EQUIPO CABECERA</v>
      </c>
      <c r="I63" s="216"/>
      <c r="J63" s="216"/>
      <c r="K63" s="216"/>
      <c r="L63" s="217"/>
    </row>
    <row r="64" ht="18.0" customHeight="1">
      <c r="A64" s="212" t="str">
        <f>IFERROR(__xludf.DUMMYFUNCTION("""COMPUTED_VALUE"""),"GERARDO VALENCIA BERMUDEZ")</f>
        <v>GERARDO VALENCIA BERMUDEZ</v>
      </c>
      <c r="B64" s="212" t="str">
        <f>IFERROR(__xludf.DUMMYFUNCTION("""COMPUTED_VALUE"""),"REUNION")</f>
        <v>REUNION</v>
      </c>
      <c r="C64" s="212" t="str">
        <f>IFERROR(__xludf.DUMMYFUNCTION("""COMPUTED_VALUE"""),"MAISFC")</f>
        <v>MAISFC</v>
      </c>
      <c r="D64" s="212" t="str">
        <f>IFERROR(__xludf.DUMMYFUNCTION("""COMPUTED_VALUE"""),"REUNIÓN SECTOR (2 HRS - X12)")</f>
        <v>REUNIÓN SECTOR (2 HRS - X12)</v>
      </c>
      <c r="E64" s="218">
        <f>IFERROR(__xludf.DUMMYFUNCTION("""COMPUTED_VALUE"""),0.6)</f>
        <v>0.6</v>
      </c>
      <c r="F64" s="212" t="str">
        <f>IFERROR(__xludf.DUMMYFUNCTION("""COMPUTED_VALUE"""),"Independiente")</f>
        <v>Independiente</v>
      </c>
      <c r="G64" s="215">
        <f>IFERROR(__xludf.DUMMYFUNCTION("""COMPUTED_VALUE"""),0.6)</f>
        <v>0.6</v>
      </c>
      <c r="H64" s="216" t="str">
        <f>IFERROR(__xludf.DUMMYFUNCTION("""COMPUTED_VALUE"""),"GERARDO VALENCIA BERMUDEZREUNIONMAISFCREUNIÓN SECTOR (2 HRS - X12)")</f>
        <v>GERARDO VALENCIA BERMUDEZREUNIONMAISFCREUNIÓN SECTOR (2 HRS - X12)</v>
      </c>
      <c r="I64" s="216"/>
      <c r="J64" s="216"/>
      <c r="K64" s="216"/>
      <c r="L64" s="217"/>
    </row>
    <row r="65" ht="18.0" customHeight="1">
      <c r="A65" s="212" t="str">
        <f>IFERROR(__xludf.DUMMYFUNCTION("""COMPUTED_VALUE"""),"CONSTANZA PALMA MONTERO")</f>
        <v>CONSTANZA PALMA MONTERO</v>
      </c>
      <c r="B65" s="212" t="str">
        <f>IFERROR(__xludf.DUMMYFUNCTION("""COMPUTED_VALUE"""),"REUNION")</f>
        <v>REUNION</v>
      </c>
      <c r="C65" s="212" t="str">
        <f>IFERROR(__xludf.DUMMYFUNCTION("""COMPUTED_VALUE"""),"FUNCIONARIO")</f>
        <v>FUNCIONARIO</v>
      </c>
      <c r="D65" s="212" t="str">
        <f>IFERROR(__xludf.DUMMYFUNCTION("""COMPUTED_VALUE"""),"AUTOCUIDADO")</f>
        <v>AUTOCUIDADO</v>
      </c>
      <c r="E65" s="218">
        <f>IFERROR(__xludf.DUMMYFUNCTION("""COMPUTED_VALUE"""),0.6)</f>
        <v>0.6</v>
      </c>
      <c r="F65" s="212" t="str">
        <f>IFERROR(__xludf.DUMMYFUNCTION("""COMPUTED_VALUE"""),"Independiente")</f>
        <v>Independiente</v>
      </c>
      <c r="G65" s="215">
        <f>IFERROR(__xludf.DUMMYFUNCTION("""COMPUTED_VALUE"""),0.6)</f>
        <v>0.6</v>
      </c>
      <c r="H65" s="216" t="str">
        <f>IFERROR(__xludf.DUMMYFUNCTION("""COMPUTED_VALUE"""),"CONSTANZA PALMA MONTEROREUNIONFUNCIONARIOAUTOCUIDADO")</f>
        <v>CONSTANZA PALMA MONTEROREUNIONFUNCIONARIOAUTOCUIDADO</v>
      </c>
      <c r="I65" s="216"/>
      <c r="J65" s="216"/>
      <c r="K65" s="216"/>
      <c r="L65" s="217"/>
    </row>
    <row r="66" ht="18.0" customHeight="1">
      <c r="A66" s="212" t="str">
        <f>IFERROR(__xludf.DUMMYFUNCTION("""COMPUTED_VALUE"""),"CONSTANZA PALMA MONTERO")</f>
        <v>CONSTANZA PALMA MONTERO</v>
      </c>
      <c r="B66" s="212" t="str">
        <f>IFERROR(__xludf.DUMMYFUNCTION("""COMPUTED_VALUE"""),"REUNION")</f>
        <v>REUNION</v>
      </c>
      <c r="C66" s="212" t="str">
        <f>IFERROR(__xludf.DUMMYFUNCTION("""COMPUTED_VALUE"""),"MAISFC")</f>
        <v>MAISFC</v>
      </c>
      <c r="D66" s="212" t="str">
        <f>IFERROR(__xludf.DUMMYFUNCTION("""COMPUTED_VALUE"""),"CONSEJO AMPLIADO")</f>
        <v>CONSEJO AMPLIADO</v>
      </c>
      <c r="E66" s="218">
        <f>IFERROR(__xludf.DUMMYFUNCTION("""COMPUTED_VALUE"""),0.5)</f>
        <v>0.5</v>
      </c>
      <c r="F66" s="212" t="str">
        <f>IFERROR(__xludf.DUMMYFUNCTION("""COMPUTED_VALUE"""),"Independiente")</f>
        <v>Independiente</v>
      </c>
      <c r="G66" s="215">
        <f>IFERROR(__xludf.DUMMYFUNCTION("""COMPUTED_VALUE"""),0.5)</f>
        <v>0.5</v>
      </c>
      <c r="H66" s="216" t="str">
        <f>IFERROR(__xludf.DUMMYFUNCTION("""COMPUTED_VALUE"""),"CONSTANZA PALMA MONTEROREUNIONMAISFCCONSEJO AMPLIADO")</f>
        <v>CONSTANZA PALMA MONTEROREUNIONMAISFCCONSEJO AMPLIADO</v>
      </c>
      <c r="I66" s="216"/>
      <c r="J66" s="216"/>
      <c r="K66" s="216"/>
      <c r="L66" s="217"/>
    </row>
    <row r="67" ht="18.0" customHeight="1">
      <c r="A67" s="212" t="str">
        <f>IFERROR(__xludf.DUMMYFUNCTION("""COMPUTED_VALUE"""),"CONSTANZA PALMA MONTERO")</f>
        <v>CONSTANZA PALMA MONTERO</v>
      </c>
      <c r="B67" s="212" t="str">
        <f>IFERROR(__xludf.DUMMYFUNCTION("""COMPUTED_VALUE"""),"REUNION")</f>
        <v>REUNION</v>
      </c>
      <c r="C67" s="212" t="str">
        <f>IFERROR(__xludf.DUMMYFUNCTION("""COMPUTED_VALUE"""),"MAISFC")</f>
        <v>MAISFC</v>
      </c>
      <c r="D67" s="212" t="str">
        <f>IFERROR(__xludf.DUMMYFUNCTION("""COMPUTED_VALUE"""),"REUNIÓN EQUIPO CABECERA")</f>
        <v>REUNIÓN EQUIPO CABECERA</v>
      </c>
      <c r="E67" s="218">
        <f>IFERROR(__xludf.DUMMYFUNCTION("""COMPUTED_VALUE"""),0.5)</f>
        <v>0.5</v>
      </c>
      <c r="F67" s="212" t="str">
        <f>IFERROR(__xludf.DUMMYFUNCTION("""COMPUTED_VALUE"""),"Independiente")</f>
        <v>Independiente</v>
      </c>
      <c r="G67" s="215">
        <f>IFERROR(__xludf.DUMMYFUNCTION("""COMPUTED_VALUE"""),0.5)</f>
        <v>0.5</v>
      </c>
      <c r="H67" s="216" t="str">
        <f>IFERROR(__xludf.DUMMYFUNCTION("""COMPUTED_VALUE"""),"CONSTANZA PALMA MONTEROREUNIONMAISFCREUNIÓN EQUIPO CABECERA")</f>
        <v>CONSTANZA PALMA MONTEROREUNIONMAISFCREUNIÓN EQUIPO CABECERA</v>
      </c>
      <c r="I67" s="216"/>
      <c r="J67" s="216"/>
      <c r="K67" s="216"/>
      <c r="L67" s="217"/>
    </row>
    <row r="68" ht="18.0" customHeight="1">
      <c r="A68" s="212" t="str">
        <f>IFERROR(__xludf.DUMMYFUNCTION("""COMPUTED_VALUE"""),"CONSTANZA PALMA MONTERO")</f>
        <v>CONSTANZA PALMA MONTERO</v>
      </c>
      <c r="B68" s="212" t="str">
        <f>IFERROR(__xludf.DUMMYFUNCTION("""COMPUTED_VALUE"""),"REUNION")</f>
        <v>REUNION</v>
      </c>
      <c r="C68" s="212" t="str">
        <f>IFERROR(__xludf.DUMMYFUNCTION("""COMPUTED_VALUE"""),"MAISFC")</f>
        <v>MAISFC</v>
      </c>
      <c r="D68" s="212" t="str">
        <f>IFERROR(__xludf.DUMMYFUNCTION("""COMPUTED_VALUE"""),"REUNIÓN SECTOR (2 HRS - X12)")</f>
        <v>REUNIÓN SECTOR (2 HRS - X12)</v>
      </c>
      <c r="E68" s="218">
        <f>IFERROR(__xludf.DUMMYFUNCTION("""COMPUTED_VALUE"""),0.6)</f>
        <v>0.6</v>
      </c>
      <c r="F68" s="212" t="str">
        <f>IFERROR(__xludf.DUMMYFUNCTION("""COMPUTED_VALUE"""),"Independiente")</f>
        <v>Independiente</v>
      </c>
      <c r="G68" s="215">
        <f>IFERROR(__xludf.DUMMYFUNCTION("""COMPUTED_VALUE"""),0.6)</f>
        <v>0.6</v>
      </c>
      <c r="H68" s="216" t="str">
        <f>IFERROR(__xludf.DUMMYFUNCTION("""COMPUTED_VALUE"""),"CONSTANZA PALMA MONTEROREUNIONMAISFCREUNIÓN SECTOR (2 HRS - X12)")</f>
        <v>CONSTANZA PALMA MONTEROREUNIONMAISFCREUNIÓN SECTOR (2 HRS - X12)</v>
      </c>
      <c r="I68" s="216"/>
      <c r="J68" s="216"/>
      <c r="K68" s="216"/>
      <c r="L68" s="217"/>
    </row>
    <row r="69" ht="18.0" customHeight="1">
      <c r="A69" s="212" t="str">
        <f>IFERROR(__xludf.DUMMYFUNCTION("""COMPUTED_VALUE"""),"CAROL AMBO AMPUERO")</f>
        <v>CAROL AMBO AMPUERO</v>
      </c>
      <c r="B69" s="212" t="str">
        <f>IFERROR(__xludf.DUMMYFUNCTION("""COMPUTED_VALUE"""),"REUNION")</f>
        <v>REUNION</v>
      </c>
      <c r="C69" s="212" t="str">
        <f>IFERROR(__xludf.DUMMYFUNCTION("""COMPUTED_VALUE"""),"FUNCIONARIO")</f>
        <v>FUNCIONARIO</v>
      </c>
      <c r="D69" s="212" t="str">
        <f>IFERROR(__xludf.DUMMYFUNCTION("""COMPUTED_VALUE"""),"AUTOCUIDADO")</f>
        <v>AUTOCUIDADO</v>
      </c>
      <c r="E69" s="218">
        <f>IFERROR(__xludf.DUMMYFUNCTION("""COMPUTED_VALUE"""),0.6)</f>
        <v>0.6</v>
      </c>
      <c r="F69" s="212" t="str">
        <f>IFERROR(__xludf.DUMMYFUNCTION("""COMPUTED_VALUE"""),"Independiente")</f>
        <v>Independiente</v>
      </c>
      <c r="G69" s="215">
        <f>IFERROR(__xludf.DUMMYFUNCTION("""COMPUTED_VALUE"""),0.6)</f>
        <v>0.6</v>
      </c>
      <c r="H69" s="216" t="str">
        <f>IFERROR(__xludf.DUMMYFUNCTION("""COMPUTED_VALUE"""),"CAROL AMBO AMPUEROREUNIONFUNCIONARIOAUTOCUIDADO")</f>
        <v>CAROL AMBO AMPUEROREUNIONFUNCIONARIOAUTOCUIDADO</v>
      </c>
      <c r="I69" s="216"/>
      <c r="J69" s="216"/>
      <c r="K69" s="216"/>
      <c r="L69" s="217"/>
    </row>
    <row r="70" ht="18.0" customHeight="1">
      <c r="A70" s="212" t="str">
        <f>IFERROR(__xludf.DUMMYFUNCTION("""COMPUTED_VALUE"""),"CAROL AMBO AMPUERO")</f>
        <v>CAROL AMBO AMPUERO</v>
      </c>
      <c r="B70" s="212" t="str">
        <f>IFERROR(__xludf.DUMMYFUNCTION("""COMPUTED_VALUE"""),"REUNION")</f>
        <v>REUNION</v>
      </c>
      <c r="C70" s="212" t="str">
        <f>IFERROR(__xludf.DUMMYFUNCTION("""COMPUTED_VALUE"""),"MAISFC")</f>
        <v>MAISFC</v>
      </c>
      <c r="D70" s="212" t="str">
        <f>IFERROR(__xludf.DUMMYFUNCTION("""COMPUTED_VALUE"""),"CONSEJO AMPLIADO")</f>
        <v>CONSEJO AMPLIADO</v>
      </c>
      <c r="E70" s="218">
        <f>IFERROR(__xludf.DUMMYFUNCTION("""COMPUTED_VALUE"""),0.5)</f>
        <v>0.5</v>
      </c>
      <c r="F70" s="212" t="str">
        <f>IFERROR(__xludf.DUMMYFUNCTION("""COMPUTED_VALUE"""),"Independiente")</f>
        <v>Independiente</v>
      </c>
      <c r="G70" s="215">
        <f>IFERROR(__xludf.DUMMYFUNCTION("""COMPUTED_VALUE"""),0.5)</f>
        <v>0.5</v>
      </c>
      <c r="H70" s="216" t="str">
        <f>IFERROR(__xludf.DUMMYFUNCTION("""COMPUTED_VALUE"""),"CAROL AMBO AMPUEROREUNIONMAISFCCONSEJO AMPLIADO")</f>
        <v>CAROL AMBO AMPUEROREUNIONMAISFCCONSEJO AMPLIADO</v>
      </c>
      <c r="I70" s="216"/>
      <c r="J70" s="216"/>
      <c r="K70" s="216"/>
      <c r="L70" s="217"/>
    </row>
    <row r="71" ht="18.0" customHeight="1">
      <c r="A71" s="212" t="str">
        <f>IFERROR(__xludf.DUMMYFUNCTION("""COMPUTED_VALUE"""),"CAROL AMBO AMPUERO")</f>
        <v>CAROL AMBO AMPUERO</v>
      </c>
      <c r="B71" s="212" t="str">
        <f>IFERROR(__xludf.DUMMYFUNCTION("""COMPUTED_VALUE"""),"REUNION")</f>
        <v>REUNION</v>
      </c>
      <c r="C71" s="212" t="str">
        <f>IFERROR(__xludf.DUMMYFUNCTION("""COMPUTED_VALUE"""),"MAISFC")</f>
        <v>MAISFC</v>
      </c>
      <c r="D71" s="212" t="str">
        <f>IFERROR(__xludf.DUMMYFUNCTION("""COMPUTED_VALUE"""),"REUNIÓN EQUIPO CABECERA")</f>
        <v>REUNIÓN EQUIPO CABECERA</v>
      </c>
      <c r="E71" s="218">
        <f>IFERROR(__xludf.DUMMYFUNCTION("""COMPUTED_VALUE"""),0.5)</f>
        <v>0.5</v>
      </c>
      <c r="F71" s="212" t="str">
        <f>IFERROR(__xludf.DUMMYFUNCTION("""COMPUTED_VALUE"""),"Independiente")</f>
        <v>Independiente</v>
      </c>
      <c r="G71" s="215">
        <f>IFERROR(__xludf.DUMMYFUNCTION("""COMPUTED_VALUE"""),0.5)</f>
        <v>0.5</v>
      </c>
      <c r="H71" s="216" t="str">
        <f>IFERROR(__xludf.DUMMYFUNCTION("""COMPUTED_VALUE"""),"CAROL AMBO AMPUEROREUNIONMAISFCREUNIÓN EQUIPO CABECERA")</f>
        <v>CAROL AMBO AMPUEROREUNIONMAISFCREUNIÓN EQUIPO CABECERA</v>
      </c>
      <c r="I71" s="216"/>
      <c r="J71" s="216"/>
      <c r="K71" s="216"/>
      <c r="L71" s="217"/>
    </row>
    <row r="72" ht="18.0" customHeight="1">
      <c r="A72" s="212" t="str">
        <f>IFERROR(__xludf.DUMMYFUNCTION("""COMPUTED_VALUE"""),"CAROL AMBO AMPUERO")</f>
        <v>CAROL AMBO AMPUERO</v>
      </c>
      <c r="B72" s="212" t="str">
        <f>IFERROR(__xludf.DUMMYFUNCTION("""COMPUTED_VALUE"""),"REUNION")</f>
        <v>REUNION</v>
      </c>
      <c r="C72" s="212" t="str">
        <f>IFERROR(__xludf.DUMMYFUNCTION("""COMPUTED_VALUE"""),"MAISFC")</f>
        <v>MAISFC</v>
      </c>
      <c r="D72" s="212" t="str">
        <f>IFERROR(__xludf.DUMMYFUNCTION("""COMPUTED_VALUE"""),"REUNIÓN SECTOR (2 HRS - X12)")</f>
        <v>REUNIÓN SECTOR (2 HRS - X12)</v>
      </c>
      <c r="E72" s="218">
        <f>IFERROR(__xludf.DUMMYFUNCTION("""COMPUTED_VALUE"""),0.6)</f>
        <v>0.6</v>
      </c>
      <c r="F72" s="212" t="str">
        <f>IFERROR(__xludf.DUMMYFUNCTION("""COMPUTED_VALUE"""),"Independiente")</f>
        <v>Independiente</v>
      </c>
      <c r="G72" s="215">
        <f>IFERROR(__xludf.DUMMYFUNCTION("""COMPUTED_VALUE"""),0.6)</f>
        <v>0.6</v>
      </c>
      <c r="H72" s="216" t="str">
        <f>IFERROR(__xludf.DUMMYFUNCTION("""COMPUTED_VALUE"""),"CAROL AMBO AMPUEROREUNIONMAISFCREUNIÓN SECTOR (2 HRS - X12)")</f>
        <v>CAROL AMBO AMPUEROREUNIONMAISFCREUNIÓN SECTOR (2 HRS - X12)</v>
      </c>
      <c r="I72" s="216"/>
      <c r="J72" s="216"/>
      <c r="K72" s="216"/>
      <c r="L72" s="217"/>
    </row>
    <row r="73" ht="18.0" customHeight="1">
      <c r="A73" s="212" t="str">
        <f>IFERROR(__xludf.DUMMYFUNCTION("""COMPUTED_VALUE"""),"ALEJANDRO REYES MURILLO")</f>
        <v>ALEJANDRO REYES MURILLO</v>
      </c>
      <c r="B73" s="212" t="str">
        <f>IFERROR(__xludf.DUMMYFUNCTION("""COMPUTED_VALUE"""),"REUNION")</f>
        <v>REUNION</v>
      </c>
      <c r="C73" s="212" t="str">
        <f>IFERROR(__xludf.DUMMYFUNCTION("""COMPUTED_VALUE"""),"FUNCIONARIO")</f>
        <v>FUNCIONARIO</v>
      </c>
      <c r="D73" s="212" t="str">
        <f>IFERROR(__xludf.DUMMYFUNCTION("""COMPUTED_VALUE"""),"AUTOCUIDADO")</f>
        <v>AUTOCUIDADO</v>
      </c>
      <c r="E73" s="218">
        <f>IFERROR(__xludf.DUMMYFUNCTION("""COMPUTED_VALUE"""),0.6)</f>
        <v>0.6</v>
      </c>
      <c r="F73" s="212" t="str">
        <f>IFERROR(__xludf.DUMMYFUNCTION("""COMPUTED_VALUE"""),"Independiente")</f>
        <v>Independiente</v>
      </c>
      <c r="G73" s="215">
        <f>IFERROR(__xludf.DUMMYFUNCTION("""COMPUTED_VALUE"""),0.6)</f>
        <v>0.6</v>
      </c>
      <c r="H73" s="216" t="str">
        <f>IFERROR(__xludf.DUMMYFUNCTION("""COMPUTED_VALUE"""),"ALEJANDRO REYES MURILLOREUNIONFUNCIONARIOAUTOCUIDADO")</f>
        <v>ALEJANDRO REYES MURILLOREUNIONFUNCIONARIOAUTOCUIDADO</v>
      </c>
      <c r="I73" s="216"/>
      <c r="J73" s="216"/>
      <c r="K73" s="216"/>
      <c r="L73" s="217"/>
    </row>
    <row r="74" ht="18.0" customHeight="1">
      <c r="A74" s="212" t="str">
        <f>IFERROR(__xludf.DUMMYFUNCTION("""COMPUTED_VALUE"""),"ALEJANDRO REYES MURILLO")</f>
        <v>ALEJANDRO REYES MURILLO</v>
      </c>
      <c r="B74" s="212" t="str">
        <f>IFERROR(__xludf.DUMMYFUNCTION("""COMPUTED_VALUE"""),"REUNION")</f>
        <v>REUNION</v>
      </c>
      <c r="C74" s="212" t="str">
        <f>IFERROR(__xludf.DUMMYFUNCTION("""COMPUTED_VALUE"""),"MAISFC")</f>
        <v>MAISFC</v>
      </c>
      <c r="D74" s="212" t="str">
        <f>IFERROR(__xludf.DUMMYFUNCTION("""COMPUTED_VALUE"""),"CONSEJO AMPLIADO")</f>
        <v>CONSEJO AMPLIADO</v>
      </c>
      <c r="E74" s="218">
        <f>IFERROR(__xludf.DUMMYFUNCTION("""COMPUTED_VALUE"""),0.5)</f>
        <v>0.5</v>
      </c>
      <c r="F74" s="212" t="str">
        <f>IFERROR(__xludf.DUMMYFUNCTION("""COMPUTED_VALUE"""),"Independiente")</f>
        <v>Independiente</v>
      </c>
      <c r="G74" s="215">
        <f>IFERROR(__xludf.DUMMYFUNCTION("""COMPUTED_VALUE"""),0.5)</f>
        <v>0.5</v>
      </c>
      <c r="H74" s="216" t="str">
        <f>IFERROR(__xludf.DUMMYFUNCTION("""COMPUTED_VALUE"""),"ALEJANDRO REYES MURILLOREUNIONMAISFCCONSEJO AMPLIADO")</f>
        <v>ALEJANDRO REYES MURILLOREUNIONMAISFCCONSEJO AMPLIADO</v>
      </c>
      <c r="I74" s="216"/>
      <c r="J74" s="216"/>
      <c r="K74" s="216"/>
      <c r="L74" s="217"/>
    </row>
    <row r="75" ht="18.0" customHeight="1">
      <c r="A75" s="212" t="str">
        <f>IFERROR(__xludf.DUMMYFUNCTION("""COMPUTED_VALUE"""),"ALEJANDRO REYES MURILLO")</f>
        <v>ALEJANDRO REYES MURILLO</v>
      </c>
      <c r="B75" s="212" t="str">
        <f>IFERROR(__xludf.DUMMYFUNCTION("""COMPUTED_VALUE"""),"REUNION")</f>
        <v>REUNION</v>
      </c>
      <c r="C75" s="212" t="str">
        <f>IFERROR(__xludf.DUMMYFUNCTION("""COMPUTED_VALUE"""),"MAISFC")</f>
        <v>MAISFC</v>
      </c>
      <c r="D75" s="212" t="str">
        <f>IFERROR(__xludf.DUMMYFUNCTION("""COMPUTED_VALUE"""),"REUNIÓN EQUIPO CABECERA")</f>
        <v>REUNIÓN EQUIPO CABECERA</v>
      </c>
      <c r="E75" s="218">
        <f>IFERROR(__xludf.DUMMYFUNCTION("""COMPUTED_VALUE"""),0.5)</f>
        <v>0.5</v>
      </c>
      <c r="F75" s="212" t="str">
        <f>IFERROR(__xludf.DUMMYFUNCTION("""COMPUTED_VALUE"""),"Independiente")</f>
        <v>Independiente</v>
      </c>
      <c r="G75" s="215">
        <f>IFERROR(__xludf.DUMMYFUNCTION("""COMPUTED_VALUE"""),0.5)</f>
        <v>0.5</v>
      </c>
      <c r="H75" s="216" t="str">
        <f>IFERROR(__xludf.DUMMYFUNCTION("""COMPUTED_VALUE"""),"ALEJANDRO REYES MURILLOREUNIONMAISFCREUNIÓN EQUIPO CABECERA")</f>
        <v>ALEJANDRO REYES MURILLOREUNIONMAISFCREUNIÓN EQUIPO CABECERA</v>
      </c>
      <c r="I75" s="216"/>
      <c r="J75" s="216"/>
      <c r="K75" s="216"/>
      <c r="L75" s="217"/>
    </row>
    <row r="76" ht="18.0" customHeight="1">
      <c r="A76" s="212" t="str">
        <f>IFERROR(__xludf.DUMMYFUNCTION("""COMPUTED_VALUE"""),"ALEJANDRO REYES MURILLO")</f>
        <v>ALEJANDRO REYES MURILLO</v>
      </c>
      <c r="B76" s="212" t="str">
        <f>IFERROR(__xludf.DUMMYFUNCTION("""COMPUTED_VALUE"""),"REUNION")</f>
        <v>REUNION</v>
      </c>
      <c r="C76" s="212" t="str">
        <f>IFERROR(__xludf.DUMMYFUNCTION("""COMPUTED_VALUE"""),"MAISFC")</f>
        <v>MAISFC</v>
      </c>
      <c r="D76" s="212" t="str">
        <f>IFERROR(__xludf.DUMMYFUNCTION("""COMPUTED_VALUE"""),"REUNIÓN SECTOR (2 HRS - X12)")</f>
        <v>REUNIÓN SECTOR (2 HRS - X12)</v>
      </c>
      <c r="E76" s="218">
        <f>IFERROR(__xludf.DUMMYFUNCTION("""COMPUTED_VALUE"""),0.6)</f>
        <v>0.6</v>
      </c>
      <c r="F76" s="212" t="str">
        <f>IFERROR(__xludf.DUMMYFUNCTION("""COMPUTED_VALUE"""),"Independiente")</f>
        <v>Independiente</v>
      </c>
      <c r="G76" s="215">
        <f>IFERROR(__xludf.DUMMYFUNCTION("""COMPUTED_VALUE"""),0.6)</f>
        <v>0.6</v>
      </c>
      <c r="H76" s="216" t="str">
        <f>IFERROR(__xludf.DUMMYFUNCTION("""COMPUTED_VALUE"""),"ALEJANDRO REYES MURILLOREUNIONMAISFCREUNIÓN SECTOR (2 HRS - X12)")</f>
        <v>ALEJANDRO REYES MURILLOREUNIONMAISFCREUNIÓN SECTOR (2 HRS - X12)</v>
      </c>
      <c r="I76" s="216"/>
      <c r="J76" s="216"/>
      <c r="K76" s="216"/>
      <c r="L76" s="217"/>
    </row>
    <row r="77" ht="18.0" customHeight="1">
      <c r="A77" s="212" t="str">
        <f>IFERROR(__xludf.DUMMYFUNCTION("""COMPUTED_VALUE"""),"PAULA ABARCA MORALES")</f>
        <v>PAULA ABARCA MORALES</v>
      </c>
      <c r="B77" s="212" t="str">
        <f>IFERROR(__xludf.DUMMYFUNCTION("""COMPUTED_VALUE"""),"REUNION")</f>
        <v>REUNION</v>
      </c>
      <c r="C77" s="212" t="str">
        <f>IFERROR(__xludf.DUMMYFUNCTION("""COMPUTED_VALUE"""),"MAISFC")</f>
        <v>MAISFC</v>
      </c>
      <c r="D77" s="212" t="str">
        <f>IFERROR(__xludf.DUMMYFUNCTION("""COMPUTED_VALUE"""),"CONSEJO AMPLIADO")</f>
        <v>CONSEJO AMPLIADO</v>
      </c>
      <c r="E77" s="218">
        <f>IFERROR(__xludf.DUMMYFUNCTION("""COMPUTED_VALUE"""),0.5)</f>
        <v>0.5</v>
      </c>
      <c r="F77" s="212" t="str">
        <f>IFERROR(__xludf.DUMMYFUNCTION("""COMPUTED_VALUE"""),"Independiente")</f>
        <v>Independiente</v>
      </c>
      <c r="G77" s="215">
        <f>IFERROR(__xludf.DUMMYFUNCTION("""COMPUTED_VALUE"""),0.5)</f>
        <v>0.5</v>
      </c>
      <c r="H77" s="216" t="str">
        <f>IFERROR(__xludf.DUMMYFUNCTION("""COMPUTED_VALUE"""),"PAULA ABARCA MORALESREUNIONMAISFCCONSEJO AMPLIADO")</f>
        <v>PAULA ABARCA MORALESREUNIONMAISFCCONSEJO AMPLIADO</v>
      </c>
      <c r="I77" s="216"/>
      <c r="J77" s="216"/>
      <c r="K77" s="216"/>
      <c r="L77" s="217"/>
    </row>
    <row r="78" ht="18.0" customHeight="1">
      <c r="A78" s="212" t="str">
        <f>IFERROR(__xludf.DUMMYFUNCTION("""COMPUTED_VALUE"""),"PAULA ABARCA MORALES")</f>
        <v>PAULA ABARCA MORALES</v>
      </c>
      <c r="B78" s="212" t="str">
        <f>IFERROR(__xludf.DUMMYFUNCTION("""COMPUTED_VALUE"""),"REUNION")</f>
        <v>REUNION</v>
      </c>
      <c r="C78" s="212" t="str">
        <f>IFERROR(__xludf.DUMMYFUNCTION("""COMPUTED_VALUE"""),"MAISFC")</f>
        <v>MAISFC</v>
      </c>
      <c r="D78" s="212" t="str">
        <f>IFERROR(__xludf.DUMMYFUNCTION("""COMPUTED_VALUE"""),"REUNIÓN EQUIPO CABECERA")</f>
        <v>REUNIÓN EQUIPO CABECERA</v>
      </c>
      <c r="E78" s="218">
        <f>IFERROR(__xludf.DUMMYFUNCTION("""COMPUTED_VALUE"""),0.5)</f>
        <v>0.5</v>
      </c>
      <c r="F78" s="212" t="str">
        <f>IFERROR(__xludf.DUMMYFUNCTION("""COMPUTED_VALUE"""),"Independiente")</f>
        <v>Independiente</v>
      </c>
      <c r="G78" s="215">
        <f>IFERROR(__xludf.DUMMYFUNCTION("""COMPUTED_VALUE"""),0.5)</f>
        <v>0.5</v>
      </c>
      <c r="H78" s="216" t="str">
        <f>IFERROR(__xludf.DUMMYFUNCTION("""COMPUTED_VALUE"""),"PAULA ABARCA MORALESREUNIONMAISFCREUNIÓN EQUIPO CABECERA")</f>
        <v>PAULA ABARCA MORALESREUNIONMAISFCREUNIÓN EQUIPO CABECERA</v>
      </c>
      <c r="I78" s="216"/>
      <c r="J78" s="216"/>
      <c r="K78" s="216"/>
      <c r="L78" s="217"/>
    </row>
    <row r="79" ht="18.0" customHeight="1">
      <c r="A79" s="212" t="str">
        <f>IFERROR(__xludf.DUMMYFUNCTION("""COMPUTED_VALUE"""),"PAULA ABARCA MORALES")</f>
        <v>PAULA ABARCA MORALES</v>
      </c>
      <c r="B79" s="212" t="str">
        <f>IFERROR(__xludf.DUMMYFUNCTION("""COMPUTED_VALUE"""),"REUNION")</f>
        <v>REUNION</v>
      </c>
      <c r="C79" s="212" t="str">
        <f>IFERROR(__xludf.DUMMYFUNCTION("""COMPUTED_VALUE"""),"MAISFC")</f>
        <v>MAISFC</v>
      </c>
      <c r="D79" s="212" t="str">
        <f>IFERROR(__xludf.DUMMYFUNCTION("""COMPUTED_VALUE"""),"REUNIÓN SECTOR (2 HRS - X12)")</f>
        <v>REUNIÓN SECTOR (2 HRS - X12)</v>
      </c>
      <c r="E79" s="218">
        <f>IFERROR(__xludf.DUMMYFUNCTION("""COMPUTED_VALUE"""),0.6)</f>
        <v>0.6</v>
      </c>
      <c r="F79" s="212" t="str">
        <f>IFERROR(__xludf.DUMMYFUNCTION("""COMPUTED_VALUE"""),"Independiente")</f>
        <v>Independiente</v>
      </c>
      <c r="G79" s="215">
        <f>IFERROR(__xludf.DUMMYFUNCTION("""COMPUTED_VALUE"""),0.6)</f>
        <v>0.6</v>
      </c>
      <c r="H79" s="216" t="str">
        <f>IFERROR(__xludf.DUMMYFUNCTION("""COMPUTED_VALUE"""),"PAULA ABARCA MORALESREUNIONMAISFCREUNIÓN SECTOR (2 HRS - X12)")</f>
        <v>PAULA ABARCA MORALESREUNIONMAISFCREUNIÓN SECTOR (2 HRS - X12)</v>
      </c>
      <c r="I79" s="216"/>
      <c r="J79" s="216"/>
      <c r="K79" s="216"/>
      <c r="L79" s="217"/>
    </row>
    <row r="80" ht="18.0" customHeight="1">
      <c r="A80" s="212" t="str">
        <f>IFERROR(__xludf.DUMMYFUNCTION("""COMPUTED_VALUE"""),"PAULA ABARCA MORALES")</f>
        <v>PAULA ABARCA MORALES</v>
      </c>
      <c r="B80" s="212" t="str">
        <f>IFERROR(__xludf.DUMMYFUNCTION("""COMPUTED_VALUE"""),"REUNION")</f>
        <v>REUNION</v>
      </c>
      <c r="C80" s="212" t="str">
        <f>IFERROR(__xludf.DUMMYFUNCTION("""COMPUTED_VALUE"""),"FUNCIONARIO")</f>
        <v>FUNCIONARIO</v>
      </c>
      <c r="D80" s="212" t="str">
        <f>IFERROR(__xludf.DUMMYFUNCTION("""COMPUTED_VALUE"""),"AUTOCUIDADO")</f>
        <v>AUTOCUIDADO</v>
      </c>
      <c r="E80" s="218">
        <f>IFERROR(__xludf.DUMMYFUNCTION("""COMPUTED_VALUE"""),0.6)</f>
        <v>0.6</v>
      </c>
      <c r="F80" s="212" t="str">
        <f>IFERROR(__xludf.DUMMYFUNCTION("""COMPUTED_VALUE"""),"Independiente")</f>
        <v>Independiente</v>
      </c>
      <c r="G80" s="215">
        <f>IFERROR(__xludf.DUMMYFUNCTION("""COMPUTED_VALUE"""),0.6)</f>
        <v>0.6</v>
      </c>
      <c r="H80" s="216" t="str">
        <f>IFERROR(__xludf.DUMMYFUNCTION("""COMPUTED_VALUE"""),"PAULA ABARCA MORALESREUNIONFUNCIONARIOAUTOCUIDADO")</f>
        <v>PAULA ABARCA MORALESREUNIONFUNCIONARIOAUTOCUIDADO</v>
      </c>
      <c r="I80" s="216"/>
      <c r="J80" s="216"/>
      <c r="K80" s="216"/>
      <c r="L80" s="217"/>
    </row>
    <row r="81" ht="18.0" customHeight="1">
      <c r="A81" s="212" t="str">
        <f>IFERROR(__xludf.DUMMYFUNCTION("""COMPUTED_VALUE"""),"PAULINA DIAZ MEDINA")</f>
        <v>PAULINA DIAZ MEDINA</v>
      </c>
      <c r="B81" s="212" t="str">
        <f>IFERROR(__xludf.DUMMYFUNCTION("""COMPUTED_VALUE"""),"REUNION")</f>
        <v>REUNION</v>
      </c>
      <c r="C81" s="212" t="str">
        <f>IFERROR(__xludf.DUMMYFUNCTION("""COMPUTED_VALUE"""),"FUNCIONARIO")</f>
        <v>FUNCIONARIO</v>
      </c>
      <c r="D81" s="212" t="str">
        <f>IFERROR(__xludf.DUMMYFUNCTION("""COMPUTED_VALUE"""),"AUTOCUIDADO")</f>
        <v>AUTOCUIDADO</v>
      </c>
      <c r="E81" s="218">
        <f>IFERROR(__xludf.DUMMYFUNCTION("""COMPUTED_VALUE"""),0.6)</f>
        <v>0.6</v>
      </c>
      <c r="F81" s="212" t="str">
        <f>IFERROR(__xludf.DUMMYFUNCTION("""COMPUTED_VALUE"""),"Independiente")</f>
        <v>Independiente</v>
      </c>
      <c r="G81" s="215">
        <f>IFERROR(__xludf.DUMMYFUNCTION("""COMPUTED_VALUE"""),0.6)</f>
        <v>0.6</v>
      </c>
      <c r="H81" s="216" t="str">
        <f>IFERROR(__xludf.DUMMYFUNCTION("""COMPUTED_VALUE"""),"PAULINA DIAZ MEDINAREUNIONFUNCIONARIOAUTOCUIDADO")</f>
        <v>PAULINA DIAZ MEDINAREUNIONFUNCIONARIOAUTOCUIDADO</v>
      </c>
      <c r="I81" s="216"/>
      <c r="J81" s="216"/>
      <c r="K81" s="216"/>
      <c r="L81" s="217"/>
    </row>
    <row r="82" ht="18.0" customHeight="1">
      <c r="A82" s="212" t="str">
        <f>IFERROR(__xludf.DUMMYFUNCTION("""COMPUTED_VALUE"""),"PAULINA DIAZ MEDINA")</f>
        <v>PAULINA DIAZ MEDINA</v>
      </c>
      <c r="B82" s="212" t="str">
        <f>IFERROR(__xludf.DUMMYFUNCTION("""COMPUTED_VALUE"""),"REUNION")</f>
        <v>REUNION</v>
      </c>
      <c r="C82" s="212" t="str">
        <f>IFERROR(__xludf.DUMMYFUNCTION("""COMPUTED_VALUE"""),"MAISFC")</f>
        <v>MAISFC</v>
      </c>
      <c r="D82" s="212" t="str">
        <f>IFERROR(__xludf.DUMMYFUNCTION("""COMPUTED_VALUE"""),"CONSEJO AMPLIADO")</f>
        <v>CONSEJO AMPLIADO</v>
      </c>
      <c r="E82" s="218">
        <f>IFERROR(__xludf.DUMMYFUNCTION("""COMPUTED_VALUE"""),0.5)</f>
        <v>0.5</v>
      </c>
      <c r="F82" s="212" t="str">
        <f>IFERROR(__xludf.DUMMYFUNCTION("""COMPUTED_VALUE"""),"Independiente")</f>
        <v>Independiente</v>
      </c>
      <c r="G82" s="215">
        <f>IFERROR(__xludf.DUMMYFUNCTION("""COMPUTED_VALUE"""),0.5)</f>
        <v>0.5</v>
      </c>
      <c r="H82" s="216" t="str">
        <f>IFERROR(__xludf.DUMMYFUNCTION("""COMPUTED_VALUE"""),"PAULINA DIAZ MEDINAREUNIONMAISFCCONSEJO AMPLIADO")</f>
        <v>PAULINA DIAZ MEDINAREUNIONMAISFCCONSEJO AMPLIADO</v>
      </c>
      <c r="I82" s="216"/>
      <c r="J82" s="216"/>
      <c r="K82" s="216"/>
      <c r="L82" s="217"/>
    </row>
    <row r="83" ht="18.0" customHeight="1">
      <c r="A83" s="212" t="str">
        <f>IFERROR(__xludf.DUMMYFUNCTION("""COMPUTED_VALUE"""),"PAULINA DIAZ MEDINA")</f>
        <v>PAULINA DIAZ MEDINA</v>
      </c>
      <c r="B83" s="212" t="str">
        <f>IFERROR(__xludf.DUMMYFUNCTION("""COMPUTED_VALUE"""),"REUNION")</f>
        <v>REUNION</v>
      </c>
      <c r="C83" s="212" t="str">
        <f>IFERROR(__xludf.DUMMYFUNCTION("""COMPUTED_VALUE"""),"MAISFC")</f>
        <v>MAISFC</v>
      </c>
      <c r="D83" s="212" t="str">
        <f>IFERROR(__xludf.DUMMYFUNCTION("""COMPUTED_VALUE"""),"REUNIÓN EQUIPO CABECERA")</f>
        <v>REUNIÓN EQUIPO CABECERA</v>
      </c>
      <c r="E83" s="218">
        <f>IFERROR(__xludf.DUMMYFUNCTION("""COMPUTED_VALUE"""),0.5)</f>
        <v>0.5</v>
      </c>
      <c r="F83" s="212" t="str">
        <f>IFERROR(__xludf.DUMMYFUNCTION("""COMPUTED_VALUE"""),"Independiente")</f>
        <v>Independiente</v>
      </c>
      <c r="G83" s="215">
        <f>IFERROR(__xludf.DUMMYFUNCTION("""COMPUTED_VALUE"""),0.5)</f>
        <v>0.5</v>
      </c>
      <c r="H83" s="216" t="str">
        <f>IFERROR(__xludf.DUMMYFUNCTION("""COMPUTED_VALUE"""),"PAULINA DIAZ MEDINAREUNIONMAISFCREUNIÓN EQUIPO CABECERA")</f>
        <v>PAULINA DIAZ MEDINAREUNIONMAISFCREUNIÓN EQUIPO CABECERA</v>
      </c>
      <c r="I83" s="216"/>
      <c r="J83" s="216"/>
      <c r="K83" s="216"/>
      <c r="L83" s="217"/>
    </row>
    <row r="84" ht="18.0" customHeight="1">
      <c r="A84" s="212" t="str">
        <f>IFERROR(__xludf.DUMMYFUNCTION("""COMPUTED_VALUE"""),"PAULINA DIAZ MEDINA")</f>
        <v>PAULINA DIAZ MEDINA</v>
      </c>
      <c r="B84" s="212" t="str">
        <f>IFERROR(__xludf.DUMMYFUNCTION("""COMPUTED_VALUE"""),"REUNION")</f>
        <v>REUNION</v>
      </c>
      <c r="C84" s="212" t="str">
        <f>IFERROR(__xludf.DUMMYFUNCTION("""COMPUTED_VALUE"""),"MAISFC")</f>
        <v>MAISFC</v>
      </c>
      <c r="D84" s="212" t="str">
        <f>IFERROR(__xludf.DUMMYFUNCTION("""COMPUTED_VALUE"""),"REUNIÓN SECTOR (2 HRS - X12)")</f>
        <v>REUNIÓN SECTOR (2 HRS - X12)</v>
      </c>
      <c r="E84" s="218">
        <f>IFERROR(__xludf.DUMMYFUNCTION("""COMPUTED_VALUE"""),0.6)</f>
        <v>0.6</v>
      </c>
      <c r="F84" s="212" t="str">
        <f>IFERROR(__xludf.DUMMYFUNCTION("""COMPUTED_VALUE"""),"Independiente")</f>
        <v>Independiente</v>
      </c>
      <c r="G84" s="215">
        <f>IFERROR(__xludf.DUMMYFUNCTION("""COMPUTED_VALUE"""),0.6)</f>
        <v>0.6</v>
      </c>
      <c r="H84" s="216" t="str">
        <f>IFERROR(__xludf.DUMMYFUNCTION("""COMPUTED_VALUE"""),"PAULINA DIAZ MEDINAREUNIONMAISFCREUNIÓN SECTOR (2 HRS - X12)")</f>
        <v>PAULINA DIAZ MEDINAREUNIONMAISFCREUNIÓN SECTOR (2 HRS - X12)</v>
      </c>
      <c r="I84" s="216"/>
      <c r="J84" s="216"/>
      <c r="K84" s="216"/>
      <c r="L84" s="217"/>
    </row>
    <row r="85" ht="18.0" customHeight="1">
      <c r="A85" s="212" t="str">
        <f>IFERROR(__xludf.DUMMYFUNCTION("""COMPUTED_VALUE"""),"DANIELA ROJAS GAMBOA")</f>
        <v>DANIELA ROJAS GAMBOA</v>
      </c>
      <c r="B85" s="212" t="str">
        <f>IFERROR(__xludf.DUMMYFUNCTION("""COMPUTED_VALUE"""),"REUNION")</f>
        <v>REUNION</v>
      </c>
      <c r="C85" s="212" t="str">
        <f>IFERROR(__xludf.DUMMYFUNCTION("""COMPUTED_VALUE"""),"FUNCIONARIO")</f>
        <v>FUNCIONARIO</v>
      </c>
      <c r="D85" s="212" t="str">
        <f>IFERROR(__xludf.DUMMYFUNCTION("""COMPUTED_VALUE"""),"AUTOCUIDADO")</f>
        <v>AUTOCUIDADO</v>
      </c>
      <c r="E85" s="218">
        <f>IFERROR(__xludf.DUMMYFUNCTION("""COMPUTED_VALUE"""),0.6)</f>
        <v>0.6</v>
      </c>
      <c r="F85" s="212" t="str">
        <f>IFERROR(__xludf.DUMMYFUNCTION("""COMPUTED_VALUE"""),"Independiente")</f>
        <v>Independiente</v>
      </c>
      <c r="G85" s="215">
        <f>IFERROR(__xludf.DUMMYFUNCTION("""COMPUTED_VALUE"""),0.6)</f>
        <v>0.6</v>
      </c>
      <c r="H85" s="216" t="str">
        <f>IFERROR(__xludf.DUMMYFUNCTION("""COMPUTED_VALUE"""),"DANIELA ROJAS GAMBOAREUNIONFUNCIONARIOAUTOCUIDADO")</f>
        <v>DANIELA ROJAS GAMBOAREUNIONFUNCIONARIOAUTOCUIDADO</v>
      </c>
      <c r="I85" s="216"/>
      <c r="J85" s="216"/>
      <c r="K85" s="216"/>
      <c r="L85" s="217"/>
    </row>
    <row r="86" ht="18.0" customHeight="1">
      <c r="A86" s="212" t="str">
        <f>IFERROR(__xludf.DUMMYFUNCTION("""COMPUTED_VALUE"""),"DANIELA ROJAS GAMBOA")</f>
        <v>DANIELA ROJAS GAMBOA</v>
      </c>
      <c r="B86" s="212" t="str">
        <f>IFERROR(__xludf.DUMMYFUNCTION("""COMPUTED_VALUE"""),"REUNION")</f>
        <v>REUNION</v>
      </c>
      <c r="C86" s="212" t="str">
        <f>IFERROR(__xludf.DUMMYFUNCTION("""COMPUTED_VALUE"""),"MAISFC")</f>
        <v>MAISFC</v>
      </c>
      <c r="D86" s="212" t="str">
        <f>IFERROR(__xludf.DUMMYFUNCTION("""COMPUTED_VALUE"""),"CONSEJO AMPLIADO")</f>
        <v>CONSEJO AMPLIADO</v>
      </c>
      <c r="E86" s="218">
        <f>IFERROR(__xludf.DUMMYFUNCTION("""COMPUTED_VALUE"""),0.5)</f>
        <v>0.5</v>
      </c>
      <c r="F86" s="212" t="str">
        <f>IFERROR(__xludf.DUMMYFUNCTION("""COMPUTED_VALUE"""),"Independiente")</f>
        <v>Independiente</v>
      </c>
      <c r="G86" s="215">
        <f>IFERROR(__xludf.DUMMYFUNCTION("""COMPUTED_VALUE"""),0.5)</f>
        <v>0.5</v>
      </c>
      <c r="H86" s="216" t="str">
        <f>IFERROR(__xludf.DUMMYFUNCTION("""COMPUTED_VALUE"""),"DANIELA ROJAS GAMBOAREUNIONMAISFCCONSEJO AMPLIADO")</f>
        <v>DANIELA ROJAS GAMBOAREUNIONMAISFCCONSEJO AMPLIADO</v>
      </c>
      <c r="I86" s="216"/>
      <c r="J86" s="216"/>
      <c r="K86" s="216"/>
      <c r="L86" s="217"/>
    </row>
    <row r="87" ht="18.0" customHeight="1">
      <c r="A87" s="212" t="str">
        <f>IFERROR(__xludf.DUMMYFUNCTION("""COMPUTED_VALUE"""),"DANIELA ROJAS GAMBOA")</f>
        <v>DANIELA ROJAS GAMBOA</v>
      </c>
      <c r="B87" s="212" t="str">
        <f>IFERROR(__xludf.DUMMYFUNCTION("""COMPUTED_VALUE"""),"REUNION")</f>
        <v>REUNION</v>
      </c>
      <c r="C87" s="212" t="str">
        <f>IFERROR(__xludf.DUMMYFUNCTION("""COMPUTED_VALUE"""),"MAISFC")</f>
        <v>MAISFC</v>
      </c>
      <c r="D87" s="212" t="str">
        <f>IFERROR(__xludf.DUMMYFUNCTION("""COMPUTED_VALUE"""),"REUNIÓN SECTOR (2 HRS - X12)")</f>
        <v>REUNIÓN SECTOR (2 HRS - X12)</v>
      </c>
      <c r="E87" s="218">
        <f>IFERROR(__xludf.DUMMYFUNCTION("""COMPUTED_VALUE"""),0.6)</f>
        <v>0.6</v>
      </c>
      <c r="F87" s="212" t="str">
        <f>IFERROR(__xludf.DUMMYFUNCTION("""COMPUTED_VALUE"""),"Independiente")</f>
        <v>Independiente</v>
      </c>
      <c r="G87" s="215">
        <f>IFERROR(__xludf.DUMMYFUNCTION("""COMPUTED_VALUE"""),0.6)</f>
        <v>0.6</v>
      </c>
      <c r="H87" s="216" t="str">
        <f>IFERROR(__xludf.DUMMYFUNCTION("""COMPUTED_VALUE"""),"DANIELA ROJAS GAMBOAREUNIONMAISFCREUNIÓN SECTOR (2 HRS - X12)")</f>
        <v>DANIELA ROJAS GAMBOAREUNIONMAISFCREUNIÓN SECTOR (2 HRS - X12)</v>
      </c>
      <c r="I87" s="216"/>
      <c r="J87" s="216"/>
      <c r="K87" s="216"/>
      <c r="L87" s="217"/>
    </row>
    <row r="88" ht="18.0" customHeight="1">
      <c r="A88" s="212" t="str">
        <f>IFERROR(__xludf.DUMMYFUNCTION("""COMPUTED_VALUE"""),"DANIELA ROJAS GAMBOA")</f>
        <v>DANIELA ROJAS GAMBOA</v>
      </c>
      <c r="B88" s="212" t="str">
        <f>IFERROR(__xludf.DUMMYFUNCTION("""COMPUTED_VALUE"""),"REUNION")</f>
        <v>REUNION</v>
      </c>
      <c r="C88" s="212" t="str">
        <f>IFERROR(__xludf.DUMMYFUNCTION("""COMPUTED_VALUE"""),"MAISFC")</f>
        <v>MAISFC</v>
      </c>
      <c r="D88" s="212" t="str">
        <f>IFERROR(__xludf.DUMMYFUNCTION("""COMPUTED_VALUE"""),"REUNIÓN EQUIPO CABECERA")</f>
        <v>REUNIÓN EQUIPO CABECERA</v>
      </c>
      <c r="E88" s="218">
        <f>IFERROR(__xludf.DUMMYFUNCTION("""COMPUTED_VALUE"""),0.5)</f>
        <v>0.5</v>
      </c>
      <c r="F88" s="212" t="str">
        <f>IFERROR(__xludf.DUMMYFUNCTION("""COMPUTED_VALUE"""),"Independiente")</f>
        <v>Independiente</v>
      </c>
      <c r="G88" s="215">
        <f>IFERROR(__xludf.DUMMYFUNCTION("""COMPUTED_VALUE"""),0.5)</f>
        <v>0.5</v>
      </c>
      <c r="H88" s="216" t="str">
        <f>IFERROR(__xludf.DUMMYFUNCTION("""COMPUTED_VALUE"""),"DANIELA ROJAS GAMBOAREUNIONMAISFCREUNIÓN EQUIPO CABECERA")</f>
        <v>DANIELA ROJAS GAMBOAREUNIONMAISFCREUNIÓN EQUIPO CABECERA</v>
      </c>
      <c r="I88" s="216"/>
      <c r="J88" s="216"/>
      <c r="K88" s="216"/>
      <c r="L88" s="217"/>
    </row>
    <row r="89" ht="18.0" customHeight="1">
      <c r="A89" s="212" t="str">
        <f>IFERROR(__xludf.DUMMYFUNCTION("""COMPUTED_VALUE"""),"LUIS GONZALEZ SEPULVEDA")</f>
        <v>LUIS GONZALEZ SEPULVEDA</v>
      </c>
      <c r="B89" s="212" t="str">
        <f>IFERROR(__xludf.DUMMYFUNCTION("""COMPUTED_VALUE"""),"REUNION")</f>
        <v>REUNION</v>
      </c>
      <c r="C89" s="212" t="str">
        <f>IFERROR(__xludf.DUMMYFUNCTION("""COMPUTED_VALUE"""),"FUNCIONARIO")</f>
        <v>FUNCIONARIO</v>
      </c>
      <c r="D89" s="212" t="str">
        <f>IFERROR(__xludf.DUMMYFUNCTION("""COMPUTED_VALUE"""),"AUTOCUIDADO")</f>
        <v>AUTOCUIDADO</v>
      </c>
      <c r="E89" s="218">
        <f>IFERROR(__xludf.DUMMYFUNCTION("""COMPUTED_VALUE"""),0.6)</f>
        <v>0.6</v>
      </c>
      <c r="F89" s="212" t="str">
        <f>IFERROR(__xludf.DUMMYFUNCTION("""COMPUTED_VALUE"""),"Independiente")</f>
        <v>Independiente</v>
      </c>
      <c r="G89" s="215">
        <f>IFERROR(__xludf.DUMMYFUNCTION("""COMPUTED_VALUE"""),0.6)</f>
        <v>0.6</v>
      </c>
      <c r="H89" s="216" t="str">
        <f>IFERROR(__xludf.DUMMYFUNCTION("""COMPUTED_VALUE"""),"LUIS GONZALEZ SEPULVEDAREUNIONFUNCIONARIOAUTOCUIDADO")</f>
        <v>LUIS GONZALEZ SEPULVEDAREUNIONFUNCIONARIOAUTOCUIDADO</v>
      </c>
      <c r="I89" s="216"/>
      <c r="J89" s="216"/>
      <c r="K89" s="216"/>
      <c r="L89" s="217"/>
    </row>
    <row r="90" ht="18.0" customHeight="1">
      <c r="A90" s="212" t="str">
        <f>IFERROR(__xludf.DUMMYFUNCTION("""COMPUTED_VALUE"""),"LUIS GONZALEZ SEPULVEDA")</f>
        <v>LUIS GONZALEZ SEPULVEDA</v>
      </c>
      <c r="B90" s="212" t="str">
        <f>IFERROR(__xludf.DUMMYFUNCTION("""COMPUTED_VALUE"""),"REUNION")</f>
        <v>REUNION</v>
      </c>
      <c r="C90" s="212" t="str">
        <f>IFERROR(__xludf.DUMMYFUNCTION("""COMPUTED_VALUE"""),"MAISFC")</f>
        <v>MAISFC</v>
      </c>
      <c r="D90" s="212" t="str">
        <f>IFERROR(__xludf.DUMMYFUNCTION("""COMPUTED_VALUE"""),"CONSEJO AMPLIADO")</f>
        <v>CONSEJO AMPLIADO</v>
      </c>
      <c r="E90" s="218">
        <f>IFERROR(__xludf.DUMMYFUNCTION("""COMPUTED_VALUE"""),0.5)</f>
        <v>0.5</v>
      </c>
      <c r="F90" s="212" t="str">
        <f>IFERROR(__xludf.DUMMYFUNCTION("""COMPUTED_VALUE"""),"Independiente")</f>
        <v>Independiente</v>
      </c>
      <c r="G90" s="215">
        <f>IFERROR(__xludf.DUMMYFUNCTION("""COMPUTED_VALUE"""),0.5)</f>
        <v>0.5</v>
      </c>
      <c r="H90" s="216" t="str">
        <f>IFERROR(__xludf.DUMMYFUNCTION("""COMPUTED_VALUE"""),"LUIS GONZALEZ SEPULVEDAREUNIONMAISFCCONSEJO AMPLIADO")</f>
        <v>LUIS GONZALEZ SEPULVEDAREUNIONMAISFCCONSEJO AMPLIADO</v>
      </c>
      <c r="I90" s="216"/>
      <c r="J90" s="216"/>
      <c r="K90" s="216"/>
      <c r="L90" s="217"/>
    </row>
    <row r="91" ht="18.0" customHeight="1">
      <c r="A91" s="212" t="str">
        <f>IFERROR(__xludf.DUMMYFUNCTION("""COMPUTED_VALUE"""),"LUIS GONZALEZ SEPULVEDA")</f>
        <v>LUIS GONZALEZ SEPULVEDA</v>
      </c>
      <c r="B91" s="212" t="str">
        <f>IFERROR(__xludf.DUMMYFUNCTION("""COMPUTED_VALUE"""),"REUNION")</f>
        <v>REUNION</v>
      </c>
      <c r="C91" s="212" t="str">
        <f>IFERROR(__xludf.DUMMYFUNCTION("""COMPUTED_VALUE"""),"MAISFC")</f>
        <v>MAISFC</v>
      </c>
      <c r="D91" s="212" t="str">
        <f>IFERROR(__xludf.DUMMYFUNCTION("""COMPUTED_VALUE"""),"REUNIÓN EQUIPO CABECERA")</f>
        <v>REUNIÓN EQUIPO CABECERA</v>
      </c>
      <c r="E91" s="218">
        <f>IFERROR(__xludf.DUMMYFUNCTION("""COMPUTED_VALUE"""),0.5)</f>
        <v>0.5</v>
      </c>
      <c r="F91" s="212" t="str">
        <f>IFERROR(__xludf.DUMMYFUNCTION("""COMPUTED_VALUE"""),"Independiente")</f>
        <v>Independiente</v>
      </c>
      <c r="G91" s="215">
        <f>IFERROR(__xludf.DUMMYFUNCTION("""COMPUTED_VALUE"""),0.5)</f>
        <v>0.5</v>
      </c>
      <c r="H91" s="216" t="str">
        <f>IFERROR(__xludf.DUMMYFUNCTION("""COMPUTED_VALUE"""),"LUIS GONZALEZ SEPULVEDAREUNIONMAISFCREUNIÓN EQUIPO CABECERA")</f>
        <v>LUIS GONZALEZ SEPULVEDAREUNIONMAISFCREUNIÓN EQUIPO CABECERA</v>
      </c>
      <c r="I91" s="216"/>
      <c r="J91" s="216"/>
      <c r="K91" s="216"/>
      <c r="L91" s="217"/>
    </row>
    <row r="92" ht="18.0" customHeight="1">
      <c r="A92" s="212" t="str">
        <f>IFERROR(__xludf.DUMMYFUNCTION("""COMPUTED_VALUE"""),"LUIS GONZALEZ SEPULVEDA")</f>
        <v>LUIS GONZALEZ SEPULVEDA</v>
      </c>
      <c r="B92" s="212" t="str">
        <f>IFERROR(__xludf.DUMMYFUNCTION("""COMPUTED_VALUE"""),"REUNION")</f>
        <v>REUNION</v>
      </c>
      <c r="C92" s="212" t="str">
        <f>IFERROR(__xludf.DUMMYFUNCTION("""COMPUTED_VALUE"""),"MAISFC")</f>
        <v>MAISFC</v>
      </c>
      <c r="D92" s="212" t="str">
        <f>IFERROR(__xludf.DUMMYFUNCTION("""COMPUTED_VALUE"""),"REUNIÓN SECTOR (2 HRS - X12)")</f>
        <v>REUNIÓN SECTOR (2 HRS - X12)</v>
      </c>
      <c r="E92" s="218">
        <f>IFERROR(__xludf.DUMMYFUNCTION("""COMPUTED_VALUE"""),0.6)</f>
        <v>0.6</v>
      </c>
      <c r="F92" s="212" t="str">
        <f>IFERROR(__xludf.DUMMYFUNCTION("""COMPUTED_VALUE"""),"Independiente")</f>
        <v>Independiente</v>
      </c>
      <c r="G92" s="215">
        <f>IFERROR(__xludf.DUMMYFUNCTION("""COMPUTED_VALUE"""),0.6)</f>
        <v>0.6</v>
      </c>
      <c r="H92" s="216" t="str">
        <f>IFERROR(__xludf.DUMMYFUNCTION("""COMPUTED_VALUE"""),"LUIS GONZALEZ SEPULVEDAREUNIONMAISFCREUNIÓN SECTOR (2 HRS - X12)")</f>
        <v>LUIS GONZALEZ SEPULVEDAREUNIONMAISFCREUNIÓN SECTOR (2 HRS - X12)</v>
      </c>
      <c r="I92" s="216"/>
      <c r="J92" s="216"/>
      <c r="K92" s="216"/>
      <c r="L92" s="217"/>
    </row>
    <row r="93" ht="18.0" customHeight="1">
      <c r="A93" s="212" t="str">
        <f>IFERROR(__xludf.DUMMYFUNCTION("""COMPUTED_VALUE"""),"MYRRHA ANDAUR MARTINEZ")</f>
        <v>MYRRHA ANDAUR MARTINEZ</v>
      </c>
      <c r="B93" s="212" t="str">
        <f>IFERROR(__xludf.DUMMYFUNCTION("""COMPUTED_VALUE"""),"REUNION")</f>
        <v>REUNION</v>
      </c>
      <c r="C93" s="212" t="str">
        <f>IFERROR(__xludf.DUMMYFUNCTION("""COMPUTED_VALUE"""),"FUNCIONARIO")</f>
        <v>FUNCIONARIO</v>
      </c>
      <c r="D93" s="212" t="str">
        <f>IFERROR(__xludf.DUMMYFUNCTION("""COMPUTED_VALUE"""),"AUTOCUIDADO")</f>
        <v>AUTOCUIDADO</v>
      </c>
      <c r="E93" s="218">
        <f>IFERROR(__xludf.DUMMYFUNCTION("""COMPUTED_VALUE"""),0.6)</f>
        <v>0.6</v>
      </c>
      <c r="F93" s="212" t="str">
        <f>IFERROR(__xludf.DUMMYFUNCTION("""COMPUTED_VALUE"""),"Independiente")</f>
        <v>Independiente</v>
      </c>
      <c r="G93" s="215">
        <f>IFERROR(__xludf.DUMMYFUNCTION("""COMPUTED_VALUE"""),0.6)</f>
        <v>0.6</v>
      </c>
      <c r="H93" s="216" t="str">
        <f>IFERROR(__xludf.DUMMYFUNCTION("""COMPUTED_VALUE"""),"MYRRHA ANDAUR MARTINEZREUNIONFUNCIONARIOAUTOCUIDADO")</f>
        <v>MYRRHA ANDAUR MARTINEZREUNIONFUNCIONARIOAUTOCUIDADO</v>
      </c>
      <c r="I93" s="216"/>
      <c r="J93" s="216"/>
      <c r="K93" s="216"/>
      <c r="L93" s="217"/>
    </row>
    <row r="94" ht="18.0" customHeight="1">
      <c r="A94" s="212" t="str">
        <f>IFERROR(__xludf.DUMMYFUNCTION("""COMPUTED_VALUE"""),"MYRRHA ANDAUR MARTINEZ")</f>
        <v>MYRRHA ANDAUR MARTINEZ</v>
      </c>
      <c r="B94" s="212" t="str">
        <f>IFERROR(__xludf.DUMMYFUNCTION("""COMPUTED_VALUE"""),"REUNION")</f>
        <v>REUNION</v>
      </c>
      <c r="C94" s="212" t="str">
        <f>IFERROR(__xludf.DUMMYFUNCTION("""COMPUTED_VALUE"""),"MAISFC")</f>
        <v>MAISFC</v>
      </c>
      <c r="D94" s="212" t="str">
        <f>IFERROR(__xludf.DUMMYFUNCTION("""COMPUTED_VALUE"""),"CONSEJO AMPLIADO")</f>
        <v>CONSEJO AMPLIADO</v>
      </c>
      <c r="E94" s="218">
        <f>IFERROR(__xludf.DUMMYFUNCTION("""COMPUTED_VALUE"""),0.5)</f>
        <v>0.5</v>
      </c>
      <c r="F94" s="212" t="str">
        <f>IFERROR(__xludf.DUMMYFUNCTION("""COMPUTED_VALUE"""),"Independiente")</f>
        <v>Independiente</v>
      </c>
      <c r="G94" s="215">
        <f>IFERROR(__xludf.DUMMYFUNCTION("""COMPUTED_VALUE"""),0.5)</f>
        <v>0.5</v>
      </c>
      <c r="H94" s="216" t="str">
        <f>IFERROR(__xludf.DUMMYFUNCTION("""COMPUTED_VALUE"""),"MYRRHA ANDAUR MARTINEZREUNIONMAISFCCONSEJO AMPLIADO")</f>
        <v>MYRRHA ANDAUR MARTINEZREUNIONMAISFCCONSEJO AMPLIADO</v>
      </c>
      <c r="I94" s="216"/>
      <c r="J94" s="216"/>
      <c r="K94" s="216"/>
      <c r="L94" s="217"/>
    </row>
    <row r="95" ht="18.0" customHeight="1">
      <c r="A95" s="212" t="str">
        <f>IFERROR(__xludf.DUMMYFUNCTION("""COMPUTED_VALUE"""),"MYRRHA ANDAUR MARTINEZ")</f>
        <v>MYRRHA ANDAUR MARTINEZ</v>
      </c>
      <c r="B95" s="212" t="str">
        <f>IFERROR(__xludf.DUMMYFUNCTION("""COMPUTED_VALUE"""),"REUNION")</f>
        <v>REUNION</v>
      </c>
      <c r="C95" s="212" t="str">
        <f>IFERROR(__xludf.DUMMYFUNCTION("""COMPUTED_VALUE"""),"MAISFC")</f>
        <v>MAISFC</v>
      </c>
      <c r="D95" s="212" t="str">
        <f>IFERROR(__xludf.DUMMYFUNCTION("""COMPUTED_VALUE"""),"REUNIÓN EQUIPO CABECERA")</f>
        <v>REUNIÓN EQUIPO CABECERA</v>
      </c>
      <c r="E95" s="218">
        <f>IFERROR(__xludf.DUMMYFUNCTION("""COMPUTED_VALUE"""),0.5)</f>
        <v>0.5</v>
      </c>
      <c r="F95" s="212" t="str">
        <f>IFERROR(__xludf.DUMMYFUNCTION("""COMPUTED_VALUE"""),"Independiente")</f>
        <v>Independiente</v>
      </c>
      <c r="G95" s="215">
        <f>IFERROR(__xludf.DUMMYFUNCTION("""COMPUTED_VALUE"""),0.5)</f>
        <v>0.5</v>
      </c>
      <c r="H95" s="216" t="str">
        <f>IFERROR(__xludf.DUMMYFUNCTION("""COMPUTED_VALUE"""),"MYRRHA ANDAUR MARTINEZREUNIONMAISFCREUNIÓN EQUIPO CABECERA")</f>
        <v>MYRRHA ANDAUR MARTINEZREUNIONMAISFCREUNIÓN EQUIPO CABECERA</v>
      </c>
      <c r="I95" s="216"/>
      <c r="J95" s="216"/>
      <c r="K95" s="216"/>
      <c r="L95" s="217"/>
    </row>
    <row r="96" ht="18.0" customHeight="1">
      <c r="A96" s="212" t="str">
        <f>IFERROR(__xludf.DUMMYFUNCTION("""COMPUTED_VALUE"""),"MYRRHA ANDAUR MARTINEZ")</f>
        <v>MYRRHA ANDAUR MARTINEZ</v>
      </c>
      <c r="B96" s="212" t="str">
        <f>IFERROR(__xludf.DUMMYFUNCTION("""COMPUTED_VALUE"""),"REUNION")</f>
        <v>REUNION</v>
      </c>
      <c r="C96" s="212" t="str">
        <f>IFERROR(__xludf.DUMMYFUNCTION("""COMPUTED_VALUE"""),"MAISFC")</f>
        <v>MAISFC</v>
      </c>
      <c r="D96" s="212" t="str">
        <f>IFERROR(__xludf.DUMMYFUNCTION("""COMPUTED_VALUE"""),"REUNIÓN SECTOR (2 HRS - X12)")</f>
        <v>REUNIÓN SECTOR (2 HRS - X12)</v>
      </c>
      <c r="E96" s="218">
        <f>IFERROR(__xludf.DUMMYFUNCTION("""COMPUTED_VALUE"""),0.6)</f>
        <v>0.6</v>
      </c>
      <c r="F96" s="212" t="str">
        <f>IFERROR(__xludf.DUMMYFUNCTION("""COMPUTED_VALUE"""),"Independiente")</f>
        <v>Independiente</v>
      </c>
      <c r="G96" s="215">
        <f>IFERROR(__xludf.DUMMYFUNCTION("""COMPUTED_VALUE"""),0.6)</f>
        <v>0.6</v>
      </c>
      <c r="H96" s="216" t="str">
        <f>IFERROR(__xludf.DUMMYFUNCTION("""COMPUTED_VALUE"""),"MYRRHA ANDAUR MARTINEZREUNIONMAISFCREUNIÓN SECTOR (2 HRS - X12)")</f>
        <v>MYRRHA ANDAUR MARTINEZREUNIONMAISFCREUNIÓN SECTOR (2 HRS - X12)</v>
      </c>
      <c r="I96" s="216"/>
      <c r="J96" s="216"/>
      <c r="K96" s="216"/>
      <c r="L96" s="217"/>
    </row>
    <row r="97" ht="18.0" customHeight="1">
      <c r="A97" s="212" t="str">
        <f>IFERROR(__xludf.DUMMYFUNCTION("""COMPUTED_VALUE"""),"VALERIA NUÑEZ QUINCHEL")</f>
        <v>VALERIA NUÑEZ QUINCHEL</v>
      </c>
      <c r="B97" s="212" t="str">
        <f>IFERROR(__xludf.DUMMYFUNCTION("""COMPUTED_VALUE"""),"REUNION")</f>
        <v>REUNION</v>
      </c>
      <c r="C97" s="212" t="str">
        <f>IFERROR(__xludf.DUMMYFUNCTION("""COMPUTED_VALUE"""),"FUNCIONARIO")</f>
        <v>FUNCIONARIO</v>
      </c>
      <c r="D97" s="212" t="str">
        <f>IFERROR(__xludf.DUMMYFUNCTION("""COMPUTED_VALUE"""),"AUTOCUIDADO")</f>
        <v>AUTOCUIDADO</v>
      </c>
      <c r="E97" s="218">
        <f>IFERROR(__xludf.DUMMYFUNCTION("""COMPUTED_VALUE"""),0.6)</f>
        <v>0.6</v>
      </c>
      <c r="F97" s="212" t="str">
        <f>IFERROR(__xludf.DUMMYFUNCTION("""COMPUTED_VALUE"""),"Independiente")</f>
        <v>Independiente</v>
      </c>
      <c r="G97" s="215">
        <f>IFERROR(__xludf.DUMMYFUNCTION("""COMPUTED_VALUE"""),0.6)</f>
        <v>0.6</v>
      </c>
      <c r="H97" s="216" t="str">
        <f>IFERROR(__xludf.DUMMYFUNCTION("""COMPUTED_VALUE"""),"VALERIA NUÑEZ QUINCHELREUNIONFUNCIONARIOAUTOCUIDADO")</f>
        <v>VALERIA NUÑEZ QUINCHELREUNIONFUNCIONARIOAUTOCUIDADO</v>
      </c>
      <c r="I97" s="216"/>
      <c r="J97" s="216"/>
      <c r="K97" s="216"/>
      <c r="L97" s="217"/>
    </row>
    <row r="98" ht="18.0" customHeight="1">
      <c r="A98" s="212" t="str">
        <f>IFERROR(__xludf.DUMMYFUNCTION("""COMPUTED_VALUE"""),"VALERIA NUÑEZ QUINCHEL")</f>
        <v>VALERIA NUÑEZ QUINCHEL</v>
      </c>
      <c r="B98" s="212" t="str">
        <f>IFERROR(__xludf.DUMMYFUNCTION("""COMPUTED_VALUE"""),"REUNION")</f>
        <v>REUNION</v>
      </c>
      <c r="C98" s="212" t="str">
        <f>IFERROR(__xludf.DUMMYFUNCTION("""COMPUTED_VALUE"""),"MAISFC")</f>
        <v>MAISFC</v>
      </c>
      <c r="D98" s="212" t="str">
        <f>IFERROR(__xludf.DUMMYFUNCTION("""COMPUTED_VALUE"""),"CONSEJO AMPLIADO")</f>
        <v>CONSEJO AMPLIADO</v>
      </c>
      <c r="E98" s="218">
        <f>IFERROR(__xludf.DUMMYFUNCTION("""COMPUTED_VALUE"""),0.5)</f>
        <v>0.5</v>
      </c>
      <c r="F98" s="212" t="str">
        <f>IFERROR(__xludf.DUMMYFUNCTION("""COMPUTED_VALUE"""),"Independiente")</f>
        <v>Independiente</v>
      </c>
      <c r="G98" s="215">
        <f>IFERROR(__xludf.DUMMYFUNCTION("""COMPUTED_VALUE"""),0.5)</f>
        <v>0.5</v>
      </c>
      <c r="H98" s="216" t="str">
        <f>IFERROR(__xludf.DUMMYFUNCTION("""COMPUTED_VALUE"""),"VALERIA NUÑEZ QUINCHELREUNIONMAISFCCONSEJO AMPLIADO")</f>
        <v>VALERIA NUÑEZ QUINCHELREUNIONMAISFCCONSEJO AMPLIADO</v>
      </c>
      <c r="I98" s="216"/>
      <c r="J98" s="216"/>
      <c r="K98" s="216"/>
      <c r="L98" s="217"/>
    </row>
    <row r="99" ht="18.0" customHeight="1">
      <c r="A99" s="212" t="str">
        <f>IFERROR(__xludf.DUMMYFUNCTION("""COMPUTED_VALUE"""),"VALERIA NUÑEZ QUINCHEL")</f>
        <v>VALERIA NUÑEZ QUINCHEL</v>
      </c>
      <c r="B99" s="212" t="str">
        <f>IFERROR(__xludf.DUMMYFUNCTION("""COMPUTED_VALUE"""),"REUNION")</f>
        <v>REUNION</v>
      </c>
      <c r="C99" s="212" t="str">
        <f>IFERROR(__xludf.DUMMYFUNCTION("""COMPUTED_VALUE"""),"MAISFC")</f>
        <v>MAISFC</v>
      </c>
      <c r="D99" s="212" t="str">
        <f>IFERROR(__xludf.DUMMYFUNCTION("""COMPUTED_VALUE"""),"REUNIÓN EQUIPO CABECERA")</f>
        <v>REUNIÓN EQUIPO CABECERA</v>
      </c>
      <c r="E99" s="218">
        <f>IFERROR(__xludf.DUMMYFUNCTION("""COMPUTED_VALUE"""),0.5)</f>
        <v>0.5</v>
      </c>
      <c r="F99" s="212" t="str">
        <f>IFERROR(__xludf.DUMMYFUNCTION("""COMPUTED_VALUE"""),"Independiente")</f>
        <v>Independiente</v>
      </c>
      <c r="G99" s="215">
        <f>IFERROR(__xludf.DUMMYFUNCTION("""COMPUTED_VALUE"""),0.5)</f>
        <v>0.5</v>
      </c>
      <c r="H99" s="216" t="str">
        <f>IFERROR(__xludf.DUMMYFUNCTION("""COMPUTED_VALUE"""),"VALERIA NUÑEZ QUINCHELREUNIONMAISFCREUNIÓN EQUIPO CABECERA")</f>
        <v>VALERIA NUÑEZ QUINCHELREUNIONMAISFCREUNIÓN EQUIPO CABECERA</v>
      </c>
      <c r="I99" s="216"/>
      <c r="J99" s="216"/>
      <c r="K99" s="216"/>
      <c r="L99" s="217"/>
    </row>
    <row r="100" ht="18.0" customHeight="1">
      <c r="A100" s="212" t="str">
        <f>IFERROR(__xludf.DUMMYFUNCTION("""COMPUTED_VALUE"""),"VALERIA NUÑEZ QUINCHEL")</f>
        <v>VALERIA NUÑEZ QUINCHEL</v>
      </c>
      <c r="B100" s="212" t="str">
        <f>IFERROR(__xludf.DUMMYFUNCTION("""COMPUTED_VALUE"""),"REUNION")</f>
        <v>REUNION</v>
      </c>
      <c r="C100" s="212" t="str">
        <f>IFERROR(__xludf.DUMMYFUNCTION("""COMPUTED_VALUE"""),"MAISFC")</f>
        <v>MAISFC</v>
      </c>
      <c r="D100" s="212" t="str">
        <f>IFERROR(__xludf.DUMMYFUNCTION("""COMPUTED_VALUE"""),"REUNIÓN SECTOR (2 HRS - X12)")</f>
        <v>REUNIÓN SECTOR (2 HRS - X12)</v>
      </c>
      <c r="E100" s="218">
        <f>IFERROR(__xludf.DUMMYFUNCTION("""COMPUTED_VALUE"""),0.6)</f>
        <v>0.6</v>
      </c>
      <c r="F100" s="212" t="str">
        <f>IFERROR(__xludf.DUMMYFUNCTION("""COMPUTED_VALUE"""),"Independiente")</f>
        <v>Independiente</v>
      </c>
      <c r="G100" s="215">
        <f>IFERROR(__xludf.DUMMYFUNCTION("""COMPUTED_VALUE"""),0.6)</f>
        <v>0.6</v>
      </c>
      <c r="H100" s="216" t="str">
        <f>IFERROR(__xludf.DUMMYFUNCTION("""COMPUTED_VALUE"""),"VALERIA NUÑEZ QUINCHELREUNIONMAISFCREUNIÓN SECTOR (2 HRS - X12)")</f>
        <v>VALERIA NUÑEZ QUINCHELREUNIONMAISFCREUNIÓN SECTOR (2 HRS - X12)</v>
      </c>
      <c r="I100" s="216"/>
      <c r="J100" s="216"/>
      <c r="K100" s="216"/>
      <c r="L100" s="217"/>
    </row>
    <row r="101" ht="18.0" customHeight="1">
      <c r="A101" s="212" t="str">
        <f>IFERROR(__xludf.DUMMYFUNCTION("""COMPUTED_VALUE"""),"ANGELA ZUÑIGA MUGA")</f>
        <v>ANGELA ZUÑIGA MUGA</v>
      </c>
      <c r="B101" s="212" t="str">
        <f>IFERROR(__xludf.DUMMYFUNCTION("""COMPUTED_VALUE"""),"REUNION")</f>
        <v>REUNION</v>
      </c>
      <c r="C101" s="212" t="str">
        <f>IFERROR(__xludf.DUMMYFUNCTION("""COMPUTED_VALUE"""),"FUNCIONARIO")</f>
        <v>FUNCIONARIO</v>
      </c>
      <c r="D101" s="212" t="str">
        <f>IFERROR(__xludf.DUMMYFUNCTION("""COMPUTED_VALUE"""),"AUTOCUIDADO")</f>
        <v>AUTOCUIDADO</v>
      </c>
      <c r="E101" s="218">
        <f>IFERROR(__xludf.DUMMYFUNCTION("""COMPUTED_VALUE"""),0.6)</f>
        <v>0.6</v>
      </c>
      <c r="F101" s="212" t="str">
        <f>IFERROR(__xludf.DUMMYFUNCTION("""COMPUTED_VALUE"""),"Independiente")</f>
        <v>Independiente</v>
      </c>
      <c r="G101" s="215">
        <f>IFERROR(__xludf.DUMMYFUNCTION("""COMPUTED_VALUE"""),0.6)</f>
        <v>0.6</v>
      </c>
      <c r="H101" s="216" t="str">
        <f>IFERROR(__xludf.DUMMYFUNCTION("""COMPUTED_VALUE"""),"ANGELA ZUÑIGA MUGAREUNIONFUNCIONARIOAUTOCUIDADO")</f>
        <v>ANGELA ZUÑIGA MUGAREUNIONFUNCIONARIOAUTOCUIDADO</v>
      </c>
      <c r="I101" s="216"/>
      <c r="J101" s="216"/>
      <c r="K101" s="216"/>
      <c r="L101" s="217"/>
    </row>
    <row r="102" ht="18.0" customHeight="1">
      <c r="A102" s="212" t="str">
        <f>IFERROR(__xludf.DUMMYFUNCTION("""COMPUTED_VALUE"""),"ANGELA ZUÑIGA MUGA")</f>
        <v>ANGELA ZUÑIGA MUGA</v>
      </c>
      <c r="B102" s="212" t="str">
        <f>IFERROR(__xludf.DUMMYFUNCTION("""COMPUTED_VALUE"""),"REUNION")</f>
        <v>REUNION</v>
      </c>
      <c r="C102" s="212" t="str">
        <f>IFERROR(__xludf.DUMMYFUNCTION("""COMPUTED_VALUE"""),"MAISFC")</f>
        <v>MAISFC</v>
      </c>
      <c r="D102" s="212" t="str">
        <f>IFERROR(__xludf.DUMMYFUNCTION("""COMPUTED_VALUE"""),"CONSEJO AMPLIADO")</f>
        <v>CONSEJO AMPLIADO</v>
      </c>
      <c r="E102" s="218">
        <f>IFERROR(__xludf.DUMMYFUNCTION("""COMPUTED_VALUE"""),0.5)</f>
        <v>0.5</v>
      </c>
      <c r="F102" s="212" t="str">
        <f>IFERROR(__xludf.DUMMYFUNCTION("""COMPUTED_VALUE"""),"Independiente")</f>
        <v>Independiente</v>
      </c>
      <c r="G102" s="215">
        <f>IFERROR(__xludf.DUMMYFUNCTION("""COMPUTED_VALUE"""),0.5)</f>
        <v>0.5</v>
      </c>
      <c r="H102" s="216" t="str">
        <f>IFERROR(__xludf.DUMMYFUNCTION("""COMPUTED_VALUE"""),"ANGELA ZUÑIGA MUGAREUNIONMAISFCCONSEJO AMPLIADO")</f>
        <v>ANGELA ZUÑIGA MUGAREUNIONMAISFCCONSEJO AMPLIADO</v>
      </c>
      <c r="I102" s="216"/>
      <c r="J102" s="216"/>
      <c r="K102" s="216"/>
      <c r="L102" s="217"/>
    </row>
    <row r="103" ht="18.0" customHeight="1">
      <c r="A103" s="212" t="str">
        <f>IFERROR(__xludf.DUMMYFUNCTION("""COMPUTED_VALUE"""),"ANGELA ZUÑIGA MUGA")</f>
        <v>ANGELA ZUÑIGA MUGA</v>
      </c>
      <c r="B103" s="212" t="str">
        <f>IFERROR(__xludf.DUMMYFUNCTION("""COMPUTED_VALUE"""),"REUNION")</f>
        <v>REUNION</v>
      </c>
      <c r="C103" s="212" t="str">
        <f>IFERROR(__xludf.DUMMYFUNCTION("""COMPUTED_VALUE"""),"MAISFC")</f>
        <v>MAISFC</v>
      </c>
      <c r="D103" s="212" t="str">
        <f>IFERROR(__xludf.DUMMYFUNCTION("""COMPUTED_VALUE"""),"REUNIÓN EQUIPO CABECERA")</f>
        <v>REUNIÓN EQUIPO CABECERA</v>
      </c>
      <c r="E103" s="218">
        <f>IFERROR(__xludf.DUMMYFUNCTION("""COMPUTED_VALUE"""),0.5)</f>
        <v>0.5</v>
      </c>
      <c r="F103" s="212" t="str">
        <f>IFERROR(__xludf.DUMMYFUNCTION("""COMPUTED_VALUE"""),"Independiente")</f>
        <v>Independiente</v>
      </c>
      <c r="G103" s="215">
        <f>IFERROR(__xludf.DUMMYFUNCTION("""COMPUTED_VALUE"""),0.5)</f>
        <v>0.5</v>
      </c>
      <c r="H103" s="216" t="str">
        <f>IFERROR(__xludf.DUMMYFUNCTION("""COMPUTED_VALUE"""),"ANGELA ZUÑIGA MUGAREUNIONMAISFCREUNIÓN EQUIPO CABECERA")</f>
        <v>ANGELA ZUÑIGA MUGAREUNIONMAISFCREUNIÓN EQUIPO CABECERA</v>
      </c>
      <c r="I103" s="216"/>
      <c r="J103" s="216"/>
      <c r="K103" s="216"/>
      <c r="L103" s="217"/>
    </row>
    <row r="104" ht="18.0" customHeight="1">
      <c r="A104" s="212" t="str">
        <f>IFERROR(__xludf.DUMMYFUNCTION("""COMPUTED_VALUE"""),"ANGELA ZUÑIGA MUGA")</f>
        <v>ANGELA ZUÑIGA MUGA</v>
      </c>
      <c r="B104" s="212" t="str">
        <f>IFERROR(__xludf.DUMMYFUNCTION("""COMPUTED_VALUE"""),"REUNION")</f>
        <v>REUNION</v>
      </c>
      <c r="C104" s="212" t="str">
        <f>IFERROR(__xludf.DUMMYFUNCTION("""COMPUTED_VALUE"""),"MAISFC")</f>
        <v>MAISFC</v>
      </c>
      <c r="D104" s="212" t="str">
        <f>IFERROR(__xludf.DUMMYFUNCTION("""COMPUTED_VALUE"""),"REUNIÓN SECTOR (2 HRS - X12)")</f>
        <v>REUNIÓN SECTOR (2 HRS - X12)</v>
      </c>
      <c r="E104" s="218">
        <f>IFERROR(__xludf.DUMMYFUNCTION("""COMPUTED_VALUE"""),0.6)</f>
        <v>0.6</v>
      </c>
      <c r="F104" s="212" t="str">
        <f>IFERROR(__xludf.DUMMYFUNCTION("""COMPUTED_VALUE"""),"Independiente")</f>
        <v>Independiente</v>
      </c>
      <c r="G104" s="215">
        <f>IFERROR(__xludf.DUMMYFUNCTION("""COMPUTED_VALUE"""),0.6)</f>
        <v>0.6</v>
      </c>
      <c r="H104" s="216" t="str">
        <f>IFERROR(__xludf.DUMMYFUNCTION("""COMPUTED_VALUE"""),"ANGELA ZUÑIGA MUGAREUNIONMAISFCREUNIÓN SECTOR (2 HRS - X12)")</f>
        <v>ANGELA ZUÑIGA MUGAREUNIONMAISFCREUNIÓN SECTOR (2 HRS - X12)</v>
      </c>
      <c r="I104" s="216"/>
      <c r="J104" s="216"/>
      <c r="K104" s="216"/>
      <c r="L104" s="217"/>
    </row>
    <row r="105" ht="18.0" customHeight="1">
      <c r="A105" s="212" t="str">
        <f>IFERROR(__xludf.DUMMYFUNCTION("""COMPUTED_VALUE"""),"VANESSA ESPINOZA ESPINOZA")</f>
        <v>VANESSA ESPINOZA ESPINOZA</v>
      </c>
      <c r="B105" s="212" t="str">
        <f>IFERROR(__xludf.DUMMYFUNCTION("""COMPUTED_VALUE"""),"REUNION")</f>
        <v>REUNION</v>
      </c>
      <c r="C105" s="212" t="str">
        <f>IFERROR(__xludf.DUMMYFUNCTION("""COMPUTED_VALUE"""),"FUNCIONARIO")</f>
        <v>FUNCIONARIO</v>
      </c>
      <c r="D105" s="212" t="str">
        <f>IFERROR(__xludf.DUMMYFUNCTION("""COMPUTED_VALUE"""),"AUTOCUIDADO")</f>
        <v>AUTOCUIDADO</v>
      </c>
      <c r="E105" s="218">
        <f>IFERROR(__xludf.DUMMYFUNCTION("""COMPUTED_VALUE"""),0.6)</f>
        <v>0.6</v>
      </c>
      <c r="F105" s="212" t="str">
        <f>IFERROR(__xludf.DUMMYFUNCTION("""COMPUTED_VALUE"""),"Independiente")</f>
        <v>Independiente</v>
      </c>
      <c r="G105" s="215">
        <f>IFERROR(__xludf.DUMMYFUNCTION("""COMPUTED_VALUE"""),0.6)</f>
        <v>0.6</v>
      </c>
      <c r="H105" s="216" t="str">
        <f>IFERROR(__xludf.DUMMYFUNCTION("""COMPUTED_VALUE"""),"VANESSA ESPINOZA ESPINOZAREUNIONFUNCIONARIOAUTOCUIDADO")</f>
        <v>VANESSA ESPINOZA ESPINOZAREUNIONFUNCIONARIOAUTOCUIDADO</v>
      </c>
      <c r="I105" s="216"/>
      <c r="J105" s="216"/>
      <c r="K105" s="216"/>
      <c r="L105" s="217"/>
    </row>
    <row r="106" ht="18.0" customHeight="1">
      <c r="A106" s="212" t="str">
        <f>IFERROR(__xludf.DUMMYFUNCTION("""COMPUTED_VALUE"""),"VANESSA ESPINOZA ESPINOZA")</f>
        <v>VANESSA ESPINOZA ESPINOZA</v>
      </c>
      <c r="B106" s="212" t="str">
        <f>IFERROR(__xludf.DUMMYFUNCTION("""COMPUTED_VALUE"""),"REUNION")</f>
        <v>REUNION</v>
      </c>
      <c r="C106" s="212" t="str">
        <f>IFERROR(__xludf.DUMMYFUNCTION("""COMPUTED_VALUE"""),"MAISFC")</f>
        <v>MAISFC</v>
      </c>
      <c r="D106" s="212" t="str">
        <f>IFERROR(__xludf.DUMMYFUNCTION("""COMPUTED_VALUE"""),"CONSEJO AMPLIADO")</f>
        <v>CONSEJO AMPLIADO</v>
      </c>
      <c r="E106" s="218">
        <f>IFERROR(__xludf.DUMMYFUNCTION("""COMPUTED_VALUE"""),0.5)</f>
        <v>0.5</v>
      </c>
      <c r="F106" s="212" t="str">
        <f>IFERROR(__xludf.DUMMYFUNCTION("""COMPUTED_VALUE"""),"Independiente")</f>
        <v>Independiente</v>
      </c>
      <c r="G106" s="215">
        <f>IFERROR(__xludf.DUMMYFUNCTION("""COMPUTED_VALUE"""),0.5)</f>
        <v>0.5</v>
      </c>
      <c r="H106" s="216" t="str">
        <f>IFERROR(__xludf.DUMMYFUNCTION("""COMPUTED_VALUE"""),"VANESSA ESPINOZA ESPINOZAREUNIONMAISFCCONSEJO AMPLIADO")</f>
        <v>VANESSA ESPINOZA ESPINOZAREUNIONMAISFCCONSEJO AMPLIADO</v>
      </c>
      <c r="I106" s="216"/>
      <c r="J106" s="216"/>
      <c r="K106" s="216"/>
      <c r="L106" s="217"/>
    </row>
    <row r="107" ht="18.0" customHeight="1">
      <c r="A107" s="212" t="str">
        <f>IFERROR(__xludf.DUMMYFUNCTION("""COMPUTED_VALUE"""),"VANESSA ESPINOZA ESPINOZA")</f>
        <v>VANESSA ESPINOZA ESPINOZA</v>
      </c>
      <c r="B107" s="212" t="str">
        <f>IFERROR(__xludf.DUMMYFUNCTION("""COMPUTED_VALUE"""),"REUNION")</f>
        <v>REUNION</v>
      </c>
      <c r="C107" s="212" t="str">
        <f>IFERROR(__xludf.DUMMYFUNCTION("""COMPUTED_VALUE"""),"MAISFC")</f>
        <v>MAISFC</v>
      </c>
      <c r="D107" s="212" t="str">
        <f>IFERROR(__xludf.DUMMYFUNCTION("""COMPUTED_VALUE"""),"REUNIÓN EQUIPO CABECERA")</f>
        <v>REUNIÓN EQUIPO CABECERA</v>
      </c>
      <c r="E107" s="218">
        <f>IFERROR(__xludf.DUMMYFUNCTION("""COMPUTED_VALUE"""),0.5)</f>
        <v>0.5</v>
      </c>
      <c r="F107" s="212" t="str">
        <f>IFERROR(__xludf.DUMMYFUNCTION("""COMPUTED_VALUE"""),"Independiente")</f>
        <v>Independiente</v>
      </c>
      <c r="G107" s="215">
        <f>IFERROR(__xludf.DUMMYFUNCTION("""COMPUTED_VALUE"""),0.5)</f>
        <v>0.5</v>
      </c>
      <c r="H107" s="216" t="str">
        <f>IFERROR(__xludf.DUMMYFUNCTION("""COMPUTED_VALUE"""),"VANESSA ESPINOZA ESPINOZAREUNIONMAISFCREUNIÓN EQUIPO CABECERA")</f>
        <v>VANESSA ESPINOZA ESPINOZAREUNIONMAISFCREUNIÓN EQUIPO CABECERA</v>
      </c>
      <c r="I107" s="216"/>
      <c r="J107" s="216"/>
      <c r="K107" s="216"/>
      <c r="L107" s="217"/>
    </row>
    <row r="108" ht="18.0" customHeight="1">
      <c r="A108" s="212" t="str">
        <f>IFERROR(__xludf.DUMMYFUNCTION("""COMPUTED_VALUE"""),"VANESSA ESPINOZA ESPINOZA")</f>
        <v>VANESSA ESPINOZA ESPINOZA</v>
      </c>
      <c r="B108" s="212" t="str">
        <f>IFERROR(__xludf.DUMMYFUNCTION("""COMPUTED_VALUE"""),"REUNION")</f>
        <v>REUNION</v>
      </c>
      <c r="C108" s="212" t="str">
        <f>IFERROR(__xludf.DUMMYFUNCTION("""COMPUTED_VALUE"""),"MAISFC")</f>
        <v>MAISFC</v>
      </c>
      <c r="D108" s="212" t="str">
        <f>IFERROR(__xludf.DUMMYFUNCTION("""COMPUTED_VALUE"""),"REUNIÓN SECTOR (2 HRS - X12)")</f>
        <v>REUNIÓN SECTOR (2 HRS - X12)</v>
      </c>
      <c r="E108" s="218">
        <f>IFERROR(__xludf.DUMMYFUNCTION("""COMPUTED_VALUE"""),0.6)</f>
        <v>0.6</v>
      </c>
      <c r="F108" s="212" t="str">
        <f>IFERROR(__xludf.DUMMYFUNCTION("""COMPUTED_VALUE"""),"Independiente")</f>
        <v>Independiente</v>
      </c>
      <c r="G108" s="215">
        <f>IFERROR(__xludf.DUMMYFUNCTION("""COMPUTED_VALUE"""),0.6)</f>
        <v>0.6</v>
      </c>
      <c r="H108" s="216" t="str">
        <f>IFERROR(__xludf.DUMMYFUNCTION("""COMPUTED_VALUE"""),"VANESSA ESPINOZA ESPINOZAREUNIONMAISFCREUNIÓN SECTOR (2 HRS - X12)")</f>
        <v>VANESSA ESPINOZA ESPINOZAREUNIONMAISFCREUNIÓN SECTOR (2 HRS - X12)</v>
      </c>
      <c r="I108" s="216"/>
      <c r="J108" s="216"/>
      <c r="K108" s="216"/>
      <c r="L108" s="217"/>
    </row>
    <row r="109" ht="18.0" customHeight="1">
      <c r="A109" s="212" t="str">
        <f>IFERROR(__xludf.DUMMYFUNCTION("""COMPUTED_VALUE"""),"EDGAR CARVAJAL TORRES")</f>
        <v>EDGAR CARVAJAL TORRES</v>
      </c>
      <c r="B109" s="212" t="str">
        <f>IFERROR(__xludf.DUMMYFUNCTION("""COMPUTED_VALUE"""),"REUNION")</f>
        <v>REUNION</v>
      </c>
      <c r="C109" s="212" t="str">
        <f>IFERROR(__xludf.DUMMYFUNCTION("""COMPUTED_VALUE"""),"FUNCIONARIO")</f>
        <v>FUNCIONARIO</v>
      </c>
      <c r="D109" s="212" t="str">
        <f>IFERROR(__xludf.DUMMYFUNCTION("""COMPUTED_VALUE"""),"AUTOCUIDADO")</f>
        <v>AUTOCUIDADO</v>
      </c>
      <c r="E109" s="218">
        <f>IFERROR(__xludf.DUMMYFUNCTION("""COMPUTED_VALUE"""),0.6)</f>
        <v>0.6</v>
      </c>
      <c r="F109" s="212" t="str">
        <f>IFERROR(__xludf.DUMMYFUNCTION("""COMPUTED_VALUE"""),"Independiente")</f>
        <v>Independiente</v>
      </c>
      <c r="G109" s="215">
        <f>IFERROR(__xludf.DUMMYFUNCTION("""COMPUTED_VALUE"""),0.6)</f>
        <v>0.6</v>
      </c>
      <c r="H109" s="216" t="str">
        <f>IFERROR(__xludf.DUMMYFUNCTION("""COMPUTED_VALUE"""),"EDGAR CARVAJAL TORRESREUNIONFUNCIONARIOAUTOCUIDADO")</f>
        <v>EDGAR CARVAJAL TORRESREUNIONFUNCIONARIOAUTOCUIDADO</v>
      </c>
      <c r="I109" s="216"/>
      <c r="J109" s="216"/>
      <c r="K109" s="216"/>
      <c r="L109" s="217"/>
    </row>
    <row r="110" ht="18.0" customHeight="1">
      <c r="A110" s="212" t="str">
        <f>IFERROR(__xludf.DUMMYFUNCTION("""COMPUTED_VALUE"""),"EDGAR CARVAJAL TORRES")</f>
        <v>EDGAR CARVAJAL TORRES</v>
      </c>
      <c r="B110" s="212" t="str">
        <f>IFERROR(__xludf.DUMMYFUNCTION("""COMPUTED_VALUE"""),"REUNION")</f>
        <v>REUNION</v>
      </c>
      <c r="C110" s="212" t="str">
        <f>IFERROR(__xludf.DUMMYFUNCTION("""COMPUTED_VALUE"""),"MAISFC")</f>
        <v>MAISFC</v>
      </c>
      <c r="D110" s="212" t="str">
        <f>IFERROR(__xludf.DUMMYFUNCTION("""COMPUTED_VALUE"""),"CONSEJO AMPLIADO")</f>
        <v>CONSEJO AMPLIADO</v>
      </c>
      <c r="E110" s="218">
        <f>IFERROR(__xludf.DUMMYFUNCTION("""COMPUTED_VALUE"""),0.5)</f>
        <v>0.5</v>
      </c>
      <c r="F110" s="212" t="str">
        <f>IFERROR(__xludf.DUMMYFUNCTION("""COMPUTED_VALUE"""),"Independiente")</f>
        <v>Independiente</v>
      </c>
      <c r="G110" s="215">
        <f>IFERROR(__xludf.DUMMYFUNCTION("""COMPUTED_VALUE"""),0.5)</f>
        <v>0.5</v>
      </c>
      <c r="H110" s="216" t="str">
        <f>IFERROR(__xludf.DUMMYFUNCTION("""COMPUTED_VALUE"""),"EDGAR CARVAJAL TORRESREUNIONMAISFCCONSEJO AMPLIADO")</f>
        <v>EDGAR CARVAJAL TORRESREUNIONMAISFCCONSEJO AMPLIADO</v>
      </c>
      <c r="I110" s="216"/>
      <c r="J110" s="216"/>
      <c r="K110" s="216"/>
      <c r="L110" s="217"/>
    </row>
    <row r="111" ht="18.0" customHeight="1">
      <c r="A111" s="212" t="str">
        <f>IFERROR(__xludf.DUMMYFUNCTION("""COMPUTED_VALUE"""),"EDGAR CARVAJAL TORRES")</f>
        <v>EDGAR CARVAJAL TORRES</v>
      </c>
      <c r="B111" s="212" t="str">
        <f>IFERROR(__xludf.DUMMYFUNCTION("""COMPUTED_VALUE"""),"REUNION")</f>
        <v>REUNION</v>
      </c>
      <c r="C111" s="212" t="str">
        <f>IFERROR(__xludf.DUMMYFUNCTION("""COMPUTED_VALUE"""),"MAISFC")</f>
        <v>MAISFC</v>
      </c>
      <c r="D111" s="212" t="str">
        <f>IFERROR(__xludf.DUMMYFUNCTION("""COMPUTED_VALUE"""),"REUNIÓN EQUIPO CABECERA")</f>
        <v>REUNIÓN EQUIPO CABECERA</v>
      </c>
      <c r="E111" s="218">
        <f>IFERROR(__xludf.DUMMYFUNCTION("""COMPUTED_VALUE"""),0.5)</f>
        <v>0.5</v>
      </c>
      <c r="F111" s="212" t="str">
        <f>IFERROR(__xludf.DUMMYFUNCTION("""COMPUTED_VALUE"""),"Independiente")</f>
        <v>Independiente</v>
      </c>
      <c r="G111" s="215">
        <f>IFERROR(__xludf.DUMMYFUNCTION("""COMPUTED_VALUE"""),0.5)</f>
        <v>0.5</v>
      </c>
      <c r="H111" s="216" t="str">
        <f>IFERROR(__xludf.DUMMYFUNCTION("""COMPUTED_VALUE"""),"EDGAR CARVAJAL TORRESREUNIONMAISFCREUNIÓN EQUIPO CABECERA")</f>
        <v>EDGAR CARVAJAL TORRESREUNIONMAISFCREUNIÓN EQUIPO CABECERA</v>
      </c>
      <c r="I111" s="216"/>
      <c r="J111" s="216"/>
      <c r="K111" s="216"/>
      <c r="L111" s="217"/>
    </row>
    <row r="112" ht="18.0" customHeight="1">
      <c r="A112" s="212" t="str">
        <f>IFERROR(__xludf.DUMMYFUNCTION("""COMPUTED_VALUE"""),"EDGAR CARVAJAL TORRES")</f>
        <v>EDGAR CARVAJAL TORRES</v>
      </c>
      <c r="B112" s="212" t="str">
        <f>IFERROR(__xludf.DUMMYFUNCTION("""COMPUTED_VALUE"""),"REUNION")</f>
        <v>REUNION</v>
      </c>
      <c r="C112" s="212" t="str">
        <f>IFERROR(__xludf.DUMMYFUNCTION("""COMPUTED_VALUE"""),"MAISFC")</f>
        <v>MAISFC</v>
      </c>
      <c r="D112" s="212" t="str">
        <f>IFERROR(__xludf.DUMMYFUNCTION("""COMPUTED_VALUE"""),"REUNIÓN SECTOR (2 HRS - X12)")</f>
        <v>REUNIÓN SECTOR (2 HRS - X12)</v>
      </c>
      <c r="E112" s="218">
        <f>IFERROR(__xludf.DUMMYFUNCTION("""COMPUTED_VALUE"""),0.6)</f>
        <v>0.6</v>
      </c>
      <c r="F112" s="212" t="str">
        <f>IFERROR(__xludf.DUMMYFUNCTION("""COMPUTED_VALUE"""),"Independiente")</f>
        <v>Independiente</v>
      </c>
      <c r="G112" s="215">
        <f>IFERROR(__xludf.DUMMYFUNCTION("""COMPUTED_VALUE"""),0.6)</f>
        <v>0.6</v>
      </c>
      <c r="H112" s="216" t="str">
        <f>IFERROR(__xludf.DUMMYFUNCTION("""COMPUTED_VALUE"""),"EDGAR CARVAJAL TORRESREUNIONMAISFCREUNIÓN SECTOR (2 HRS - X12)")</f>
        <v>EDGAR CARVAJAL TORRESREUNIONMAISFCREUNIÓN SECTOR (2 HRS - X12)</v>
      </c>
      <c r="I112" s="216"/>
      <c r="J112" s="216"/>
      <c r="K112" s="216"/>
      <c r="L112" s="217"/>
    </row>
    <row r="113" ht="18.0" customHeight="1">
      <c r="A113" s="212" t="str">
        <f>IFERROR(__xludf.DUMMYFUNCTION("""COMPUTED_VALUE"""),"CLAUDIO PINTO VILLALOBOS")</f>
        <v>CLAUDIO PINTO VILLALOBOS</v>
      </c>
      <c r="B113" s="212" t="str">
        <f>IFERROR(__xludf.DUMMYFUNCTION("""COMPUTED_VALUE"""),"REUNION")</f>
        <v>REUNION</v>
      </c>
      <c r="C113" s="212" t="str">
        <f>IFERROR(__xludf.DUMMYFUNCTION("""COMPUTED_VALUE"""),"FUNCIONARIO")</f>
        <v>FUNCIONARIO</v>
      </c>
      <c r="D113" s="212" t="str">
        <f>IFERROR(__xludf.DUMMYFUNCTION("""COMPUTED_VALUE"""),"AUTOCUIDADO")</f>
        <v>AUTOCUIDADO</v>
      </c>
      <c r="E113" s="218">
        <f>IFERROR(__xludf.DUMMYFUNCTION("""COMPUTED_VALUE"""),0.6)</f>
        <v>0.6</v>
      </c>
      <c r="F113" s="212" t="str">
        <f>IFERROR(__xludf.DUMMYFUNCTION("""COMPUTED_VALUE"""),"Independiente")</f>
        <v>Independiente</v>
      </c>
      <c r="G113" s="215">
        <f>IFERROR(__xludf.DUMMYFUNCTION("""COMPUTED_VALUE"""),0.6)</f>
        <v>0.6</v>
      </c>
      <c r="H113" s="216" t="str">
        <f>IFERROR(__xludf.DUMMYFUNCTION("""COMPUTED_VALUE"""),"CLAUDIO PINTO VILLALOBOSREUNIONFUNCIONARIOAUTOCUIDADO")</f>
        <v>CLAUDIO PINTO VILLALOBOSREUNIONFUNCIONARIOAUTOCUIDADO</v>
      </c>
      <c r="I113" s="216"/>
      <c r="J113" s="216"/>
      <c r="K113" s="216"/>
      <c r="L113" s="217"/>
    </row>
    <row r="114" ht="18.0" customHeight="1">
      <c r="A114" s="212" t="str">
        <f>IFERROR(__xludf.DUMMYFUNCTION("""COMPUTED_VALUE"""),"CLAUDIO PINTO VILLALOBOS")</f>
        <v>CLAUDIO PINTO VILLALOBOS</v>
      </c>
      <c r="B114" s="212" t="str">
        <f>IFERROR(__xludf.DUMMYFUNCTION("""COMPUTED_VALUE"""),"REUNION")</f>
        <v>REUNION</v>
      </c>
      <c r="C114" s="212" t="str">
        <f>IFERROR(__xludf.DUMMYFUNCTION("""COMPUTED_VALUE"""),"MAISFC")</f>
        <v>MAISFC</v>
      </c>
      <c r="D114" s="212" t="str">
        <f>IFERROR(__xludf.DUMMYFUNCTION("""COMPUTED_VALUE"""),"CONSEJO AMPLIADO")</f>
        <v>CONSEJO AMPLIADO</v>
      </c>
      <c r="E114" s="218">
        <f>IFERROR(__xludf.DUMMYFUNCTION("""COMPUTED_VALUE"""),0.5)</f>
        <v>0.5</v>
      </c>
      <c r="F114" s="212" t="str">
        <f>IFERROR(__xludf.DUMMYFUNCTION("""COMPUTED_VALUE"""),"Independiente")</f>
        <v>Independiente</v>
      </c>
      <c r="G114" s="215">
        <f>IFERROR(__xludf.DUMMYFUNCTION("""COMPUTED_VALUE"""),0.5)</f>
        <v>0.5</v>
      </c>
      <c r="H114" s="216" t="str">
        <f>IFERROR(__xludf.DUMMYFUNCTION("""COMPUTED_VALUE"""),"CLAUDIO PINTO VILLALOBOSREUNIONMAISFCCONSEJO AMPLIADO")</f>
        <v>CLAUDIO PINTO VILLALOBOSREUNIONMAISFCCONSEJO AMPLIADO</v>
      </c>
      <c r="I114" s="216"/>
      <c r="J114" s="216"/>
      <c r="K114" s="216"/>
      <c r="L114" s="217"/>
    </row>
    <row r="115" ht="18.0" customHeight="1">
      <c r="A115" s="212" t="str">
        <f>IFERROR(__xludf.DUMMYFUNCTION("""COMPUTED_VALUE"""),"CLAUDIO PINTO VILLALOBOS")</f>
        <v>CLAUDIO PINTO VILLALOBOS</v>
      </c>
      <c r="B115" s="212" t="str">
        <f>IFERROR(__xludf.DUMMYFUNCTION("""COMPUTED_VALUE"""),"REUNION")</f>
        <v>REUNION</v>
      </c>
      <c r="C115" s="212" t="str">
        <f>IFERROR(__xludf.DUMMYFUNCTION("""COMPUTED_VALUE"""),"MAISFC")</f>
        <v>MAISFC</v>
      </c>
      <c r="D115" s="212" t="str">
        <f>IFERROR(__xludf.DUMMYFUNCTION("""COMPUTED_VALUE"""),"REUNIÓN EQUIPO CABECERA")</f>
        <v>REUNIÓN EQUIPO CABECERA</v>
      </c>
      <c r="E115" s="218">
        <f>IFERROR(__xludf.DUMMYFUNCTION("""COMPUTED_VALUE"""),0.5)</f>
        <v>0.5</v>
      </c>
      <c r="F115" s="212" t="str">
        <f>IFERROR(__xludf.DUMMYFUNCTION("""COMPUTED_VALUE"""),"Independiente")</f>
        <v>Independiente</v>
      </c>
      <c r="G115" s="215">
        <f>IFERROR(__xludf.DUMMYFUNCTION("""COMPUTED_VALUE"""),0.5)</f>
        <v>0.5</v>
      </c>
      <c r="H115" s="216" t="str">
        <f>IFERROR(__xludf.DUMMYFUNCTION("""COMPUTED_VALUE"""),"CLAUDIO PINTO VILLALOBOSREUNIONMAISFCREUNIÓN EQUIPO CABECERA")</f>
        <v>CLAUDIO PINTO VILLALOBOSREUNIONMAISFCREUNIÓN EQUIPO CABECERA</v>
      </c>
      <c r="I115" s="216"/>
      <c r="J115" s="216"/>
      <c r="K115" s="216"/>
      <c r="L115" s="217"/>
    </row>
    <row r="116" ht="18.0" customHeight="1">
      <c r="A116" s="212" t="str">
        <f>IFERROR(__xludf.DUMMYFUNCTION("""COMPUTED_VALUE"""),"CLAUDIO PINTO VILLALOBOS")</f>
        <v>CLAUDIO PINTO VILLALOBOS</v>
      </c>
      <c r="B116" s="212" t="str">
        <f>IFERROR(__xludf.DUMMYFUNCTION("""COMPUTED_VALUE"""),"REUNION")</f>
        <v>REUNION</v>
      </c>
      <c r="C116" s="212" t="str">
        <f>IFERROR(__xludf.DUMMYFUNCTION("""COMPUTED_VALUE"""),"MAISFC")</f>
        <v>MAISFC</v>
      </c>
      <c r="D116" s="212" t="str">
        <f>IFERROR(__xludf.DUMMYFUNCTION("""COMPUTED_VALUE"""),"REUNIÓN SECTOR (2 HRS - X12)")</f>
        <v>REUNIÓN SECTOR (2 HRS - X12)</v>
      </c>
      <c r="E116" s="218">
        <f>IFERROR(__xludf.DUMMYFUNCTION("""COMPUTED_VALUE"""),0.6)</f>
        <v>0.6</v>
      </c>
      <c r="F116" s="212" t="str">
        <f>IFERROR(__xludf.DUMMYFUNCTION("""COMPUTED_VALUE"""),"Independiente")</f>
        <v>Independiente</v>
      </c>
      <c r="G116" s="215">
        <f>IFERROR(__xludf.DUMMYFUNCTION("""COMPUTED_VALUE"""),0.6)</f>
        <v>0.6</v>
      </c>
      <c r="H116" s="216" t="str">
        <f>IFERROR(__xludf.DUMMYFUNCTION("""COMPUTED_VALUE"""),"CLAUDIO PINTO VILLALOBOSREUNIONMAISFCREUNIÓN SECTOR (2 HRS - X12)")</f>
        <v>CLAUDIO PINTO VILLALOBOSREUNIONMAISFCREUNIÓN SECTOR (2 HRS - X12)</v>
      </c>
      <c r="I116" s="216"/>
      <c r="J116" s="216"/>
      <c r="K116" s="216"/>
      <c r="L116" s="217"/>
    </row>
    <row r="117" ht="18.0" customHeight="1">
      <c r="A117" s="212" t="str">
        <f>IFERROR(__xludf.DUMMYFUNCTION("""COMPUTED_VALUE"""),"MARCELA JAQUE LIZAMA")</f>
        <v>MARCELA JAQUE LIZAMA</v>
      </c>
      <c r="B117" s="212" t="str">
        <f>IFERROR(__xludf.DUMMYFUNCTION("""COMPUTED_VALUE"""),"DERECHO FUNCIONARIO")</f>
        <v>DERECHO FUNCIONARIO</v>
      </c>
      <c r="C117" s="212" t="str">
        <f>IFERROR(__xludf.DUMMYFUNCTION("""COMPUTED_VALUE"""),"GREMIAL")</f>
        <v>GREMIAL</v>
      </c>
      <c r="D117" s="212" t="str">
        <f>IFERROR(__xludf.DUMMYFUNCTION("""COMPUTED_VALUE"""),"DIRIGENTE GREMIAL (22)")</f>
        <v>DIRIGENTE GREMIAL (22)</v>
      </c>
      <c r="E117" s="218">
        <f>IFERROR(__xludf.DUMMYFUNCTION("""COMPUTED_VALUE"""),22.0)</f>
        <v>22</v>
      </c>
      <c r="F117" s="212" t="str">
        <f>IFERROR(__xludf.DUMMYFUNCTION("""COMPUTED_VALUE"""),"Independiente")</f>
        <v>Independiente</v>
      </c>
      <c r="G117" s="215">
        <f>IFERROR(__xludf.DUMMYFUNCTION("""COMPUTED_VALUE"""),22.0)</f>
        <v>22</v>
      </c>
      <c r="H117" s="216" t="str">
        <f>IFERROR(__xludf.DUMMYFUNCTION("""COMPUTED_VALUE"""),"MARCELA JAQUE LIZAMADERECHO FUNCIONARIOGREMIALDIRIGENTE GREMIAL (22)")</f>
        <v>MARCELA JAQUE LIZAMADERECHO FUNCIONARIOGREMIALDIRIGENTE GREMIAL (22)</v>
      </c>
      <c r="I117" s="216"/>
      <c r="J117" s="216"/>
      <c r="K117" s="216"/>
      <c r="L117" s="217"/>
    </row>
    <row r="118" ht="18.0" customHeight="1">
      <c r="A118" s="212" t="str">
        <f>IFERROR(__xludf.DUMMYFUNCTION("""COMPUTED_VALUE"""),"MARCELA JAQUE LIZAMA")</f>
        <v>MARCELA JAQUE LIZAMA</v>
      </c>
      <c r="B118" s="212" t="str">
        <f>IFERROR(__xludf.DUMMYFUNCTION("""COMPUTED_VALUE"""),"DERECHO FUNCIONARIO")</f>
        <v>DERECHO FUNCIONARIO</v>
      </c>
      <c r="C118" s="212" t="str">
        <f>IFERROR(__xludf.DUMMYFUNCTION("""COMPUTED_VALUE"""),"COLACION")</f>
        <v>COLACION</v>
      </c>
      <c r="D118" s="212" t="str">
        <f>IFERROR(__xludf.DUMMYFUNCTION("""COMPUTED_VALUE"""),"COLACION =  5 DIAS/SEMANA")</f>
        <v>COLACION =  5 DIAS/SEMANA</v>
      </c>
      <c r="E118" s="218">
        <f>IFERROR(__xludf.DUMMYFUNCTION("""COMPUTED_VALUE"""),5.0)</f>
        <v>5</v>
      </c>
      <c r="F118" s="212" t="str">
        <f>IFERROR(__xludf.DUMMYFUNCTION("""COMPUTED_VALUE"""),"Independiente")</f>
        <v>Independiente</v>
      </c>
      <c r="G118" s="215">
        <f>IFERROR(__xludf.DUMMYFUNCTION("""COMPUTED_VALUE"""),5.0)</f>
        <v>5</v>
      </c>
      <c r="H118" s="216" t="str">
        <f>IFERROR(__xludf.DUMMYFUNCTION("""COMPUTED_VALUE"""),"MARCELA JAQUE LIZAMADERECHO FUNCIONARIOCOLACIONCOLACION =  5 DIAS/SEMANA")</f>
        <v>MARCELA JAQUE LIZAMADERECHO FUNCIONARIOCOLACIONCOLACION =  5 DIAS/SEMANA</v>
      </c>
      <c r="I118" s="216"/>
      <c r="J118" s="216"/>
      <c r="K118" s="216"/>
      <c r="L118" s="217"/>
    </row>
    <row r="119" ht="18.0" customHeight="1">
      <c r="A119" s="212" t="str">
        <f>IFERROR(__xludf.DUMMYFUNCTION("""COMPUTED_VALUE"""),"ALEJANDRO REYES MURILLO")</f>
        <v>ALEJANDRO REYES MURILLO</v>
      </c>
      <c r="B119" s="212" t="str">
        <f>IFERROR(__xludf.DUMMYFUNCTION("""COMPUTED_VALUE"""),"DERECHO FUNCIONARIO")</f>
        <v>DERECHO FUNCIONARIO</v>
      </c>
      <c r="C119" s="212" t="str">
        <f>IFERROR(__xludf.DUMMYFUNCTION("""COMPUTED_VALUE"""),"COLACION")</f>
        <v>COLACION</v>
      </c>
      <c r="D119" s="212" t="str">
        <f>IFERROR(__xludf.DUMMYFUNCTION("""COMPUTED_VALUE"""),"COLACION =  5 DIAS/SEMANA")</f>
        <v>COLACION =  5 DIAS/SEMANA</v>
      </c>
      <c r="E119" s="218">
        <f>IFERROR(__xludf.DUMMYFUNCTION("""COMPUTED_VALUE"""),5.0)</f>
        <v>5</v>
      </c>
      <c r="F119" s="212" t="str">
        <f>IFERROR(__xludf.DUMMYFUNCTION("""COMPUTED_VALUE"""),"Independiente")</f>
        <v>Independiente</v>
      </c>
      <c r="G119" s="215">
        <f>IFERROR(__xludf.DUMMYFUNCTION("""COMPUTED_VALUE"""),5.0)</f>
        <v>5</v>
      </c>
      <c r="H119" s="216" t="str">
        <f>IFERROR(__xludf.DUMMYFUNCTION("""COMPUTED_VALUE"""),"ALEJANDRO REYES MURILLODERECHO FUNCIONARIOCOLACIONCOLACION =  5 DIAS/SEMANA")</f>
        <v>ALEJANDRO REYES MURILLODERECHO FUNCIONARIOCOLACIONCOLACION =  5 DIAS/SEMANA</v>
      </c>
      <c r="I119" s="216"/>
      <c r="J119" s="216"/>
      <c r="K119" s="216"/>
      <c r="L119" s="217"/>
    </row>
    <row r="120" ht="18.0" customHeight="1">
      <c r="A120" s="212" t="str">
        <f>IFERROR(__xludf.DUMMYFUNCTION("""COMPUTED_VALUE"""),"ANGELA ZUÑIGA MUGA")</f>
        <v>ANGELA ZUÑIGA MUGA</v>
      </c>
      <c r="B120" s="212" t="str">
        <f>IFERROR(__xludf.DUMMYFUNCTION("""COMPUTED_VALUE"""),"DERECHO FUNCIONARIO")</f>
        <v>DERECHO FUNCIONARIO</v>
      </c>
      <c r="C120" s="212" t="str">
        <f>IFERROR(__xludf.DUMMYFUNCTION("""COMPUTED_VALUE"""),"COLACION")</f>
        <v>COLACION</v>
      </c>
      <c r="D120" s="212" t="str">
        <f>IFERROR(__xludf.DUMMYFUNCTION("""COMPUTED_VALUE"""),"COLACION =  5 DIAS/SEMANA")</f>
        <v>COLACION =  5 DIAS/SEMANA</v>
      </c>
      <c r="E120" s="218">
        <f>IFERROR(__xludf.DUMMYFUNCTION("""COMPUTED_VALUE"""),5.0)</f>
        <v>5</v>
      </c>
      <c r="F120" s="212" t="str">
        <f>IFERROR(__xludf.DUMMYFUNCTION("""COMPUTED_VALUE"""),"Independiente")</f>
        <v>Independiente</v>
      </c>
      <c r="G120" s="215">
        <f>IFERROR(__xludf.DUMMYFUNCTION("""COMPUTED_VALUE"""),5.0)</f>
        <v>5</v>
      </c>
      <c r="H120" s="216" t="str">
        <f>IFERROR(__xludf.DUMMYFUNCTION("""COMPUTED_VALUE"""),"ANGELA ZUÑIGA MUGADERECHO FUNCIONARIOCOLACIONCOLACION =  5 DIAS/SEMANA")</f>
        <v>ANGELA ZUÑIGA MUGADERECHO FUNCIONARIOCOLACIONCOLACION =  5 DIAS/SEMANA</v>
      </c>
      <c r="I120" s="216"/>
      <c r="J120" s="216"/>
      <c r="K120" s="216"/>
      <c r="L120" s="217"/>
    </row>
    <row r="121" ht="18.0" customHeight="1">
      <c r="A121" s="212" t="str">
        <f>IFERROR(__xludf.DUMMYFUNCTION("""COMPUTED_VALUE"""),"CLAUDIO PINTO VILLALOBOS")</f>
        <v>CLAUDIO PINTO VILLALOBOS</v>
      </c>
      <c r="B121" s="212" t="str">
        <f>IFERROR(__xludf.DUMMYFUNCTION("""COMPUTED_VALUE"""),"DERECHO FUNCIONARIO")</f>
        <v>DERECHO FUNCIONARIO</v>
      </c>
      <c r="C121" s="212" t="str">
        <f>IFERROR(__xludf.DUMMYFUNCTION("""COMPUTED_VALUE"""),"COLACION")</f>
        <v>COLACION</v>
      </c>
      <c r="D121" s="212" t="str">
        <f>IFERROR(__xludf.DUMMYFUNCTION("""COMPUTED_VALUE"""),"COLACION =  2 DIAS/SEMANA")</f>
        <v>COLACION =  2 DIAS/SEMANA</v>
      </c>
      <c r="E121" s="218">
        <f>IFERROR(__xludf.DUMMYFUNCTION("""COMPUTED_VALUE"""),2.0)</f>
        <v>2</v>
      </c>
      <c r="F121" s="212" t="str">
        <f>IFERROR(__xludf.DUMMYFUNCTION("""COMPUTED_VALUE"""),"Independiente")</f>
        <v>Independiente</v>
      </c>
      <c r="G121" s="215">
        <f>IFERROR(__xludf.DUMMYFUNCTION("""COMPUTED_VALUE"""),2.0)</f>
        <v>2</v>
      </c>
      <c r="H121" s="216" t="str">
        <f>IFERROR(__xludf.DUMMYFUNCTION("""COMPUTED_VALUE"""),"CLAUDIO PINTO VILLALOBOSDERECHO FUNCIONARIOCOLACIONCOLACION =  2 DIAS/SEMANA")</f>
        <v>CLAUDIO PINTO VILLALOBOSDERECHO FUNCIONARIOCOLACIONCOLACION =  2 DIAS/SEMANA</v>
      </c>
      <c r="I121" s="216"/>
      <c r="J121" s="216"/>
      <c r="K121" s="216"/>
      <c r="L121" s="217"/>
    </row>
    <row r="122" ht="18.0" customHeight="1">
      <c r="A122" s="212" t="str">
        <f>IFERROR(__xludf.DUMMYFUNCTION("""COMPUTED_VALUE"""),"CONSTANZA PALMA MONTERO")</f>
        <v>CONSTANZA PALMA MONTERO</v>
      </c>
      <c r="B122" s="212" t="str">
        <f>IFERROR(__xludf.DUMMYFUNCTION("""COMPUTED_VALUE"""),"DERECHO FUNCIONARIO")</f>
        <v>DERECHO FUNCIONARIO</v>
      </c>
      <c r="C122" s="212" t="str">
        <f>IFERROR(__xludf.DUMMYFUNCTION("""COMPUTED_VALUE"""),"COLACION")</f>
        <v>COLACION</v>
      </c>
      <c r="D122" s="212" t="str">
        <f>IFERROR(__xludf.DUMMYFUNCTION("""COMPUTED_VALUE"""),"COLACION =  5 DIAS/SEMANA")</f>
        <v>COLACION =  5 DIAS/SEMANA</v>
      </c>
      <c r="E122" s="218">
        <f>IFERROR(__xludf.DUMMYFUNCTION("""COMPUTED_VALUE"""),5.0)</f>
        <v>5</v>
      </c>
      <c r="F122" s="212" t="str">
        <f>IFERROR(__xludf.DUMMYFUNCTION("""COMPUTED_VALUE"""),"Independiente")</f>
        <v>Independiente</v>
      </c>
      <c r="G122" s="215">
        <f>IFERROR(__xludf.DUMMYFUNCTION("""COMPUTED_VALUE"""),5.0)</f>
        <v>5</v>
      </c>
      <c r="H122" s="216" t="str">
        <f>IFERROR(__xludf.DUMMYFUNCTION("""COMPUTED_VALUE"""),"CONSTANZA PALMA MONTERODERECHO FUNCIONARIOCOLACIONCOLACION =  5 DIAS/SEMANA")</f>
        <v>CONSTANZA PALMA MONTERODERECHO FUNCIONARIOCOLACIONCOLACION =  5 DIAS/SEMANA</v>
      </c>
      <c r="I122" s="216"/>
      <c r="J122" s="216"/>
      <c r="K122" s="216"/>
      <c r="L122" s="217"/>
    </row>
    <row r="123" ht="18.0" customHeight="1">
      <c r="A123" s="212" t="str">
        <f>IFERROR(__xludf.DUMMYFUNCTION("""COMPUTED_VALUE"""),"CRISTOBAL VELASQUEZ VASQUEZ")</f>
        <v>CRISTOBAL VELASQUEZ VASQUEZ</v>
      </c>
      <c r="B123" s="212" t="str">
        <f>IFERROR(__xludf.DUMMYFUNCTION("""COMPUTED_VALUE"""),"DERECHO FUNCIONARIO")</f>
        <v>DERECHO FUNCIONARIO</v>
      </c>
      <c r="C123" s="212" t="str">
        <f>IFERROR(__xludf.DUMMYFUNCTION("""COMPUTED_VALUE"""),"COLACION")</f>
        <v>COLACION</v>
      </c>
      <c r="D123" s="212" t="str">
        <f>IFERROR(__xludf.DUMMYFUNCTION("""COMPUTED_VALUE"""),"COLACION =  5 DIAS/SEMANA")</f>
        <v>COLACION =  5 DIAS/SEMANA</v>
      </c>
      <c r="E123" s="218">
        <f>IFERROR(__xludf.DUMMYFUNCTION("""COMPUTED_VALUE"""),5.0)</f>
        <v>5</v>
      </c>
      <c r="F123" s="212" t="str">
        <f>IFERROR(__xludf.DUMMYFUNCTION("""COMPUTED_VALUE"""),"Independiente")</f>
        <v>Independiente</v>
      </c>
      <c r="G123" s="215">
        <f>IFERROR(__xludf.DUMMYFUNCTION("""COMPUTED_VALUE"""),5.0)</f>
        <v>5</v>
      </c>
      <c r="H123" s="216" t="str">
        <f>IFERROR(__xludf.DUMMYFUNCTION("""COMPUTED_VALUE"""),"CRISTOBAL VELASQUEZ VASQUEZDERECHO FUNCIONARIOCOLACIONCOLACION =  5 DIAS/SEMANA")</f>
        <v>CRISTOBAL VELASQUEZ VASQUEZDERECHO FUNCIONARIOCOLACIONCOLACION =  5 DIAS/SEMANA</v>
      </c>
      <c r="I123" s="216"/>
      <c r="J123" s="216"/>
      <c r="K123" s="216"/>
      <c r="L123" s="217"/>
    </row>
    <row r="124" ht="18.0" customHeight="1">
      <c r="A124" s="212" t="str">
        <f>IFERROR(__xludf.DUMMYFUNCTION("""COMPUTED_VALUE"""),"DANIELA ROJAS GAMBOA")</f>
        <v>DANIELA ROJAS GAMBOA</v>
      </c>
      <c r="B124" s="212" t="str">
        <f>IFERROR(__xludf.DUMMYFUNCTION("""COMPUTED_VALUE"""),"DERECHO FUNCIONARIO")</f>
        <v>DERECHO FUNCIONARIO</v>
      </c>
      <c r="C124" s="212" t="str">
        <f>IFERROR(__xludf.DUMMYFUNCTION("""COMPUTED_VALUE"""),"COLACION")</f>
        <v>COLACION</v>
      </c>
      <c r="D124" s="212" t="str">
        <f>IFERROR(__xludf.DUMMYFUNCTION("""COMPUTED_VALUE"""),"COLACION =  5 DIAS/SEMANA")</f>
        <v>COLACION =  5 DIAS/SEMANA</v>
      </c>
      <c r="E124" s="218">
        <f>IFERROR(__xludf.DUMMYFUNCTION("""COMPUTED_VALUE"""),5.0)</f>
        <v>5</v>
      </c>
      <c r="F124" s="212" t="str">
        <f>IFERROR(__xludf.DUMMYFUNCTION("""COMPUTED_VALUE"""),"Independiente")</f>
        <v>Independiente</v>
      </c>
      <c r="G124" s="215">
        <f>IFERROR(__xludf.DUMMYFUNCTION("""COMPUTED_VALUE"""),5.0)</f>
        <v>5</v>
      </c>
      <c r="H124" s="216" t="str">
        <f>IFERROR(__xludf.DUMMYFUNCTION("""COMPUTED_VALUE"""),"DANIELA ROJAS GAMBOADERECHO FUNCIONARIOCOLACIONCOLACION =  5 DIAS/SEMANA")</f>
        <v>DANIELA ROJAS GAMBOADERECHO FUNCIONARIOCOLACIONCOLACION =  5 DIAS/SEMANA</v>
      </c>
      <c r="I124" s="216"/>
      <c r="J124" s="216"/>
      <c r="K124" s="216"/>
      <c r="L124" s="217"/>
    </row>
    <row r="125" ht="18.0" customHeight="1">
      <c r="A125" s="212" t="str">
        <f>IFERROR(__xludf.DUMMYFUNCTION("""COMPUTED_VALUE"""),"EDGAR CARVAJAL TORRES")</f>
        <v>EDGAR CARVAJAL TORRES</v>
      </c>
      <c r="B125" s="212" t="str">
        <f>IFERROR(__xludf.DUMMYFUNCTION("""COMPUTED_VALUE"""),"DERECHO FUNCIONARIO")</f>
        <v>DERECHO FUNCIONARIO</v>
      </c>
      <c r="C125" s="212" t="str">
        <f>IFERROR(__xludf.DUMMYFUNCTION("""COMPUTED_VALUE"""),"COLACION")</f>
        <v>COLACION</v>
      </c>
      <c r="D125" s="212" t="str">
        <f>IFERROR(__xludf.DUMMYFUNCTION("""COMPUTED_VALUE"""),"COLACION =  3 DIAS/SEMANA")</f>
        <v>COLACION =  3 DIAS/SEMANA</v>
      </c>
      <c r="E125" s="218">
        <f>IFERROR(__xludf.DUMMYFUNCTION("""COMPUTED_VALUE"""),3.0)</f>
        <v>3</v>
      </c>
      <c r="F125" s="212" t="str">
        <f>IFERROR(__xludf.DUMMYFUNCTION("""COMPUTED_VALUE"""),"Independiente")</f>
        <v>Independiente</v>
      </c>
      <c r="G125" s="215">
        <f>IFERROR(__xludf.DUMMYFUNCTION("""COMPUTED_VALUE"""),3.0)</f>
        <v>3</v>
      </c>
      <c r="H125" s="216" t="str">
        <f>IFERROR(__xludf.DUMMYFUNCTION("""COMPUTED_VALUE"""),"EDGAR CARVAJAL TORRESDERECHO FUNCIONARIOCOLACIONCOLACION =  3 DIAS/SEMANA")</f>
        <v>EDGAR CARVAJAL TORRESDERECHO FUNCIONARIOCOLACIONCOLACION =  3 DIAS/SEMANA</v>
      </c>
      <c r="I125" s="216"/>
      <c r="J125" s="216"/>
      <c r="K125" s="216"/>
      <c r="L125" s="217"/>
    </row>
    <row r="126" ht="18.0" customHeight="1">
      <c r="A126" s="212" t="str">
        <f>IFERROR(__xludf.DUMMYFUNCTION("""COMPUTED_VALUE"""),"ELIZABETH ZARATE ROJAS")</f>
        <v>ELIZABETH ZARATE ROJAS</v>
      </c>
      <c r="B126" s="212" t="str">
        <f>IFERROR(__xludf.DUMMYFUNCTION("""COMPUTED_VALUE"""),"DERECHO FUNCIONARIO")</f>
        <v>DERECHO FUNCIONARIO</v>
      </c>
      <c r="C126" s="212" t="str">
        <f>IFERROR(__xludf.DUMMYFUNCTION("""COMPUTED_VALUE"""),"COLACION")</f>
        <v>COLACION</v>
      </c>
      <c r="D126" s="212" t="str">
        <f>IFERROR(__xludf.DUMMYFUNCTION("""COMPUTED_VALUE"""),"COLACION =  2 DIAS/SEMANA")</f>
        <v>COLACION =  2 DIAS/SEMANA</v>
      </c>
      <c r="E126" s="218">
        <f>IFERROR(__xludf.DUMMYFUNCTION("""COMPUTED_VALUE"""),2.0)</f>
        <v>2</v>
      </c>
      <c r="F126" s="212" t="str">
        <f>IFERROR(__xludf.DUMMYFUNCTION("""COMPUTED_VALUE"""),"Independiente")</f>
        <v>Independiente</v>
      </c>
      <c r="G126" s="215">
        <f>IFERROR(__xludf.DUMMYFUNCTION("""COMPUTED_VALUE"""),2.0)</f>
        <v>2</v>
      </c>
      <c r="H126" s="216" t="str">
        <f>IFERROR(__xludf.DUMMYFUNCTION("""COMPUTED_VALUE"""),"ELIZABETH ZARATE ROJASDERECHO FUNCIONARIOCOLACIONCOLACION =  2 DIAS/SEMANA")</f>
        <v>ELIZABETH ZARATE ROJASDERECHO FUNCIONARIOCOLACIONCOLACION =  2 DIAS/SEMANA</v>
      </c>
      <c r="I126" s="216"/>
      <c r="J126" s="216"/>
      <c r="K126" s="216"/>
      <c r="L126" s="217"/>
    </row>
    <row r="127" ht="18.0" customHeight="1">
      <c r="A127" s="212" t="str">
        <f>IFERROR(__xludf.DUMMYFUNCTION("""COMPUTED_VALUE"""),"FANNY QUINTANILLA CORDERO")</f>
        <v>FANNY QUINTANILLA CORDERO</v>
      </c>
      <c r="B127" s="212" t="str">
        <f>IFERROR(__xludf.DUMMYFUNCTION("""COMPUTED_VALUE"""),"DERECHO FUNCIONARIO")</f>
        <v>DERECHO FUNCIONARIO</v>
      </c>
      <c r="C127" s="212" t="str">
        <f>IFERROR(__xludf.DUMMYFUNCTION("""COMPUTED_VALUE"""),"COLACION")</f>
        <v>COLACION</v>
      </c>
      <c r="D127" s="212" t="str">
        <f>IFERROR(__xludf.DUMMYFUNCTION("""COMPUTED_VALUE"""),"COLACION =  2 DIAS/SEMANA")</f>
        <v>COLACION =  2 DIAS/SEMANA</v>
      </c>
      <c r="E127" s="218">
        <f>IFERROR(__xludf.DUMMYFUNCTION("""COMPUTED_VALUE"""),2.0)</f>
        <v>2</v>
      </c>
      <c r="F127" s="212" t="str">
        <f>IFERROR(__xludf.DUMMYFUNCTION("""COMPUTED_VALUE"""),"Independiente")</f>
        <v>Independiente</v>
      </c>
      <c r="G127" s="215">
        <f>IFERROR(__xludf.DUMMYFUNCTION("""COMPUTED_VALUE"""),2.0)</f>
        <v>2</v>
      </c>
      <c r="H127" s="216" t="str">
        <f>IFERROR(__xludf.DUMMYFUNCTION("""COMPUTED_VALUE"""),"FANNY QUINTANILLA CORDERODERECHO FUNCIONARIOCOLACIONCOLACION =  2 DIAS/SEMANA")</f>
        <v>FANNY QUINTANILLA CORDERODERECHO FUNCIONARIOCOLACIONCOLACION =  2 DIAS/SEMANA</v>
      </c>
      <c r="I127" s="216"/>
      <c r="J127" s="216"/>
      <c r="K127" s="216"/>
      <c r="L127" s="217"/>
    </row>
    <row r="128" ht="18.0" customHeight="1">
      <c r="A128" s="212" t="str">
        <f>IFERROR(__xludf.DUMMYFUNCTION("""COMPUTED_VALUE"""),"GERARDO VALENCIA BERMUDEZ")</f>
        <v>GERARDO VALENCIA BERMUDEZ</v>
      </c>
      <c r="B128" s="212" t="str">
        <f>IFERROR(__xludf.DUMMYFUNCTION("""COMPUTED_VALUE"""),"DERECHO FUNCIONARIO")</f>
        <v>DERECHO FUNCIONARIO</v>
      </c>
      <c r="C128" s="212" t="str">
        <f>IFERROR(__xludf.DUMMYFUNCTION("""COMPUTED_VALUE"""),"COLACION")</f>
        <v>COLACION</v>
      </c>
      <c r="D128" s="212" t="str">
        <f>IFERROR(__xludf.DUMMYFUNCTION("""COMPUTED_VALUE"""),"COLACION =  5 DIAS/SEMANA")</f>
        <v>COLACION =  5 DIAS/SEMANA</v>
      </c>
      <c r="E128" s="218">
        <f>IFERROR(__xludf.DUMMYFUNCTION("""COMPUTED_VALUE"""),5.0)</f>
        <v>5</v>
      </c>
      <c r="F128" s="212" t="str">
        <f>IFERROR(__xludf.DUMMYFUNCTION("""COMPUTED_VALUE"""),"Independiente")</f>
        <v>Independiente</v>
      </c>
      <c r="G128" s="215">
        <f>IFERROR(__xludf.DUMMYFUNCTION("""COMPUTED_VALUE"""),5.0)</f>
        <v>5</v>
      </c>
      <c r="H128" s="216" t="str">
        <f>IFERROR(__xludf.DUMMYFUNCTION("""COMPUTED_VALUE"""),"GERARDO VALENCIA BERMUDEZDERECHO FUNCIONARIOCOLACIONCOLACION =  5 DIAS/SEMANA")</f>
        <v>GERARDO VALENCIA BERMUDEZDERECHO FUNCIONARIOCOLACIONCOLACION =  5 DIAS/SEMANA</v>
      </c>
      <c r="I128" s="216"/>
      <c r="J128" s="216"/>
      <c r="K128" s="216"/>
      <c r="L128" s="217"/>
    </row>
    <row r="129" ht="18.0" customHeight="1">
      <c r="A129" s="212" t="str">
        <f>IFERROR(__xludf.DUMMYFUNCTION("""COMPUTED_VALUE"""),"JAIME REYES TORO")</f>
        <v>JAIME REYES TORO</v>
      </c>
      <c r="B129" s="212" t="str">
        <f>IFERROR(__xludf.DUMMYFUNCTION("""COMPUTED_VALUE"""),"DERECHO FUNCIONARIO")</f>
        <v>DERECHO FUNCIONARIO</v>
      </c>
      <c r="C129" s="212" t="str">
        <f>IFERROR(__xludf.DUMMYFUNCTION("""COMPUTED_VALUE"""),"COLACION")</f>
        <v>COLACION</v>
      </c>
      <c r="D129" s="212" t="str">
        <f>IFERROR(__xludf.DUMMYFUNCTION("""COMPUTED_VALUE"""),"COLACION =  2 DIAS/SEMANA")</f>
        <v>COLACION =  2 DIAS/SEMANA</v>
      </c>
      <c r="E129" s="218">
        <f>IFERROR(__xludf.DUMMYFUNCTION("""COMPUTED_VALUE"""),2.0)</f>
        <v>2</v>
      </c>
      <c r="F129" s="212" t="str">
        <f>IFERROR(__xludf.DUMMYFUNCTION("""COMPUTED_VALUE"""),"Independiente")</f>
        <v>Independiente</v>
      </c>
      <c r="G129" s="215">
        <f>IFERROR(__xludf.DUMMYFUNCTION("""COMPUTED_VALUE"""),2.0)</f>
        <v>2</v>
      </c>
      <c r="H129" s="216" t="str">
        <f>IFERROR(__xludf.DUMMYFUNCTION("""COMPUTED_VALUE"""),"JAIME REYES TORODERECHO FUNCIONARIOCOLACIONCOLACION =  2 DIAS/SEMANA")</f>
        <v>JAIME REYES TORODERECHO FUNCIONARIOCOLACIONCOLACION =  2 DIAS/SEMANA</v>
      </c>
      <c r="I129" s="216"/>
      <c r="J129" s="216"/>
      <c r="K129" s="216"/>
      <c r="L129" s="217"/>
    </row>
    <row r="130" ht="18.0" customHeight="1">
      <c r="A130" s="212" t="str">
        <f>IFERROR(__xludf.DUMMYFUNCTION("""COMPUTED_VALUE"""),"KARINA MONTANARES")</f>
        <v>KARINA MONTANARES</v>
      </c>
      <c r="B130" s="212" t="str">
        <f>IFERROR(__xludf.DUMMYFUNCTION("""COMPUTED_VALUE"""),"DERECHO FUNCIONARIO")</f>
        <v>DERECHO FUNCIONARIO</v>
      </c>
      <c r="C130" s="212" t="str">
        <f>IFERROR(__xludf.DUMMYFUNCTION("""COMPUTED_VALUE"""),"COLACION")</f>
        <v>COLACION</v>
      </c>
      <c r="D130" s="212" t="str">
        <f>IFERROR(__xludf.DUMMYFUNCTION("""COMPUTED_VALUE"""),"COLACION =  2 DIAS/SEMANA")</f>
        <v>COLACION =  2 DIAS/SEMANA</v>
      </c>
      <c r="E130" s="218">
        <f>IFERROR(__xludf.DUMMYFUNCTION("""COMPUTED_VALUE"""),2.0)</f>
        <v>2</v>
      </c>
      <c r="F130" s="212" t="str">
        <f>IFERROR(__xludf.DUMMYFUNCTION("""COMPUTED_VALUE"""),"Independiente")</f>
        <v>Independiente</v>
      </c>
      <c r="G130" s="215">
        <f>IFERROR(__xludf.DUMMYFUNCTION("""COMPUTED_VALUE"""),2.0)</f>
        <v>2</v>
      </c>
      <c r="H130" s="216" t="str">
        <f>IFERROR(__xludf.DUMMYFUNCTION("""COMPUTED_VALUE"""),"KARINA MONTANARESDERECHO FUNCIONARIOCOLACIONCOLACION =  2 DIAS/SEMANA")</f>
        <v>KARINA MONTANARESDERECHO FUNCIONARIOCOLACIONCOLACION =  2 DIAS/SEMANA</v>
      </c>
      <c r="I130" s="216"/>
      <c r="J130" s="216"/>
      <c r="K130" s="216"/>
      <c r="L130" s="217"/>
    </row>
    <row r="131" ht="18.0" customHeight="1">
      <c r="A131" s="212" t="str">
        <f>IFERROR(__xludf.DUMMYFUNCTION("""COMPUTED_VALUE"""),"LUIS GONZALEZ SEPULVEDA")</f>
        <v>LUIS GONZALEZ SEPULVEDA</v>
      </c>
      <c r="B131" s="212" t="str">
        <f>IFERROR(__xludf.DUMMYFUNCTION("""COMPUTED_VALUE"""),"DERECHO FUNCIONARIO")</f>
        <v>DERECHO FUNCIONARIO</v>
      </c>
      <c r="C131" s="212" t="str">
        <f>IFERROR(__xludf.DUMMYFUNCTION("""COMPUTED_VALUE"""),"COLACION")</f>
        <v>COLACION</v>
      </c>
      <c r="D131" s="212" t="str">
        <f>IFERROR(__xludf.DUMMYFUNCTION("""COMPUTED_VALUE"""),"COLACION =  5 DIAS/SEMANA")</f>
        <v>COLACION =  5 DIAS/SEMANA</v>
      </c>
      <c r="E131" s="218">
        <f>IFERROR(__xludf.DUMMYFUNCTION("""COMPUTED_VALUE"""),5.0)</f>
        <v>5</v>
      </c>
      <c r="F131" s="212" t="str">
        <f>IFERROR(__xludf.DUMMYFUNCTION("""COMPUTED_VALUE"""),"Independiente")</f>
        <v>Independiente</v>
      </c>
      <c r="G131" s="215">
        <f>IFERROR(__xludf.DUMMYFUNCTION("""COMPUTED_VALUE"""),5.0)</f>
        <v>5</v>
      </c>
      <c r="H131" s="216" t="str">
        <f>IFERROR(__xludf.DUMMYFUNCTION("""COMPUTED_VALUE"""),"LUIS GONZALEZ SEPULVEDADERECHO FUNCIONARIOCOLACIONCOLACION =  5 DIAS/SEMANA")</f>
        <v>LUIS GONZALEZ SEPULVEDADERECHO FUNCIONARIOCOLACIONCOLACION =  5 DIAS/SEMANA</v>
      </c>
      <c r="I131" s="216"/>
      <c r="J131" s="216"/>
      <c r="K131" s="216"/>
      <c r="L131" s="217"/>
    </row>
    <row r="132" ht="18.0" customHeight="1">
      <c r="A132" s="212" t="str">
        <f>IFERROR(__xludf.DUMMYFUNCTION("""COMPUTED_VALUE"""),"MYRRHA ANDAUR MARTINEZ")</f>
        <v>MYRRHA ANDAUR MARTINEZ</v>
      </c>
      <c r="B132" s="212" t="str">
        <f>IFERROR(__xludf.DUMMYFUNCTION("""COMPUTED_VALUE"""),"DERECHO FUNCIONARIO")</f>
        <v>DERECHO FUNCIONARIO</v>
      </c>
      <c r="C132" s="212" t="str">
        <f>IFERROR(__xludf.DUMMYFUNCTION("""COMPUTED_VALUE"""),"COLACION")</f>
        <v>COLACION</v>
      </c>
      <c r="D132" s="212" t="str">
        <f>IFERROR(__xludf.DUMMYFUNCTION("""COMPUTED_VALUE"""),"COLACION =  5 DIAS/SEMANA")</f>
        <v>COLACION =  5 DIAS/SEMANA</v>
      </c>
      <c r="E132" s="218">
        <f>IFERROR(__xludf.DUMMYFUNCTION("""COMPUTED_VALUE"""),5.0)</f>
        <v>5</v>
      </c>
      <c r="F132" s="212" t="str">
        <f>IFERROR(__xludf.DUMMYFUNCTION("""COMPUTED_VALUE"""),"Independiente")</f>
        <v>Independiente</v>
      </c>
      <c r="G132" s="215">
        <f>IFERROR(__xludf.DUMMYFUNCTION("""COMPUTED_VALUE"""),5.0)</f>
        <v>5</v>
      </c>
      <c r="H132" s="216" t="str">
        <f>IFERROR(__xludf.DUMMYFUNCTION("""COMPUTED_VALUE"""),"MYRRHA ANDAUR MARTINEZDERECHO FUNCIONARIOCOLACIONCOLACION =  5 DIAS/SEMANA")</f>
        <v>MYRRHA ANDAUR MARTINEZDERECHO FUNCIONARIOCOLACIONCOLACION =  5 DIAS/SEMANA</v>
      </c>
      <c r="I132" s="216"/>
      <c r="J132" s="216"/>
      <c r="K132" s="216"/>
      <c r="L132" s="217"/>
    </row>
    <row r="133" ht="18.0" customHeight="1">
      <c r="A133" s="212" t="str">
        <f>IFERROR(__xludf.DUMMYFUNCTION("""COMPUTED_VALUE"""),"PAULINA DIAZ MEDINA")</f>
        <v>PAULINA DIAZ MEDINA</v>
      </c>
      <c r="B133" s="212" t="str">
        <f>IFERROR(__xludf.DUMMYFUNCTION("""COMPUTED_VALUE"""),"DERECHO FUNCIONARIO")</f>
        <v>DERECHO FUNCIONARIO</v>
      </c>
      <c r="C133" s="212" t="str">
        <f>IFERROR(__xludf.DUMMYFUNCTION("""COMPUTED_VALUE"""),"COLACION")</f>
        <v>COLACION</v>
      </c>
      <c r="D133" s="212" t="str">
        <f>IFERROR(__xludf.DUMMYFUNCTION("""COMPUTED_VALUE"""),"COLACION =  5 DIAS/SEMANA")</f>
        <v>COLACION =  5 DIAS/SEMANA</v>
      </c>
      <c r="E133" s="218">
        <f>IFERROR(__xludf.DUMMYFUNCTION("""COMPUTED_VALUE"""),5.0)</f>
        <v>5</v>
      </c>
      <c r="F133" s="212" t="str">
        <f>IFERROR(__xludf.DUMMYFUNCTION("""COMPUTED_VALUE"""),"Independiente")</f>
        <v>Independiente</v>
      </c>
      <c r="G133" s="215">
        <f>IFERROR(__xludf.DUMMYFUNCTION("""COMPUTED_VALUE"""),5.0)</f>
        <v>5</v>
      </c>
      <c r="H133" s="216" t="str">
        <f>IFERROR(__xludf.DUMMYFUNCTION("""COMPUTED_VALUE"""),"PAULINA DIAZ MEDINADERECHO FUNCIONARIOCOLACIONCOLACION =  5 DIAS/SEMANA")</f>
        <v>PAULINA DIAZ MEDINADERECHO FUNCIONARIOCOLACIONCOLACION =  5 DIAS/SEMANA</v>
      </c>
      <c r="I133" s="216"/>
      <c r="J133" s="216"/>
      <c r="K133" s="216"/>
      <c r="L133" s="217"/>
    </row>
    <row r="134" ht="18.0" customHeight="1">
      <c r="A134" s="212" t="str">
        <f>IFERROR(__xludf.DUMMYFUNCTION("""COMPUTED_VALUE"""),"SORAYA CRUCES DIAZ")</f>
        <v>SORAYA CRUCES DIAZ</v>
      </c>
      <c r="B134" s="212" t="str">
        <f>IFERROR(__xludf.DUMMYFUNCTION("""COMPUTED_VALUE"""),"DERECHO FUNCIONARIO")</f>
        <v>DERECHO FUNCIONARIO</v>
      </c>
      <c r="C134" s="212" t="str">
        <f>IFERROR(__xludf.DUMMYFUNCTION("""COMPUTED_VALUE"""),"COLACION")</f>
        <v>COLACION</v>
      </c>
      <c r="D134" s="212" t="str">
        <f>IFERROR(__xludf.DUMMYFUNCTION("""COMPUTED_VALUE"""),"COLACION =  5 DIAS/SEMANA")</f>
        <v>COLACION =  5 DIAS/SEMANA</v>
      </c>
      <c r="E134" s="218">
        <f>IFERROR(__xludf.DUMMYFUNCTION("""COMPUTED_VALUE"""),5.0)</f>
        <v>5</v>
      </c>
      <c r="F134" s="212" t="str">
        <f>IFERROR(__xludf.DUMMYFUNCTION("""COMPUTED_VALUE"""),"Independiente")</f>
        <v>Independiente</v>
      </c>
      <c r="G134" s="215">
        <f>IFERROR(__xludf.DUMMYFUNCTION("""COMPUTED_VALUE"""),5.0)</f>
        <v>5</v>
      </c>
      <c r="H134" s="216" t="str">
        <f>IFERROR(__xludf.DUMMYFUNCTION("""COMPUTED_VALUE"""),"SORAYA CRUCES DIAZDERECHO FUNCIONARIOCOLACIONCOLACION =  5 DIAS/SEMANA")</f>
        <v>SORAYA CRUCES DIAZDERECHO FUNCIONARIOCOLACIONCOLACION =  5 DIAS/SEMANA</v>
      </c>
      <c r="I134" s="216"/>
      <c r="J134" s="216"/>
      <c r="K134" s="216"/>
      <c r="L134" s="217"/>
    </row>
    <row r="135" ht="18.0" customHeight="1">
      <c r="A135" s="212" t="str">
        <f>IFERROR(__xludf.DUMMYFUNCTION("""COMPUTED_VALUE"""),"VALERIA NUÑEZ QUINCHEL")</f>
        <v>VALERIA NUÑEZ QUINCHEL</v>
      </c>
      <c r="B135" s="212" t="str">
        <f>IFERROR(__xludf.DUMMYFUNCTION("""COMPUTED_VALUE"""),"DERECHO FUNCIONARIO")</f>
        <v>DERECHO FUNCIONARIO</v>
      </c>
      <c r="C135" s="212" t="str">
        <f>IFERROR(__xludf.DUMMYFUNCTION("""COMPUTED_VALUE"""),"COLACION")</f>
        <v>COLACION</v>
      </c>
      <c r="D135" s="212" t="str">
        <f>IFERROR(__xludf.DUMMYFUNCTION("""COMPUTED_VALUE"""),"COLACION =  5 DIAS/SEMANA")</f>
        <v>COLACION =  5 DIAS/SEMANA</v>
      </c>
      <c r="E135" s="218">
        <f>IFERROR(__xludf.DUMMYFUNCTION("""COMPUTED_VALUE"""),5.0)</f>
        <v>5</v>
      </c>
      <c r="F135" s="212" t="str">
        <f>IFERROR(__xludf.DUMMYFUNCTION("""COMPUTED_VALUE"""),"Independiente")</f>
        <v>Independiente</v>
      </c>
      <c r="G135" s="215">
        <f>IFERROR(__xludf.DUMMYFUNCTION("""COMPUTED_VALUE"""),5.0)</f>
        <v>5</v>
      </c>
      <c r="H135" s="216" t="str">
        <f>IFERROR(__xludf.DUMMYFUNCTION("""COMPUTED_VALUE"""),"VALERIA NUÑEZ QUINCHELDERECHO FUNCIONARIOCOLACIONCOLACION =  5 DIAS/SEMANA")</f>
        <v>VALERIA NUÑEZ QUINCHELDERECHO FUNCIONARIOCOLACIONCOLACION =  5 DIAS/SEMANA</v>
      </c>
      <c r="I135" s="216"/>
      <c r="J135" s="216"/>
      <c r="K135" s="216"/>
      <c r="L135" s="217"/>
    </row>
    <row r="136" ht="18.0" customHeight="1">
      <c r="A136" s="212" t="str">
        <f>IFERROR(__xludf.DUMMYFUNCTION("""COMPUTED_VALUE"""),"VANESSA ESPINOZA ESPINOZA")</f>
        <v>VANESSA ESPINOZA ESPINOZA</v>
      </c>
      <c r="B136" s="212" t="str">
        <f>IFERROR(__xludf.DUMMYFUNCTION("""COMPUTED_VALUE"""),"DERECHO FUNCIONARIO")</f>
        <v>DERECHO FUNCIONARIO</v>
      </c>
      <c r="C136" s="212" t="str">
        <f>IFERROR(__xludf.DUMMYFUNCTION("""COMPUTED_VALUE"""),"COLACION")</f>
        <v>COLACION</v>
      </c>
      <c r="D136" s="212" t="str">
        <f>IFERROR(__xludf.DUMMYFUNCTION("""COMPUTED_VALUE"""),"COLACION =  5 DIAS/SEMANA")</f>
        <v>COLACION =  5 DIAS/SEMANA</v>
      </c>
      <c r="E136" s="218">
        <f>IFERROR(__xludf.DUMMYFUNCTION("""COMPUTED_VALUE"""),5.0)</f>
        <v>5</v>
      </c>
      <c r="F136" s="212" t="str">
        <f>IFERROR(__xludf.DUMMYFUNCTION("""COMPUTED_VALUE"""),"Independiente")</f>
        <v>Independiente</v>
      </c>
      <c r="G136" s="215">
        <f>IFERROR(__xludf.DUMMYFUNCTION("""COMPUTED_VALUE"""),5.0)</f>
        <v>5</v>
      </c>
      <c r="H136" s="216" t="str">
        <f>IFERROR(__xludf.DUMMYFUNCTION("""COMPUTED_VALUE"""),"VANESSA ESPINOZA ESPINOZADERECHO FUNCIONARIOCOLACIONCOLACION =  5 DIAS/SEMANA")</f>
        <v>VANESSA ESPINOZA ESPINOZADERECHO FUNCIONARIOCOLACIONCOLACION =  5 DIAS/SEMANA</v>
      </c>
      <c r="I136" s="216"/>
      <c r="J136" s="216"/>
      <c r="K136" s="216"/>
      <c r="L136" s="217"/>
    </row>
    <row r="137" ht="18.0" customHeight="1">
      <c r="A137" s="212" t="str">
        <f>IFERROR(__xludf.DUMMYFUNCTION("""COMPUTED_VALUE"""),"VANESSA ESPINOZA ESPINOZA")</f>
        <v>VANESSA ESPINOZA ESPINOZA</v>
      </c>
      <c r="B137" s="212" t="str">
        <f>IFERROR(__xludf.DUMMYFUNCTION("""COMPUTED_VALUE"""),"DERECHO FUNCIONARIO")</f>
        <v>DERECHO FUNCIONARIO</v>
      </c>
      <c r="C137" s="212" t="str">
        <f>IFERROR(__xludf.DUMMYFUNCTION("""COMPUTED_VALUE"""),"PAUSA SALUDABLE")</f>
        <v>PAUSA SALUDABLE</v>
      </c>
      <c r="D137" s="212" t="str">
        <f>IFERROR(__xludf.DUMMYFUNCTION("""COMPUTED_VALUE"""),"PAUSA SALUDABLE = 5/SEMANA")</f>
        <v>PAUSA SALUDABLE = 5/SEMANA</v>
      </c>
      <c r="E137" s="218">
        <f>IFERROR(__xludf.DUMMYFUNCTION("""COMPUTED_VALUE"""),1.25)</f>
        <v>1.25</v>
      </c>
      <c r="F137" s="212" t="str">
        <f>IFERROR(__xludf.DUMMYFUNCTION("""COMPUTED_VALUE"""),"Independiente")</f>
        <v>Independiente</v>
      </c>
      <c r="G137" s="215">
        <f>IFERROR(__xludf.DUMMYFUNCTION("""COMPUTED_VALUE"""),1.25)</f>
        <v>1.25</v>
      </c>
      <c r="H137" s="216" t="str">
        <f>IFERROR(__xludf.DUMMYFUNCTION("""COMPUTED_VALUE"""),"VANESSA ESPINOZA ESPINOZADERECHO FUNCIONARIOPAUSA SALUDABLEPAUSA SALUDABLE = 5/SEMANA")</f>
        <v>VANESSA ESPINOZA ESPINOZADERECHO FUNCIONARIOPAUSA SALUDABLEPAUSA SALUDABLE = 5/SEMANA</v>
      </c>
      <c r="I137" s="216"/>
      <c r="J137" s="216"/>
      <c r="K137" s="216"/>
      <c r="L137" s="217"/>
    </row>
    <row r="138" ht="18.0" customHeight="1">
      <c r="A138" s="212" t="str">
        <f>IFERROR(__xludf.DUMMYFUNCTION("""COMPUTED_VALUE"""),"ALEJANDRO REYES MURILLO")</f>
        <v>ALEJANDRO REYES MURILLO</v>
      </c>
      <c r="B138" s="212" t="str">
        <f>IFERROR(__xludf.DUMMYFUNCTION("""COMPUTED_VALUE"""),"DERECHO FUNCIONARIO")</f>
        <v>DERECHO FUNCIONARIO</v>
      </c>
      <c r="C138" s="212" t="str">
        <f>IFERROR(__xludf.DUMMYFUNCTION("""COMPUTED_VALUE"""),"PAUSA SALUDABLE")</f>
        <v>PAUSA SALUDABLE</v>
      </c>
      <c r="D138" s="212" t="str">
        <f>IFERROR(__xludf.DUMMYFUNCTION("""COMPUTED_VALUE"""),"PAUSA SALUDABLE = 5/SEMANA (20  MIN)")</f>
        <v>PAUSA SALUDABLE = 5/SEMANA (20  MIN)</v>
      </c>
      <c r="E138" s="218">
        <f>IFERROR(__xludf.DUMMYFUNCTION("""COMPUTED_VALUE"""),1.66)</f>
        <v>1.66</v>
      </c>
      <c r="F138" s="212" t="str">
        <f>IFERROR(__xludf.DUMMYFUNCTION("""COMPUTED_VALUE"""),"Independiente")</f>
        <v>Independiente</v>
      </c>
      <c r="G138" s="215">
        <f>IFERROR(__xludf.DUMMYFUNCTION("""COMPUTED_VALUE"""),1.66)</f>
        <v>1.66</v>
      </c>
      <c r="H138" s="216" t="str">
        <f>IFERROR(__xludf.DUMMYFUNCTION("""COMPUTED_VALUE"""),"ALEJANDRO REYES MURILLODERECHO FUNCIONARIOPAUSA SALUDABLEPAUSA SALUDABLE = 5/SEMANA (20  MIN)")</f>
        <v>ALEJANDRO REYES MURILLODERECHO FUNCIONARIOPAUSA SALUDABLEPAUSA SALUDABLE = 5/SEMANA (20  MIN)</v>
      </c>
      <c r="I138" s="216"/>
      <c r="J138" s="216"/>
      <c r="K138" s="216"/>
      <c r="L138" s="217"/>
    </row>
    <row r="139" ht="18.0" customHeight="1">
      <c r="A139" s="212" t="str">
        <f>IFERROR(__xludf.DUMMYFUNCTION("""COMPUTED_VALUE"""),"ANGELA ZUÑIGA MUGA")</f>
        <v>ANGELA ZUÑIGA MUGA</v>
      </c>
      <c r="B139" s="212" t="str">
        <f>IFERROR(__xludf.DUMMYFUNCTION("""COMPUTED_VALUE"""),"DERECHO FUNCIONARIO")</f>
        <v>DERECHO FUNCIONARIO</v>
      </c>
      <c r="C139" s="212" t="str">
        <f>IFERROR(__xludf.DUMMYFUNCTION("""COMPUTED_VALUE"""),"PAUSA SALUDABLE")</f>
        <v>PAUSA SALUDABLE</v>
      </c>
      <c r="D139" s="212" t="str">
        <f>IFERROR(__xludf.DUMMYFUNCTION("""COMPUTED_VALUE"""),"PAUSA SALUDABLE = 5/SEMANA")</f>
        <v>PAUSA SALUDABLE = 5/SEMANA</v>
      </c>
      <c r="E139" s="218">
        <f>IFERROR(__xludf.DUMMYFUNCTION("""COMPUTED_VALUE"""),1.25)</f>
        <v>1.25</v>
      </c>
      <c r="F139" s="212" t="str">
        <f>IFERROR(__xludf.DUMMYFUNCTION("""COMPUTED_VALUE"""),"Independiente")</f>
        <v>Independiente</v>
      </c>
      <c r="G139" s="215">
        <f>IFERROR(__xludf.DUMMYFUNCTION("""COMPUTED_VALUE"""),1.25)</f>
        <v>1.25</v>
      </c>
      <c r="H139" s="216" t="str">
        <f>IFERROR(__xludf.DUMMYFUNCTION("""COMPUTED_VALUE"""),"ANGELA ZUÑIGA MUGADERECHO FUNCIONARIOPAUSA SALUDABLEPAUSA SALUDABLE = 5/SEMANA")</f>
        <v>ANGELA ZUÑIGA MUGADERECHO FUNCIONARIOPAUSA SALUDABLEPAUSA SALUDABLE = 5/SEMANA</v>
      </c>
      <c r="I139" s="216"/>
      <c r="J139" s="216"/>
      <c r="K139" s="216"/>
      <c r="L139" s="217"/>
    </row>
    <row r="140" ht="18.0" customHeight="1">
      <c r="A140" s="212" t="str">
        <f>IFERROR(__xludf.DUMMYFUNCTION("""COMPUTED_VALUE"""),"CLAUDIO PINTO VILLALOBOS")</f>
        <v>CLAUDIO PINTO VILLALOBOS</v>
      </c>
      <c r="B140" s="212" t="str">
        <f>IFERROR(__xludf.DUMMYFUNCTION("""COMPUTED_VALUE"""),"DERECHO FUNCIONARIO")</f>
        <v>DERECHO FUNCIONARIO</v>
      </c>
      <c r="C140" s="212" t="str">
        <f>IFERROR(__xludf.DUMMYFUNCTION("""COMPUTED_VALUE"""),"PAUSA SALUDABLE")</f>
        <v>PAUSA SALUDABLE</v>
      </c>
      <c r="D140" s="212" t="str">
        <f>IFERROR(__xludf.DUMMYFUNCTION("""COMPUTED_VALUE"""),"PAUSA SALUDABLE = 5/SEMANA")</f>
        <v>PAUSA SALUDABLE = 5/SEMANA</v>
      </c>
      <c r="E140" s="218">
        <f>IFERROR(__xludf.DUMMYFUNCTION("""COMPUTED_VALUE"""),1.25)</f>
        <v>1.25</v>
      </c>
      <c r="F140" s="212" t="str">
        <f>IFERROR(__xludf.DUMMYFUNCTION("""COMPUTED_VALUE"""),"Independiente")</f>
        <v>Independiente</v>
      </c>
      <c r="G140" s="215">
        <f>IFERROR(__xludf.DUMMYFUNCTION("""COMPUTED_VALUE"""),1.25)</f>
        <v>1.25</v>
      </c>
      <c r="H140" s="216" t="str">
        <f>IFERROR(__xludf.DUMMYFUNCTION("""COMPUTED_VALUE"""),"CLAUDIO PINTO VILLALOBOSDERECHO FUNCIONARIOPAUSA SALUDABLEPAUSA SALUDABLE = 5/SEMANA")</f>
        <v>CLAUDIO PINTO VILLALOBOSDERECHO FUNCIONARIOPAUSA SALUDABLEPAUSA SALUDABLE = 5/SEMANA</v>
      </c>
      <c r="I140" s="216"/>
      <c r="J140" s="216"/>
      <c r="K140" s="216"/>
      <c r="L140" s="217"/>
    </row>
    <row r="141" ht="18.0" customHeight="1">
      <c r="A141" s="212" t="str">
        <f>IFERROR(__xludf.DUMMYFUNCTION("""COMPUTED_VALUE"""),"CONSTANZA PALMA MONTERO")</f>
        <v>CONSTANZA PALMA MONTERO</v>
      </c>
      <c r="B141" s="212" t="str">
        <f>IFERROR(__xludf.DUMMYFUNCTION("""COMPUTED_VALUE"""),"DERECHO FUNCIONARIO")</f>
        <v>DERECHO FUNCIONARIO</v>
      </c>
      <c r="C141" s="212" t="str">
        <f>IFERROR(__xludf.DUMMYFUNCTION("""COMPUTED_VALUE"""),"PAUSA SALUDABLE")</f>
        <v>PAUSA SALUDABLE</v>
      </c>
      <c r="D141" s="212" t="str">
        <f>IFERROR(__xludf.DUMMYFUNCTION("""COMPUTED_VALUE"""),"PAUSA SALUDABLE = 5/SEMANA")</f>
        <v>PAUSA SALUDABLE = 5/SEMANA</v>
      </c>
      <c r="E141" s="218">
        <f>IFERROR(__xludf.DUMMYFUNCTION("""COMPUTED_VALUE"""),1.25)</f>
        <v>1.25</v>
      </c>
      <c r="F141" s="212" t="str">
        <f>IFERROR(__xludf.DUMMYFUNCTION("""COMPUTED_VALUE"""),"Independiente")</f>
        <v>Independiente</v>
      </c>
      <c r="G141" s="215">
        <f>IFERROR(__xludf.DUMMYFUNCTION("""COMPUTED_VALUE"""),1.25)</f>
        <v>1.25</v>
      </c>
      <c r="H141" s="216" t="str">
        <f>IFERROR(__xludf.DUMMYFUNCTION("""COMPUTED_VALUE"""),"CONSTANZA PALMA MONTERODERECHO FUNCIONARIOPAUSA SALUDABLEPAUSA SALUDABLE = 5/SEMANA")</f>
        <v>CONSTANZA PALMA MONTERODERECHO FUNCIONARIOPAUSA SALUDABLEPAUSA SALUDABLE = 5/SEMANA</v>
      </c>
      <c r="I141" s="216"/>
      <c r="J141" s="216"/>
      <c r="K141" s="216"/>
      <c r="L141" s="217"/>
    </row>
    <row r="142" ht="18.0" customHeight="1">
      <c r="A142" s="212" t="str">
        <f>IFERROR(__xludf.DUMMYFUNCTION("""COMPUTED_VALUE"""),"CRISTOBAL VELASQUEZ VASQUEZ")</f>
        <v>CRISTOBAL VELASQUEZ VASQUEZ</v>
      </c>
      <c r="B142" s="212" t="str">
        <f>IFERROR(__xludf.DUMMYFUNCTION("""COMPUTED_VALUE"""),"DERECHO FUNCIONARIO")</f>
        <v>DERECHO FUNCIONARIO</v>
      </c>
      <c r="C142" s="212" t="str">
        <f>IFERROR(__xludf.DUMMYFUNCTION("""COMPUTED_VALUE"""),"PAUSA SALUDABLE")</f>
        <v>PAUSA SALUDABLE</v>
      </c>
      <c r="D142" s="212" t="str">
        <f>IFERROR(__xludf.DUMMYFUNCTION("""COMPUTED_VALUE"""),"PAUSA SALUDABLE = 5/SEMANA (20  MIN)")</f>
        <v>PAUSA SALUDABLE = 5/SEMANA (20  MIN)</v>
      </c>
      <c r="E142" s="218">
        <f>IFERROR(__xludf.DUMMYFUNCTION("""COMPUTED_VALUE"""),1.66)</f>
        <v>1.66</v>
      </c>
      <c r="F142" s="212" t="str">
        <f>IFERROR(__xludf.DUMMYFUNCTION("""COMPUTED_VALUE"""),"Independiente")</f>
        <v>Independiente</v>
      </c>
      <c r="G142" s="215">
        <f>IFERROR(__xludf.DUMMYFUNCTION("""COMPUTED_VALUE"""),1.66)</f>
        <v>1.66</v>
      </c>
      <c r="H142" s="216" t="str">
        <f>IFERROR(__xludf.DUMMYFUNCTION("""COMPUTED_VALUE"""),"CRISTOBAL VELASQUEZ VASQUEZDERECHO FUNCIONARIOPAUSA SALUDABLEPAUSA SALUDABLE = 5/SEMANA (20  MIN)")</f>
        <v>CRISTOBAL VELASQUEZ VASQUEZDERECHO FUNCIONARIOPAUSA SALUDABLEPAUSA SALUDABLE = 5/SEMANA (20  MIN)</v>
      </c>
      <c r="I142" s="216"/>
      <c r="J142" s="216"/>
      <c r="K142" s="216"/>
      <c r="L142" s="217"/>
    </row>
    <row r="143" ht="18.0" customHeight="1">
      <c r="A143" s="212" t="str">
        <f>IFERROR(__xludf.DUMMYFUNCTION("""COMPUTED_VALUE"""),"DANIELA ROJAS GAMBOA")</f>
        <v>DANIELA ROJAS GAMBOA</v>
      </c>
      <c r="B143" s="212" t="str">
        <f>IFERROR(__xludf.DUMMYFUNCTION("""COMPUTED_VALUE"""),"DERECHO FUNCIONARIO")</f>
        <v>DERECHO FUNCIONARIO</v>
      </c>
      <c r="C143" s="212" t="str">
        <f>IFERROR(__xludf.DUMMYFUNCTION("""COMPUTED_VALUE"""),"PAUSA SALUDABLE")</f>
        <v>PAUSA SALUDABLE</v>
      </c>
      <c r="D143" s="212" t="str">
        <f>IFERROR(__xludf.DUMMYFUNCTION("""COMPUTED_VALUE"""),"PAUSA SALUDABLE = 5/SEMANA")</f>
        <v>PAUSA SALUDABLE = 5/SEMANA</v>
      </c>
      <c r="E143" s="218">
        <f>IFERROR(__xludf.DUMMYFUNCTION("""COMPUTED_VALUE"""),1.25)</f>
        <v>1.25</v>
      </c>
      <c r="F143" s="212" t="str">
        <f>IFERROR(__xludf.DUMMYFUNCTION("""COMPUTED_VALUE"""),"Independiente")</f>
        <v>Independiente</v>
      </c>
      <c r="G143" s="215">
        <f>IFERROR(__xludf.DUMMYFUNCTION("""COMPUTED_VALUE"""),1.25)</f>
        <v>1.25</v>
      </c>
      <c r="H143" s="216" t="str">
        <f>IFERROR(__xludf.DUMMYFUNCTION("""COMPUTED_VALUE"""),"DANIELA ROJAS GAMBOADERECHO FUNCIONARIOPAUSA SALUDABLEPAUSA SALUDABLE = 5/SEMANA")</f>
        <v>DANIELA ROJAS GAMBOADERECHO FUNCIONARIOPAUSA SALUDABLEPAUSA SALUDABLE = 5/SEMANA</v>
      </c>
      <c r="I143" s="216"/>
      <c r="J143" s="216"/>
      <c r="K143" s="216"/>
      <c r="L143" s="217"/>
    </row>
    <row r="144" ht="18.0" customHeight="1">
      <c r="A144" s="212" t="str">
        <f>IFERROR(__xludf.DUMMYFUNCTION("""COMPUTED_VALUE"""),"EDGAR CARVAJAL TORRES")</f>
        <v>EDGAR CARVAJAL TORRES</v>
      </c>
      <c r="B144" s="212" t="str">
        <f>IFERROR(__xludf.DUMMYFUNCTION("""COMPUTED_VALUE"""),"DERECHO FUNCIONARIO")</f>
        <v>DERECHO FUNCIONARIO</v>
      </c>
      <c r="C144" s="212" t="str">
        <f>IFERROR(__xludf.DUMMYFUNCTION("""COMPUTED_VALUE"""),"PAUSA SALUDABLE")</f>
        <v>PAUSA SALUDABLE</v>
      </c>
      <c r="D144" s="212" t="str">
        <f>IFERROR(__xludf.DUMMYFUNCTION("""COMPUTED_VALUE"""),"PAUSA SALUDABLE = 5/SEMANA (20  MIN)")</f>
        <v>PAUSA SALUDABLE = 5/SEMANA (20  MIN)</v>
      </c>
      <c r="E144" s="218">
        <f>IFERROR(__xludf.DUMMYFUNCTION("""COMPUTED_VALUE"""),1.66)</f>
        <v>1.66</v>
      </c>
      <c r="F144" s="212" t="str">
        <f>IFERROR(__xludf.DUMMYFUNCTION("""COMPUTED_VALUE"""),"Independiente")</f>
        <v>Independiente</v>
      </c>
      <c r="G144" s="215">
        <f>IFERROR(__xludf.DUMMYFUNCTION("""COMPUTED_VALUE"""),1.66)</f>
        <v>1.66</v>
      </c>
      <c r="H144" s="216" t="str">
        <f>IFERROR(__xludf.DUMMYFUNCTION("""COMPUTED_VALUE"""),"EDGAR CARVAJAL TORRESDERECHO FUNCIONARIOPAUSA SALUDABLEPAUSA SALUDABLE = 5/SEMANA (20  MIN)")</f>
        <v>EDGAR CARVAJAL TORRESDERECHO FUNCIONARIOPAUSA SALUDABLEPAUSA SALUDABLE = 5/SEMANA (20  MIN)</v>
      </c>
      <c r="I144" s="216"/>
      <c r="J144" s="216"/>
      <c r="K144" s="216"/>
      <c r="L144" s="217"/>
    </row>
    <row r="145" ht="18.0" customHeight="1">
      <c r="A145" s="212" t="str">
        <f>IFERROR(__xludf.DUMMYFUNCTION("""COMPUTED_VALUE"""),"ELIZABETH ZARATE ROJAS")</f>
        <v>ELIZABETH ZARATE ROJAS</v>
      </c>
      <c r="B145" s="212" t="str">
        <f>IFERROR(__xludf.DUMMYFUNCTION("""COMPUTED_VALUE"""),"DERECHO FUNCIONARIO")</f>
        <v>DERECHO FUNCIONARIO</v>
      </c>
      <c r="C145" s="212" t="str">
        <f>IFERROR(__xludf.DUMMYFUNCTION("""COMPUTED_VALUE"""),"PAUSA SALUDABLE")</f>
        <v>PAUSA SALUDABLE</v>
      </c>
      <c r="D145" s="212" t="str">
        <f>IFERROR(__xludf.DUMMYFUNCTION("""COMPUTED_VALUE"""),"PAUSA SALUDABLE = 2/SEMANA")</f>
        <v>PAUSA SALUDABLE = 2/SEMANA</v>
      </c>
      <c r="E145" s="218">
        <f>IFERROR(__xludf.DUMMYFUNCTION("""COMPUTED_VALUE"""),0.5)</f>
        <v>0.5</v>
      </c>
      <c r="F145" s="212" t="str">
        <f>IFERROR(__xludf.DUMMYFUNCTION("""COMPUTED_VALUE"""),"Independiente")</f>
        <v>Independiente</v>
      </c>
      <c r="G145" s="215">
        <f>IFERROR(__xludf.DUMMYFUNCTION("""COMPUTED_VALUE"""),0.5)</f>
        <v>0.5</v>
      </c>
      <c r="H145" s="216" t="str">
        <f>IFERROR(__xludf.DUMMYFUNCTION("""COMPUTED_VALUE"""),"ELIZABETH ZARATE ROJASDERECHO FUNCIONARIOPAUSA SALUDABLEPAUSA SALUDABLE = 2/SEMANA")</f>
        <v>ELIZABETH ZARATE ROJASDERECHO FUNCIONARIOPAUSA SALUDABLEPAUSA SALUDABLE = 2/SEMANA</v>
      </c>
      <c r="I145" s="216"/>
      <c r="J145" s="216"/>
      <c r="K145" s="216"/>
      <c r="L145" s="217"/>
    </row>
    <row r="146" ht="18.0" customHeight="1">
      <c r="A146" s="212" t="str">
        <f>IFERROR(__xludf.DUMMYFUNCTION("""COMPUTED_VALUE"""),"FANNY QUINTANILLA CORDERO")</f>
        <v>FANNY QUINTANILLA CORDERO</v>
      </c>
      <c r="B146" s="212" t="str">
        <f>IFERROR(__xludf.DUMMYFUNCTION("""COMPUTED_VALUE"""),"DERECHO FUNCIONARIO")</f>
        <v>DERECHO FUNCIONARIO</v>
      </c>
      <c r="C146" s="212" t="str">
        <f>IFERROR(__xludf.DUMMYFUNCTION("""COMPUTED_VALUE"""),"PAUSA SALUDABLE")</f>
        <v>PAUSA SALUDABLE</v>
      </c>
      <c r="D146" s="212" t="str">
        <f>IFERROR(__xludf.DUMMYFUNCTION("""COMPUTED_VALUE"""),"PAUSA SALUDABLE = 2/SEMANA")</f>
        <v>PAUSA SALUDABLE = 2/SEMANA</v>
      </c>
      <c r="E146" s="218">
        <f>IFERROR(__xludf.DUMMYFUNCTION("""COMPUTED_VALUE"""),0.5)</f>
        <v>0.5</v>
      </c>
      <c r="F146" s="212" t="str">
        <f>IFERROR(__xludf.DUMMYFUNCTION("""COMPUTED_VALUE"""),"Independiente")</f>
        <v>Independiente</v>
      </c>
      <c r="G146" s="215">
        <f>IFERROR(__xludf.DUMMYFUNCTION("""COMPUTED_VALUE"""),0.5)</f>
        <v>0.5</v>
      </c>
      <c r="H146" s="216" t="str">
        <f>IFERROR(__xludf.DUMMYFUNCTION("""COMPUTED_VALUE"""),"FANNY QUINTANILLA CORDERODERECHO FUNCIONARIOPAUSA SALUDABLEPAUSA SALUDABLE = 2/SEMANA")</f>
        <v>FANNY QUINTANILLA CORDERODERECHO FUNCIONARIOPAUSA SALUDABLEPAUSA SALUDABLE = 2/SEMANA</v>
      </c>
      <c r="I146" s="216"/>
      <c r="J146" s="216"/>
      <c r="K146" s="216"/>
      <c r="L146" s="217"/>
    </row>
    <row r="147" ht="18.0" customHeight="1">
      <c r="A147" s="212" t="str">
        <f>IFERROR(__xludf.DUMMYFUNCTION("""COMPUTED_VALUE"""),"GERARDO VALENCIA BERMUDEZ")</f>
        <v>GERARDO VALENCIA BERMUDEZ</v>
      </c>
      <c r="B147" s="212" t="str">
        <f>IFERROR(__xludf.DUMMYFUNCTION("""COMPUTED_VALUE"""),"DERECHO FUNCIONARIO")</f>
        <v>DERECHO FUNCIONARIO</v>
      </c>
      <c r="C147" s="212" t="str">
        <f>IFERROR(__xludf.DUMMYFUNCTION("""COMPUTED_VALUE"""),"PAUSA SALUDABLE")</f>
        <v>PAUSA SALUDABLE</v>
      </c>
      <c r="D147" s="212" t="str">
        <f>IFERROR(__xludf.DUMMYFUNCTION("""COMPUTED_VALUE"""),"PAUSA SALUDABLE = 5/SEMANA")</f>
        <v>PAUSA SALUDABLE = 5/SEMANA</v>
      </c>
      <c r="E147" s="218">
        <f>IFERROR(__xludf.DUMMYFUNCTION("""COMPUTED_VALUE"""),1.25)</f>
        <v>1.25</v>
      </c>
      <c r="F147" s="212" t="str">
        <f>IFERROR(__xludf.DUMMYFUNCTION("""COMPUTED_VALUE"""),"Independiente")</f>
        <v>Independiente</v>
      </c>
      <c r="G147" s="215">
        <f>IFERROR(__xludf.DUMMYFUNCTION("""COMPUTED_VALUE"""),1.25)</f>
        <v>1.25</v>
      </c>
      <c r="H147" s="216" t="str">
        <f>IFERROR(__xludf.DUMMYFUNCTION("""COMPUTED_VALUE"""),"GERARDO VALENCIA BERMUDEZDERECHO FUNCIONARIOPAUSA SALUDABLEPAUSA SALUDABLE = 5/SEMANA")</f>
        <v>GERARDO VALENCIA BERMUDEZDERECHO FUNCIONARIOPAUSA SALUDABLEPAUSA SALUDABLE = 5/SEMANA</v>
      </c>
      <c r="I147" s="216"/>
      <c r="J147" s="216"/>
      <c r="K147" s="216"/>
      <c r="L147" s="217"/>
    </row>
    <row r="148" ht="18.0" customHeight="1">
      <c r="A148" s="212" t="str">
        <f>IFERROR(__xludf.DUMMYFUNCTION("""COMPUTED_VALUE"""),"JAIME REYES TORO")</f>
        <v>JAIME REYES TORO</v>
      </c>
      <c r="B148" s="212" t="str">
        <f>IFERROR(__xludf.DUMMYFUNCTION("""COMPUTED_VALUE"""),"DERECHO FUNCIONARIO")</f>
        <v>DERECHO FUNCIONARIO</v>
      </c>
      <c r="C148" s="212" t="str">
        <f>IFERROR(__xludf.DUMMYFUNCTION("""COMPUTED_VALUE"""),"PAUSA SALUDABLE")</f>
        <v>PAUSA SALUDABLE</v>
      </c>
      <c r="D148" s="212" t="str">
        <f>IFERROR(__xludf.DUMMYFUNCTION("""COMPUTED_VALUE"""),"PAUSA SALUDABLE = 3/SEMANA")</f>
        <v>PAUSA SALUDABLE = 3/SEMANA</v>
      </c>
      <c r="E148" s="218">
        <f>IFERROR(__xludf.DUMMYFUNCTION("""COMPUTED_VALUE"""),0.75)</f>
        <v>0.75</v>
      </c>
      <c r="F148" s="212" t="str">
        <f>IFERROR(__xludf.DUMMYFUNCTION("""COMPUTED_VALUE"""),"Independiente")</f>
        <v>Independiente</v>
      </c>
      <c r="G148" s="215">
        <f>IFERROR(__xludf.DUMMYFUNCTION("""COMPUTED_VALUE"""),0.75)</f>
        <v>0.75</v>
      </c>
      <c r="H148" s="216" t="str">
        <f>IFERROR(__xludf.DUMMYFUNCTION("""COMPUTED_VALUE"""),"JAIME REYES TORODERECHO FUNCIONARIOPAUSA SALUDABLEPAUSA SALUDABLE = 3/SEMANA")</f>
        <v>JAIME REYES TORODERECHO FUNCIONARIOPAUSA SALUDABLEPAUSA SALUDABLE = 3/SEMANA</v>
      </c>
      <c r="I148" s="216"/>
      <c r="J148" s="216"/>
      <c r="K148" s="216"/>
      <c r="L148" s="217"/>
    </row>
    <row r="149" ht="18.0" customHeight="1">
      <c r="A149" s="212" t="str">
        <f>IFERROR(__xludf.DUMMYFUNCTION("""COMPUTED_VALUE"""),"KARINA MONTANARES")</f>
        <v>KARINA MONTANARES</v>
      </c>
      <c r="B149" s="212" t="str">
        <f>IFERROR(__xludf.DUMMYFUNCTION("""COMPUTED_VALUE"""),"DERECHO FUNCIONARIO")</f>
        <v>DERECHO FUNCIONARIO</v>
      </c>
      <c r="C149" s="212" t="str">
        <f>IFERROR(__xludf.DUMMYFUNCTION("""COMPUTED_VALUE"""),"PAUSA SALUDABLE")</f>
        <v>PAUSA SALUDABLE</v>
      </c>
      <c r="D149" s="212" t="str">
        <f>IFERROR(__xludf.DUMMYFUNCTION("""COMPUTED_VALUE"""),"PAUSA SALUDABLE = 2/SEMANA")</f>
        <v>PAUSA SALUDABLE = 2/SEMANA</v>
      </c>
      <c r="E149" s="218">
        <f>IFERROR(__xludf.DUMMYFUNCTION("""COMPUTED_VALUE"""),0.5)</f>
        <v>0.5</v>
      </c>
      <c r="F149" s="212" t="str">
        <f>IFERROR(__xludf.DUMMYFUNCTION("""COMPUTED_VALUE"""),"Independiente")</f>
        <v>Independiente</v>
      </c>
      <c r="G149" s="215">
        <f>IFERROR(__xludf.DUMMYFUNCTION("""COMPUTED_VALUE"""),0.5)</f>
        <v>0.5</v>
      </c>
      <c r="H149" s="216" t="str">
        <f>IFERROR(__xludf.DUMMYFUNCTION("""COMPUTED_VALUE"""),"KARINA MONTANARESDERECHO FUNCIONARIOPAUSA SALUDABLEPAUSA SALUDABLE = 2/SEMANA")</f>
        <v>KARINA MONTANARESDERECHO FUNCIONARIOPAUSA SALUDABLEPAUSA SALUDABLE = 2/SEMANA</v>
      </c>
      <c r="I149" s="216"/>
      <c r="J149" s="216"/>
      <c r="K149" s="216"/>
      <c r="L149" s="217"/>
    </row>
    <row r="150" ht="18.0" customHeight="1">
      <c r="A150" s="212" t="str">
        <f>IFERROR(__xludf.DUMMYFUNCTION("""COMPUTED_VALUE"""),"LUIS GONZALEZ SEPULVEDA")</f>
        <v>LUIS GONZALEZ SEPULVEDA</v>
      </c>
      <c r="B150" s="212" t="str">
        <f>IFERROR(__xludf.DUMMYFUNCTION("""COMPUTED_VALUE"""),"DERECHO FUNCIONARIO")</f>
        <v>DERECHO FUNCIONARIO</v>
      </c>
      <c r="C150" s="212" t="str">
        <f>IFERROR(__xludf.DUMMYFUNCTION("""COMPUTED_VALUE"""),"PAUSA SALUDABLE")</f>
        <v>PAUSA SALUDABLE</v>
      </c>
      <c r="D150" s="212" t="str">
        <f>IFERROR(__xludf.DUMMYFUNCTION("""COMPUTED_VALUE"""),"PAUSA SALUDABLE = 5/SEMANA")</f>
        <v>PAUSA SALUDABLE = 5/SEMANA</v>
      </c>
      <c r="E150" s="218">
        <f>IFERROR(__xludf.DUMMYFUNCTION("""COMPUTED_VALUE"""),1.25)</f>
        <v>1.25</v>
      </c>
      <c r="F150" s="212" t="str">
        <f>IFERROR(__xludf.DUMMYFUNCTION("""COMPUTED_VALUE"""),"Independiente")</f>
        <v>Independiente</v>
      </c>
      <c r="G150" s="215">
        <f>IFERROR(__xludf.DUMMYFUNCTION("""COMPUTED_VALUE"""),1.25)</f>
        <v>1.25</v>
      </c>
      <c r="H150" s="216" t="str">
        <f>IFERROR(__xludf.DUMMYFUNCTION("""COMPUTED_VALUE"""),"LUIS GONZALEZ SEPULVEDADERECHO FUNCIONARIOPAUSA SALUDABLEPAUSA SALUDABLE = 5/SEMANA")</f>
        <v>LUIS GONZALEZ SEPULVEDADERECHO FUNCIONARIOPAUSA SALUDABLEPAUSA SALUDABLE = 5/SEMANA</v>
      </c>
      <c r="I150" s="216"/>
      <c r="J150" s="216"/>
      <c r="K150" s="216"/>
      <c r="L150" s="217"/>
    </row>
    <row r="151" ht="18.0" customHeight="1">
      <c r="A151" s="212" t="str">
        <f>IFERROR(__xludf.DUMMYFUNCTION("""COMPUTED_VALUE"""),"MARCELA JAQUE LIZAMA")</f>
        <v>MARCELA JAQUE LIZAMA</v>
      </c>
      <c r="B151" s="212" t="str">
        <f>IFERROR(__xludf.DUMMYFUNCTION("""COMPUTED_VALUE"""),"DERECHO FUNCIONARIO")</f>
        <v>DERECHO FUNCIONARIO</v>
      </c>
      <c r="C151" s="212" t="str">
        <f>IFERROR(__xludf.DUMMYFUNCTION("""COMPUTED_VALUE"""),"PAUSA SALUDABLE")</f>
        <v>PAUSA SALUDABLE</v>
      </c>
      <c r="D151" s="212" t="str">
        <f>IFERROR(__xludf.DUMMYFUNCTION("""COMPUTED_VALUE"""),"PAUSA SALUDABLE = 5/SEMANA")</f>
        <v>PAUSA SALUDABLE = 5/SEMANA</v>
      </c>
      <c r="E151" s="218">
        <f>IFERROR(__xludf.DUMMYFUNCTION("""COMPUTED_VALUE"""),1.25)</f>
        <v>1.25</v>
      </c>
      <c r="F151" s="212" t="str">
        <f>IFERROR(__xludf.DUMMYFUNCTION("""COMPUTED_VALUE"""),"Independiente")</f>
        <v>Independiente</v>
      </c>
      <c r="G151" s="215">
        <f>IFERROR(__xludf.DUMMYFUNCTION("""COMPUTED_VALUE"""),1.25)</f>
        <v>1.25</v>
      </c>
      <c r="H151" s="216" t="str">
        <f>IFERROR(__xludf.DUMMYFUNCTION("""COMPUTED_VALUE"""),"MARCELA JAQUE LIZAMADERECHO FUNCIONARIOPAUSA SALUDABLEPAUSA SALUDABLE = 5/SEMANA")</f>
        <v>MARCELA JAQUE LIZAMADERECHO FUNCIONARIOPAUSA SALUDABLEPAUSA SALUDABLE = 5/SEMANA</v>
      </c>
      <c r="I151" s="216"/>
      <c r="J151" s="216"/>
      <c r="K151" s="216"/>
      <c r="L151" s="217"/>
    </row>
    <row r="152" ht="18.0" customHeight="1">
      <c r="A152" s="212" t="str">
        <f>IFERROR(__xludf.DUMMYFUNCTION("""COMPUTED_VALUE"""),"MYRRHA ANDAUR MARTINEZ")</f>
        <v>MYRRHA ANDAUR MARTINEZ</v>
      </c>
      <c r="B152" s="212" t="str">
        <f>IFERROR(__xludf.DUMMYFUNCTION("""COMPUTED_VALUE"""),"DERECHO FUNCIONARIO")</f>
        <v>DERECHO FUNCIONARIO</v>
      </c>
      <c r="C152" s="212" t="str">
        <f>IFERROR(__xludf.DUMMYFUNCTION("""COMPUTED_VALUE"""),"PAUSA SALUDABLE")</f>
        <v>PAUSA SALUDABLE</v>
      </c>
      <c r="D152" s="212" t="str">
        <f>IFERROR(__xludf.DUMMYFUNCTION("""COMPUTED_VALUE"""),"PAUSA SALUDABLE = 5/SEMANA")</f>
        <v>PAUSA SALUDABLE = 5/SEMANA</v>
      </c>
      <c r="E152" s="218">
        <f>IFERROR(__xludf.DUMMYFUNCTION("""COMPUTED_VALUE"""),1.25)</f>
        <v>1.25</v>
      </c>
      <c r="F152" s="212" t="str">
        <f>IFERROR(__xludf.DUMMYFUNCTION("""COMPUTED_VALUE"""),"Independiente")</f>
        <v>Independiente</v>
      </c>
      <c r="G152" s="215">
        <f>IFERROR(__xludf.DUMMYFUNCTION("""COMPUTED_VALUE"""),1.25)</f>
        <v>1.25</v>
      </c>
      <c r="H152" s="216" t="str">
        <f>IFERROR(__xludf.DUMMYFUNCTION("""COMPUTED_VALUE"""),"MYRRHA ANDAUR MARTINEZDERECHO FUNCIONARIOPAUSA SALUDABLEPAUSA SALUDABLE = 5/SEMANA")</f>
        <v>MYRRHA ANDAUR MARTINEZDERECHO FUNCIONARIOPAUSA SALUDABLEPAUSA SALUDABLE = 5/SEMANA</v>
      </c>
      <c r="I152" s="216"/>
      <c r="J152" s="216"/>
      <c r="K152" s="216"/>
      <c r="L152" s="217"/>
    </row>
    <row r="153" ht="18.0" customHeight="1">
      <c r="A153" s="212" t="str">
        <f>IFERROR(__xludf.DUMMYFUNCTION("""COMPUTED_VALUE"""),"PAULINA DIAZ MEDINA")</f>
        <v>PAULINA DIAZ MEDINA</v>
      </c>
      <c r="B153" s="212" t="str">
        <f>IFERROR(__xludf.DUMMYFUNCTION("""COMPUTED_VALUE"""),"DERECHO FUNCIONARIO")</f>
        <v>DERECHO FUNCIONARIO</v>
      </c>
      <c r="C153" s="212" t="str">
        <f>IFERROR(__xludf.DUMMYFUNCTION("""COMPUTED_VALUE"""),"PAUSA SALUDABLE")</f>
        <v>PAUSA SALUDABLE</v>
      </c>
      <c r="D153" s="212" t="str">
        <f>IFERROR(__xludf.DUMMYFUNCTION("""COMPUTED_VALUE"""),"PAUSA SALUDABLE = 5/SEMANA")</f>
        <v>PAUSA SALUDABLE = 5/SEMANA</v>
      </c>
      <c r="E153" s="218">
        <f>IFERROR(__xludf.DUMMYFUNCTION("""COMPUTED_VALUE"""),1.25)</f>
        <v>1.25</v>
      </c>
      <c r="F153" s="212" t="str">
        <f>IFERROR(__xludf.DUMMYFUNCTION("""COMPUTED_VALUE"""),"Independiente")</f>
        <v>Independiente</v>
      </c>
      <c r="G153" s="215">
        <f>IFERROR(__xludf.DUMMYFUNCTION("""COMPUTED_VALUE"""),1.25)</f>
        <v>1.25</v>
      </c>
      <c r="H153" s="216" t="str">
        <f>IFERROR(__xludf.DUMMYFUNCTION("""COMPUTED_VALUE"""),"PAULINA DIAZ MEDINADERECHO FUNCIONARIOPAUSA SALUDABLEPAUSA SALUDABLE = 5/SEMANA")</f>
        <v>PAULINA DIAZ MEDINADERECHO FUNCIONARIOPAUSA SALUDABLEPAUSA SALUDABLE = 5/SEMANA</v>
      </c>
      <c r="I153" s="216"/>
      <c r="J153" s="216"/>
      <c r="K153" s="216"/>
      <c r="L153" s="217"/>
    </row>
    <row r="154" ht="18.0" customHeight="1">
      <c r="A154" s="212" t="str">
        <f>IFERROR(__xludf.DUMMYFUNCTION("""COMPUTED_VALUE"""),"SORAYA CRUCES DIAZ")</f>
        <v>SORAYA CRUCES DIAZ</v>
      </c>
      <c r="B154" s="212" t="str">
        <f>IFERROR(__xludf.DUMMYFUNCTION("""COMPUTED_VALUE"""),"DERECHO FUNCIONARIO")</f>
        <v>DERECHO FUNCIONARIO</v>
      </c>
      <c r="C154" s="212" t="str">
        <f>IFERROR(__xludf.DUMMYFUNCTION("""COMPUTED_VALUE"""),"PAUSA SALUDABLE")</f>
        <v>PAUSA SALUDABLE</v>
      </c>
      <c r="D154" s="212" t="str">
        <f>IFERROR(__xludf.DUMMYFUNCTION("""COMPUTED_VALUE"""),"PAUSA SALUDABLE = 5/SEMANA (20  MIN)")</f>
        <v>PAUSA SALUDABLE = 5/SEMANA (20  MIN)</v>
      </c>
      <c r="E154" s="218">
        <f>IFERROR(__xludf.DUMMYFUNCTION("""COMPUTED_VALUE"""),1.66)</f>
        <v>1.66</v>
      </c>
      <c r="F154" s="212" t="str">
        <f>IFERROR(__xludf.DUMMYFUNCTION("""COMPUTED_VALUE"""),"Independiente")</f>
        <v>Independiente</v>
      </c>
      <c r="G154" s="215">
        <f>IFERROR(__xludf.DUMMYFUNCTION("""COMPUTED_VALUE"""),1.66)</f>
        <v>1.66</v>
      </c>
      <c r="H154" s="216" t="str">
        <f>IFERROR(__xludf.DUMMYFUNCTION("""COMPUTED_VALUE"""),"SORAYA CRUCES DIAZDERECHO FUNCIONARIOPAUSA SALUDABLEPAUSA SALUDABLE = 5/SEMANA (20  MIN)")</f>
        <v>SORAYA CRUCES DIAZDERECHO FUNCIONARIOPAUSA SALUDABLEPAUSA SALUDABLE = 5/SEMANA (20  MIN)</v>
      </c>
      <c r="I154" s="216"/>
      <c r="J154" s="216"/>
      <c r="K154" s="216"/>
      <c r="L154" s="217"/>
    </row>
    <row r="155" ht="18.0" customHeight="1">
      <c r="A155" s="212" t="str">
        <f>IFERROR(__xludf.DUMMYFUNCTION("""COMPUTED_VALUE"""),"VALERIA NUÑEZ QUINCHEL")</f>
        <v>VALERIA NUÑEZ QUINCHEL</v>
      </c>
      <c r="B155" s="212" t="str">
        <f>IFERROR(__xludf.DUMMYFUNCTION("""COMPUTED_VALUE"""),"DERECHO FUNCIONARIO")</f>
        <v>DERECHO FUNCIONARIO</v>
      </c>
      <c r="C155" s="212" t="str">
        <f>IFERROR(__xludf.DUMMYFUNCTION("""COMPUTED_VALUE"""),"PAUSA SALUDABLE")</f>
        <v>PAUSA SALUDABLE</v>
      </c>
      <c r="D155" s="212" t="str">
        <f>IFERROR(__xludf.DUMMYFUNCTION("""COMPUTED_VALUE"""),"PAUSA SALUDABLE = 5/SEMANA")</f>
        <v>PAUSA SALUDABLE = 5/SEMANA</v>
      </c>
      <c r="E155" s="218">
        <f>IFERROR(__xludf.DUMMYFUNCTION("""COMPUTED_VALUE"""),1.25)</f>
        <v>1.25</v>
      </c>
      <c r="F155" s="212" t="str">
        <f>IFERROR(__xludf.DUMMYFUNCTION("""COMPUTED_VALUE"""),"Independiente")</f>
        <v>Independiente</v>
      </c>
      <c r="G155" s="215">
        <f>IFERROR(__xludf.DUMMYFUNCTION("""COMPUTED_VALUE"""),1.25)</f>
        <v>1.25</v>
      </c>
      <c r="H155" s="216" t="str">
        <f>IFERROR(__xludf.DUMMYFUNCTION("""COMPUTED_VALUE"""),"VALERIA NUÑEZ QUINCHELDERECHO FUNCIONARIOPAUSA SALUDABLEPAUSA SALUDABLE = 5/SEMANA")</f>
        <v>VALERIA NUÑEZ QUINCHELDERECHO FUNCIONARIOPAUSA SALUDABLEPAUSA SALUDABLE = 5/SEMANA</v>
      </c>
      <c r="I155" s="216"/>
      <c r="J155" s="216"/>
      <c r="K155" s="216"/>
      <c r="L155" s="217"/>
    </row>
    <row r="156" ht="18.0" customHeight="1">
      <c r="A156" s="212" t="str">
        <f>IFERROR(__xludf.DUMMYFUNCTION("""COMPUTED_VALUE"""),"CAROL AMBO AMPUERO")</f>
        <v>CAROL AMBO AMPUERO</v>
      </c>
      <c r="B156" s="212" t="str">
        <f>IFERROR(__xludf.DUMMYFUNCTION("""COMPUTED_VALUE"""),"DERECHO FUNCIONARIO")</f>
        <v>DERECHO FUNCIONARIO</v>
      </c>
      <c r="C156" s="212" t="str">
        <f>IFERROR(__xludf.DUMMYFUNCTION("""COMPUTED_VALUE"""),"PAUSA SALUDABLE")</f>
        <v>PAUSA SALUDABLE</v>
      </c>
      <c r="D156" s="212" t="str">
        <f>IFERROR(__xludf.DUMMYFUNCTION("""COMPUTED_VALUE"""),"PAUSA SALUDABLE = 5/SEMANA")</f>
        <v>PAUSA SALUDABLE = 5/SEMANA</v>
      </c>
      <c r="E156" s="218">
        <f>IFERROR(__xludf.DUMMYFUNCTION("""COMPUTED_VALUE"""),1.25)</f>
        <v>1.25</v>
      </c>
      <c r="F156" s="212" t="str">
        <f>IFERROR(__xludf.DUMMYFUNCTION("""COMPUTED_VALUE"""),"Independiente")</f>
        <v>Independiente</v>
      </c>
      <c r="G156" s="215">
        <f>IFERROR(__xludf.DUMMYFUNCTION("""COMPUTED_VALUE"""),1.25)</f>
        <v>1.25</v>
      </c>
      <c r="H156" s="216" t="str">
        <f>IFERROR(__xludf.DUMMYFUNCTION("""COMPUTED_VALUE"""),"CAROL AMBO AMPUERODERECHO FUNCIONARIOPAUSA SALUDABLEPAUSA SALUDABLE = 5/SEMANA")</f>
        <v>CAROL AMBO AMPUERODERECHO FUNCIONARIOPAUSA SALUDABLEPAUSA SALUDABLE = 5/SEMANA</v>
      </c>
      <c r="I156" s="216"/>
      <c r="J156" s="216"/>
      <c r="K156" s="216"/>
      <c r="L156" s="217"/>
    </row>
    <row r="157" ht="18.0" customHeight="1">
      <c r="A157" s="212" t="str">
        <f>IFERROR(__xludf.DUMMYFUNCTION("""COMPUTED_VALUE"""),"CAROL AMBO AMPUERO")</f>
        <v>CAROL AMBO AMPUERO</v>
      </c>
      <c r="B157" s="212" t="str">
        <f>IFERROR(__xludf.DUMMYFUNCTION("""COMPUTED_VALUE"""),"DERECHO FUNCIONARIO")</f>
        <v>DERECHO FUNCIONARIO</v>
      </c>
      <c r="C157" s="212" t="str">
        <f>IFERROR(__xludf.DUMMYFUNCTION("""COMPUTED_VALUE"""),"COLACION")</f>
        <v>COLACION</v>
      </c>
      <c r="D157" s="212" t="str">
        <f>IFERROR(__xludf.DUMMYFUNCTION("""COMPUTED_VALUE"""),"COLACION =  5 DIAS/SEMANA")</f>
        <v>COLACION =  5 DIAS/SEMANA</v>
      </c>
      <c r="E157" s="218">
        <f>IFERROR(__xludf.DUMMYFUNCTION("""COMPUTED_VALUE"""),5.0)</f>
        <v>5</v>
      </c>
      <c r="F157" s="212" t="str">
        <f>IFERROR(__xludf.DUMMYFUNCTION("""COMPUTED_VALUE"""),"Independiente")</f>
        <v>Independiente</v>
      </c>
      <c r="G157" s="215">
        <f>IFERROR(__xludf.DUMMYFUNCTION("""COMPUTED_VALUE"""),5.0)</f>
        <v>5</v>
      </c>
      <c r="H157" s="216" t="str">
        <f>IFERROR(__xludf.DUMMYFUNCTION("""COMPUTED_VALUE"""),"CAROL AMBO AMPUERODERECHO FUNCIONARIOCOLACIONCOLACION =  5 DIAS/SEMANA")</f>
        <v>CAROL AMBO AMPUERODERECHO FUNCIONARIOCOLACIONCOLACION =  5 DIAS/SEMANA</v>
      </c>
      <c r="I157" s="216"/>
      <c r="J157" s="216"/>
      <c r="K157" s="216"/>
      <c r="L157" s="217"/>
    </row>
    <row r="158" ht="18.0" customHeight="1">
      <c r="A158" s="212" t="str">
        <f>IFERROR(__xludf.DUMMYFUNCTION("""COMPUTED_VALUE"""),"PAULA ABARCA MORALES")</f>
        <v>PAULA ABARCA MORALES</v>
      </c>
      <c r="B158" s="212" t="str">
        <f>IFERROR(__xludf.DUMMYFUNCTION("""COMPUTED_VALUE"""),"DERECHO FUNCIONARIO")</f>
        <v>DERECHO FUNCIONARIO</v>
      </c>
      <c r="C158" s="212" t="str">
        <f>IFERROR(__xludf.DUMMYFUNCTION("""COMPUTED_VALUE"""),"COLACION")</f>
        <v>COLACION</v>
      </c>
      <c r="D158" s="212" t="str">
        <f>IFERROR(__xludf.DUMMYFUNCTION("""COMPUTED_VALUE"""),"COLACION =  5 DIAS/SEMANA")</f>
        <v>COLACION =  5 DIAS/SEMANA</v>
      </c>
      <c r="E158" s="218">
        <f>IFERROR(__xludf.DUMMYFUNCTION("""COMPUTED_VALUE"""),5.0)</f>
        <v>5</v>
      </c>
      <c r="F158" s="212" t="str">
        <f>IFERROR(__xludf.DUMMYFUNCTION("""COMPUTED_VALUE"""),"Independiente")</f>
        <v>Independiente</v>
      </c>
      <c r="G158" s="215">
        <f>IFERROR(__xludf.DUMMYFUNCTION("""COMPUTED_VALUE"""),5.0)</f>
        <v>5</v>
      </c>
      <c r="H158" s="216" t="str">
        <f>IFERROR(__xludf.DUMMYFUNCTION("""COMPUTED_VALUE"""),"PAULA ABARCA MORALESDERECHO FUNCIONARIOCOLACIONCOLACION =  5 DIAS/SEMANA")</f>
        <v>PAULA ABARCA MORALESDERECHO FUNCIONARIOCOLACIONCOLACION =  5 DIAS/SEMANA</v>
      </c>
      <c r="I158" s="216"/>
      <c r="J158" s="216"/>
      <c r="K158" s="216"/>
      <c r="L158" s="217"/>
    </row>
    <row r="159" ht="18.0" customHeight="1">
      <c r="A159" s="212" t="str">
        <f>IFERROR(__xludf.DUMMYFUNCTION("""COMPUTED_VALUE"""),"PAULA ABARCA MORALES")</f>
        <v>PAULA ABARCA MORALES</v>
      </c>
      <c r="B159" s="212" t="str">
        <f>IFERROR(__xludf.DUMMYFUNCTION("""COMPUTED_VALUE"""),"DERECHO FUNCIONARIO")</f>
        <v>DERECHO FUNCIONARIO</v>
      </c>
      <c r="C159" s="212" t="str">
        <f>IFERROR(__xludf.DUMMYFUNCTION("""COMPUTED_VALUE"""),"PAUSA SALUDABLE")</f>
        <v>PAUSA SALUDABLE</v>
      </c>
      <c r="D159" s="212" t="str">
        <f>IFERROR(__xludf.DUMMYFUNCTION("""COMPUTED_VALUE"""),"PAUSA SALUDABLE = 5/SEMANA")</f>
        <v>PAUSA SALUDABLE = 5/SEMANA</v>
      </c>
      <c r="E159" s="218">
        <f>IFERROR(__xludf.DUMMYFUNCTION("""COMPUTED_VALUE"""),1.25)</f>
        <v>1.25</v>
      </c>
      <c r="F159" s="212" t="str">
        <f>IFERROR(__xludf.DUMMYFUNCTION("""COMPUTED_VALUE"""),"Independiente")</f>
        <v>Independiente</v>
      </c>
      <c r="G159" s="215">
        <f>IFERROR(__xludf.DUMMYFUNCTION("""COMPUTED_VALUE"""),1.25)</f>
        <v>1.25</v>
      </c>
      <c r="H159" s="216" t="str">
        <f>IFERROR(__xludf.DUMMYFUNCTION("""COMPUTED_VALUE"""),"PAULA ABARCA MORALESDERECHO FUNCIONARIOPAUSA SALUDABLEPAUSA SALUDABLE = 5/SEMANA")</f>
        <v>PAULA ABARCA MORALESDERECHO FUNCIONARIOPAUSA SALUDABLEPAUSA SALUDABLE = 5/SEMANA</v>
      </c>
      <c r="I159" s="216"/>
      <c r="J159" s="216"/>
      <c r="K159" s="216"/>
      <c r="L159" s="217"/>
    </row>
    <row r="160" ht="18.0" customHeight="1">
      <c r="A160" s="212"/>
      <c r="B160" s="212"/>
      <c r="C160" s="212"/>
      <c r="D160" s="212"/>
      <c r="E160" s="218"/>
      <c r="F160" s="212"/>
      <c r="G160" s="215"/>
      <c r="H160" s="216"/>
      <c r="I160" s="216"/>
      <c r="J160" s="216"/>
      <c r="K160" s="216"/>
      <c r="L160" s="217"/>
    </row>
    <row r="161" ht="18.0" customHeight="1">
      <c r="A161" s="212"/>
      <c r="B161" s="212"/>
      <c r="C161" s="212"/>
      <c r="D161" s="212"/>
      <c r="E161" s="218"/>
      <c r="F161" s="212"/>
      <c r="G161" s="215"/>
      <c r="H161" s="216"/>
      <c r="I161" s="216"/>
      <c r="J161" s="216"/>
      <c r="K161" s="216"/>
      <c r="L161" s="217"/>
    </row>
    <row r="162" ht="18.0" customHeight="1">
      <c r="A162" s="212"/>
      <c r="B162" s="212"/>
      <c r="C162" s="212"/>
      <c r="D162" s="212"/>
      <c r="E162" s="218"/>
      <c r="F162" s="212"/>
      <c r="G162" s="215"/>
      <c r="H162" s="216"/>
      <c r="I162" s="216"/>
      <c r="J162" s="216"/>
      <c r="K162" s="216"/>
      <c r="L162" s="217"/>
    </row>
    <row r="163" ht="18.0" customHeight="1">
      <c r="A163" s="212"/>
      <c r="B163" s="212"/>
      <c r="C163" s="212"/>
      <c r="D163" s="212"/>
      <c r="E163" s="218"/>
      <c r="F163" s="212"/>
      <c r="G163" s="215"/>
      <c r="H163" s="216"/>
      <c r="I163" s="216"/>
      <c r="J163" s="216"/>
      <c r="K163" s="216"/>
      <c r="L163" s="217"/>
    </row>
    <row r="164" ht="18.0" customHeight="1">
      <c r="A164" s="212"/>
      <c r="B164" s="212"/>
      <c r="C164" s="212"/>
      <c r="D164" s="212"/>
      <c r="E164" s="218"/>
      <c r="F164" s="212"/>
      <c r="G164" s="215"/>
      <c r="H164" s="216"/>
      <c r="I164" s="216"/>
      <c r="J164" s="216"/>
      <c r="K164" s="216"/>
      <c r="L164" s="217"/>
    </row>
    <row r="165" ht="18.0" customHeight="1">
      <c r="A165" s="212"/>
      <c r="B165" s="212"/>
      <c r="C165" s="212"/>
      <c r="D165" s="212"/>
      <c r="E165" s="218"/>
      <c r="F165" s="212"/>
      <c r="G165" s="215"/>
      <c r="H165" s="216"/>
      <c r="I165" s="216"/>
      <c r="J165" s="216"/>
      <c r="K165" s="216"/>
      <c r="L165" s="217"/>
    </row>
    <row r="166" ht="18.0" customHeight="1">
      <c r="A166" s="212"/>
      <c r="B166" s="212"/>
      <c r="C166" s="212"/>
      <c r="D166" s="212"/>
      <c r="E166" s="218"/>
      <c r="F166" s="212"/>
      <c r="G166" s="215"/>
      <c r="H166" s="216"/>
      <c r="I166" s="216"/>
      <c r="J166" s="216"/>
      <c r="K166" s="216"/>
      <c r="L166" s="217"/>
    </row>
    <row r="167" ht="18.0" customHeight="1">
      <c r="A167" s="212"/>
      <c r="B167" s="212"/>
      <c r="C167" s="212"/>
      <c r="D167" s="212"/>
      <c r="E167" s="218"/>
      <c r="F167" s="212"/>
      <c r="G167" s="215"/>
      <c r="H167" s="216"/>
      <c r="I167" s="216"/>
      <c r="J167" s="216"/>
      <c r="K167" s="216"/>
      <c r="L167" s="217"/>
    </row>
    <row r="168" ht="18.0" customHeight="1">
      <c r="A168" s="212"/>
      <c r="B168" s="212"/>
      <c r="C168" s="212"/>
      <c r="D168" s="212"/>
      <c r="E168" s="218"/>
      <c r="F168" s="212"/>
      <c r="G168" s="215"/>
      <c r="H168" s="216"/>
      <c r="I168" s="216"/>
      <c r="J168" s="216"/>
      <c r="K168" s="216"/>
      <c r="L168" s="217"/>
    </row>
    <row r="169" ht="18.0" customHeight="1">
      <c r="A169" s="212"/>
      <c r="B169" s="212"/>
      <c r="C169" s="212"/>
      <c r="D169" s="212"/>
      <c r="E169" s="218"/>
      <c r="F169" s="212"/>
      <c r="G169" s="215"/>
      <c r="H169" s="216"/>
      <c r="I169" s="216"/>
      <c r="J169" s="216"/>
      <c r="K169" s="216"/>
      <c r="L169" s="217"/>
    </row>
    <row r="170" ht="18.0" customHeight="1">
      <c r="A170" s="212"/>
      <c r="B170" s="212"/>
      <c r="C170" s="212"/>
      <c r="D170" s="212"/>
      <c r="E170" s="218"/>
      <c r="F170" s="212"/>
      <c r="G170" s="215"/>
      <c r="H170" s="216"/>
      <c r="I170" s="216"/>
      <c r="J170" s="216"/>
      <c r="K170" s="216"/>
      <c r="L170" s="217"/>
    </row>
    <row r="171" ht="18.0" customHeight="1">
      <c r="A171" s="212"/>
      <c r="B171" s="212"/>
      <c r="C171" s="212"/>
      <c r="D171" s="212"/>
      <c r="E171" s="218"/>
      <c r="F171" s="212"/>
      <c r="G171" s="215"/>
      <c r="H171" s="216"/>
      <c r="I171" s="216"/>
      <c r="J171" s="216"/>
      <c r="K171" s="216"/>
      <c r="L171" s="217"/>
    </row>
    <row r="172" ht="18.0" customHeight="1">
      <c r="A172" s="212"/>
      <c r="B172" s="212"/>
      <c r="C172" s="212"/>
      <c r="D172" s="212"/>
      <c r="E172" s="218"/>
      <c r="F172" s="212"/>
      <c r="G172" s="215"/>
      <c r="H172" s="216"/>
      <c r="I172" s="216"/>
      <c r="J172" s="216"/>
      <c r="K172" s="216"/>
      <c r="L172" s="217"/>
    </row>
    <row r="173" ht="18.0" customHeight="1">
      <c r="A173" s="212"/>
      <c r="B173" s="212"/>
      <c r="C173" s="212"/>
      <c r="D173" s="212"/>
      <c r="E173" s="218"/>
      <c r="F173" s="212"/>
      <c r="G173" s="215"/>
      <c r="H173" s="216"/>
      <c r="I173" s="216"/>
      <c r="J173" s="216"/>
      <c r="K173" s="216"/>
      <c r="L173" s="217"/>
    </row>
    <row r="174" ht="18.0" customHeight="1">
      <c r="A174" s="212"/>
      <c r="B174" s="212"/>
      <c r="C174" s="212"/>
      <c r="D174" s="212"/>
      <c r="E174" s="218"/>
      <c r="F174" s="212"/>
      <c r="G174" s="215"/>
      <c r="H174" s="216"/>
      <c r="I174" s="216"/>
      <c r="J174" s="216"/>
      <c r="K174" s="216"/>
      <c r="L174" s="217"/>
    </row>
    <row r="175" ht="18.0" customHeight="1">
      <c r="A175" s="212"/>
      <c r="B175" s="212"/>
      <c r="C175" s="212"/>
      <c r="D175" s="212"/>
      <c r="E175" s="218"/>
      <c r="F175" s="212"/>
      <c r="G175" s="215"/>
      <c r="H175" s="216"/>
      <c r="I175" s="216"/>
      <c r="J175" s="216"/>
      <c r="K175" s="216"/>
      <c r="L175" s="217"/>
    </row>
    <row r="176" ht="18.0" customHeight="1">
      <c r="A176" s="212"/>
      <c r="B176" s="212"/>
      <c r="C176" s="212"/>
      <c r="D176" s="212"/>
      <c r="E176" s="218"/>
      <c r="F176" s="212"/>
      <c r="G176" s="215"/>
      <c r="H176" s="216"/>
      <c r="I176" s="216"/>
      <c r="J176" s="216"/>
      <c r="K176" s="216"/>
      <c r="L176" s="217"/>
    </row>
    <row r="177" ht="18.0" customHeight="1">
      <c r="A177" s="212"/>
      <c r="B177" s="212"/>
      <c r="C177" s="212"/>
      <c r="D177" s="212"/>
      <c r="E177" s="218"/>
      <c r="F177" s="212"/>
      <c r="G177" s="215"/>
      <c r="H177" s="216"/>
      <c r="I177" s="216"/>
      <c r="J177" s="216"/>
      <c r="K177" s="216"/>
      <c r="L177" s="217"/>
    </row>
    <row r="178" ht="18.0" customHeight="1">
      <c r="A178" s="212"/>
      <c r="B178" s="212"/>
      <c r="C178" s="212"/>
      <c r="D178" s="212"/>
      <c r="E178" s="218"/>
      <c r="F178" s="212"/>
      <c r="G178" s="215"/>
      <c r="H178" s="216"/>
      <c r="I178" s="216"/>
      <c r="J178" s="216"/>
      <c r="K178" s="216"/>
      <c r="L178" s="217"/>
    </row>
    <row r="179" ht="18.0" customHeight="1">
      <c r="A179" s="212"/>
      <c r="B179" s="212"/>
      <c r="C179" s="212"/>
      <c r="D179" s="212"/>
      <c r="E179" s="218"/>
      <c r="F179" s="212"/>
      <c r="G179" s="215"/>
      <c r="H179" s="216"/>
      <c r="I179" s="216"/>
      <c r="J179" s="216"/>
      <c r="K179" s="216"/>
      <c r="L179" s="217"/>
    </row>
    <row r="180" ht="18.0" customHeight="1">
      <c r="A180" s="212"/>
      <c r="B180" s="212"/>
      <c r="C180" s="212"/>
      <c r="D180" s="212"/>
      <c r="E180" s="218"/>
      <c r="F180" s="212"/>
      <c r="G180" s="215"/>
      <c r="H180" s="216"/>
      <c r="I180" s="216"/>
      <c r="J180" s="216"/>
      <c r="K180" s="216"/>
      <c r="L180" s="217"/>
    </row>
    <row r="181" ht="18.0" customHeight="1">
      <c r="A181" s="212"/>
      <c r="B181" s="212"/>
      <c r="C181" s="212"/>
      <c r="D181" s="212"/>
      <c r="E181" s="218"/>
      <c r="F181" s="212"/>
      <c r="G181" s="215"/>
      <c r="H181" s="216"/>
      <c r="I181" s="216"/>
      <c r="J181" s="216"/>
      <c r="K181" s="216"/>
      <c r="L181" s="217"/>
    </row>
    <row r="182" ht="18.0" customHeight="1">
      <c r="A182" s="212"/>
      <c r="B182" s="212"/>
      <c r="C182" s="212"/>
      <c r="D182" s="212"/>
      <c r="E182" s="218"/>
      <c r="F182" s="212"/>
      <c r="G182" s="215"/>
      <c r="H182" s="216"/>
      <c r="I182" s="216"/>
      <c r="J182" s="216"/>
      <c r="K182" s="216"/>
      <c r="L182" s="217"/>
    </row>
    <row r="183" ht="18.0" customHeight="1">
      <c r="A183" s="212"/>
      <c r="B183" s="212"/>
      <c r="C183" s="212"/>
      <c r="D183" s="212"/>
      <c r="E183" s="218"/>
      <c r="F183" s="212"/>
      <c r="G183" s="215"/>
      <c r="H183" s="216"/>
      <c r="I183" s="216"/>
      <c r="J183" s="216"/>
      <c r="K183" s="216"/>
      <c r="L183" s="217"/>
    </row>
    <row r="184" ht="18.0" customHeight="1">
      <c r="A184" s="212"/>
      <c r="B184" s="212"/>
      <c r="C184" s="212"/>
      <c r="D184" s="212"/>
      <c r="E184" s="218"/>
      <c r="F184" s="212"/>
      <c r="G184" s="215"/>
      <c r="H184" s="216"/>
      <c r="I184" s="216"/>
      <c r="J184" s="216"/>
      <c r="K184" s="216"/>
      <c r="L184" s="217"/>
    </row>
    <row r="185" ht="18.0" customHeight="1">
      <c r="A185" s="212"/>
      <c r="B185" s="212"/>
      <c r="C185" s="212"/>
      <c r="D185" s="212"/>
      <c r="E185" s="218"/>
      <c r="F185" s="212"/>
      <c r="G185" s="215"/>
      <c r="H185" s="216"/>
      <c r="I185" s="216"/>
      <c r="J185" s="216"/>
      <c r="K185" s="216"/>
      <c r="L185" s="217"/>
    </row>
    <row r="186" ht="18.0" customHeight="1">
      <c r="A186" s="212"/>
      <c r="B186" s="212"/>
      <c r="C186" s="212"/>
      <c r="D186" s="212"/>
      <c r="E186" s="218"/>
      <c r="F186" s="212"/>
      <c r="G186" s="215"/>
      <c r="H186" s="216"/>
      <c r="I186" s="216"/>
      <c r="J186" s="216"/>
      <c r="K186" s="216"/>
      <c r="L186" s="217"/>
    </row>
    <row r="187" ht="18.0" customHeight="1">
      <c r="A187" s="212"/>
      <c r="B187" s="212"/>
      <c r="C187" s="212"/>
      <c r="D187" s="212"/>
      <c r="E187" s="218"/>
      <c r="F187" s="212"/>
      <c r="G187" s="215"/>
      <c r="H187" s="216"/>
      <c r="I187" s="216"/>
      <c r="J187" s="216"/>
      <c r="K187" s="216"/>
      <c r="L187" s="217"/>
    </row>
    <row r="188" ht="18.0" customHeight="1">
      <c r="A188" s="212"/>
      <c r="B188" s="212"/>
      <c r="C188" s="212"/>
      <c r="D188" s="212"/>
      <c r="E188" s="218"/>
      <c r="F188" s="212"/>
      <c r="G188" s="215"/>
      <c r="H188" s="216"/>
      <c r="I188" s="216"/>
      <c r="J188" s="216"/>
      <c r="K188" s="216"/>
      <c r="L188" s="217"/>
    </row>
    <row r="189" ht="18.0" customHeight="1">
      <c r="A189" s="212"/>
      <c r="B189" s="212"/>
      <c r="C189" s="212"/>
      <c r="D189" s="212"/>
      <c r="E189" s="218"/>
      <c r="F189" s="212"/>
      <c r="G189" s="215"/>
      <c r="H189" s="216"/>
      <c r="I189" s="216"/>
      <c r="J189" s="216"/>
      <c r="K189" s="216"/>
      <c r="L189" s="217"/>
    </row>
    <row r="190" ht="18.0" customHeight="1">
      <c r="A190" s="212"/>
      <c r="B190" s="212"/>
      <c r="C190" s="212"/>
      <c r="D190" s="212"/>
      <c r="E190" s="218"/>
      <c r="F190" s="212"/>
      <c r="G190" s="215"/>
      <c r="H190" s="216"/>
      <c r="I190" s="216"/>
      <c r="J190" s="216"/>
      <c r="K190" s="216"/>
      <c r="L190" s="217"/>
    </row>
    <row r="191" ht="18.0" customHeight="1">
      <c r="A191" s="212"/>
      <c r="B191" s="212"/>
      <c r="C191" s="212"/>
      <c r="D191" s="212"/>
      <c r="E191" s="218"/>
      <c r="F191" s="212"/>
      <c r="G191" s="215"/>
      <c r="H191" s="216"/>
      <c r="I191" s="216"/>
      <c r="J191" s="216"/>
      <c r="K191" s="216"/>
      <c r="L191" s="217"/>
    </row>
    <row r="192" ht="18.0" customHeight="1">
      <c r="A192" s="212"/>
      <c r="B192" s="212"/>
      <c r="C192" s="212"/>
      <c r="D192" s="212"/>
      <c r="E192" s="218"/>
      <c r="F192" s="212"/>
      <c r="G192" s="215"/>
      <c r="H192" s="216"/>
      <c r="I192" s="216"/>
      <c r="J192" s="216"/>
      <c r="K192" s="216"/>
      <c r="L192" s="217"/>
    </row>
    <row r="193" ht="18.0" customHeight="1">
      <c r="A193" s="212"/>
      <c r="B193" s="212"/>
      <c r="C193" s="212"/>
      <c r="D193" s="212"/>
      <c r="E193" s="218"/>
      <c r="F193" s="212"/>
      <c r="G193" s="215"/>
      <c r="H193" s="216"/>
      <c r="I193" s="216"/>
      <c r="J193" s="216"/>
      <c r="K193" s="216"/>
      <c r="L193" s="217"/>
    </row>
    <row r="194" ht="18.0" customHeight="1">
      <c r="A194" s="212"/>
      <c r="B194" s="212"/>
      <c r="C194" s="212"/>
      <c r="D194" s="212"/>
      <c r="E194" s="218"/>
      <c r="F194" s="212"/>
      <c r="G194" s="215"/>
      <c r="H194" s="216"/>
      <c r="I194" s="216"/>
      <c r="J194" s="216"/>
      <c r="K194" s="216"/>
      <c r="L194" s="217"/>
    </row>
    <row r="195" ht="18.0" customHeight="1">
      <c r="A195" s="212"/>
      <c r="B195" s="212"/>
      <c r="C195" s="212"/>
      <c r="D195" s="212"/>
      <c r="E195" s="218"/>
      <c r="F195" s="212"/>
      <c r="G195" s="215"/>
      <c r="H195" s="216"/>
      <c r="I195" s="216"/>
      <c r="J195" s="216"/>
      <c r="K195" s="216"/>
      <c r="L195" s="217"/>
    </row>
    <row r="196" ht="18.0" customHeight="1">
      <c r="A196" s="212"/>
      <c r="B196" s="212"/>
      <c r="C196" s="212"/>
      <c r="D196" s="212"/>
      <c r="E196" s="218"/>
      <c r="F196" s="212"/>
      <c r="G196" s="215"/>
      <c r="H196" s="216"/>
      <c r="I196" s="216"/>
      <c r="J196" s="216"/>
      <c r="K196" s="216"/>
      <c r="L196" s="217"/>
    </row>
    <row r="197" ht="18.0" customHeight="1">
      <c r="A197" s="212"/>
      <c r="B197" s="212"/>
      <c r="C197" s="212"/>
      <c r="D197" s="212"/>
      <c r="E197" s="218"/>
      <c r="F197" s="212"/>
      <c r="G197" s="215"/>
      <c r="H197" s="216"/>
      <c r="I197" s="216"/>
      <c r="J197" s="216"/>
      <c r="K197" s="216"/>
      <c r="L197" s="217"/>
    </row>
    <row r="198" ht="18.0" customHeight="1">
      <c r="A198" s="212"/>
      <c r="B198" s="212"/>
      <c r="C198" s="212"/>
      <c r="D198" s="212"/>
      <c r="E198" s="218"/>
      <c r="F198" s="212"/>
      <c r="G198" s="215"/>
      <c r="H198" s="216"/>
      <c r="I198" s="216"/>
      <c r="J198" s="216"/>
      <c r="K198" s="216"/>
      <c r="L198" s="217"/>
    </row>
    <row r="199" ht="18.0" customHeight="1">
      <c r="A199" s="212"/>
      <c r="B199" s="212"/>
      <c r="C199" s="212"/>
      <c r="D199" s="212"/>
      <c r="E199" s="218"/>
      <c r="F199" s="212"/>
      <c r="G199" s="215"/>
      <c r="H199" s="216"/>
      <c r="I199" s="216"/>
      <c r="J199" s="216"/>
      <c r="K199" s="216"/>
      <c r="L199" s="217"/>
    </row>
    <row r="200" ht="18.0" customHeight="1">
      <c r="A200" s="212"/>
      <c r="B200" s="212"/>
      <c r="C200" s="212"/>
      <c r="D200" s="212"/>
      <c r="E200" s="218"/>
      <c r="F200" s="212"/>
      <c r="G200" s="215"/>
      <c r="H200" s="216"/>
      <c r="I200" s="216"/>
      <c r="J200" s="216"/>
      <c r="K200" s="216"/>
      <c r="L200" s="217"/>
    </row>
    <row r="201" ht="18.0" customHeight="1">
      <c r="A201" s="212"/>
      <c r="B201" s="212"/>
      <c r="C201" s="212"/>
      <c r="D201" s="212"/>
      <c r="E201" s="218"/>
      <c r="F201" s="212"/>
      <c r="G201" s="215"/>
      <c r="H201" s="216"/>
      <c r="I201" s="216"/>
      <c r="J201" s="216"/>
      <c r="K201" s="216"/>
      <c r="L201" s="217"/>
    </row>
    <row r="202" ht="18.0" customHeight="1">
      <c r="A202" s="212"/>
      <c r="B202" s="212"/>
      <c r="C202" s="212"/>
      <c r="D202" s="212"/>
      <c r="E202" s="218"/>
      <c r="F202" s="212"/>
      <c r="G202" s="215"/>
      <c r="H202" s="216"/>
      <c r="I202" s="216"/>
      <c r="J202" s="216"/>
      <c r="K202" s="216"/>
      <c r="L202" s="217"/>
    </row>
    <row r="203" ht="18.0" customHeight="1">
      <c r="A203" s="212"/>
      <c r="B203" s="212"/>
      <c r="C203" s="212"/>
      <c r="D203" s="212"/>
      <c r="E203" s="218"/>
      <c r="F203" s="212"/>
      <c r="G203" s="215"/>
      <c r="H203" s="216"/>
      <c r="I203" s="216"/>
      <c r="J203" s="216"/>
      <c r="K203" s="216"/>
      <c r="L203" s="217"/>
    </row>
    <row r="204" ht="18.0" customHeight="1">
      <c r="A204" s="212"/>
      <c r="B204" s="212"/>
      <c r="C204" s="212"/>
      <c r="D204" s="212"/>
      <c r="E204" s="218"/>
      <c r="F204" s="212"/>
      <c r="G204" s="215"/>
      <c r="H204" s="216"/>
      <c r="I204" s="216"/>
      <c r="J204" s="216"/>
      <c r="K204" s="216"/>
      <c r="L204" s="217"/>
    </row>
    <row r="205" ht="18.0" customHeight="1">
      <c r="A205" s="212"/>
      <c r="B205" s="212"/>
      <c r="C205" s="212"/>
      <c r="D205" s="212"/>
      <c r="E205" s="218"/>
      <c r="F205" s="212"/>
      <c r="G205" s="215"/>
      <c r="H205" s="216"/>
      <c r="I205" s="216"/>
      <c r="J205" s="216"/>
      <c r="K205" s="216"/>
      <c r="L205" s="217"/>
    </row>
    <row r="206" ht="18.0" customHeight="1">
      <c r="A206" s="212"/>
      <c r="B206" s="212"/>
      <c r="C206" s="212"/>
      <c r="D206" s="212"/>
      <c r="E206" s="218"/>
      <c r="F206" s="212"/>
      <c r="G206" s="215"/>
      <c r="H206" s="216"/>
      <c r="I206" s="216"/>
      <c r="J206" s="216"/>
      <c r="K206" s="216"/>
      <c r="L206" s="217"/>
    </row>
    <row r="207" ht="18.0" customHeight="1">
      <c r="A207" s="212"/>
      <c r="B207" s="212"/>
      <c r="C207" s="212"/>
      <c r="D207" s="212"/>
      <c r="E207" s="218"/>
      <c r="F207" s="212"/>
      <c r="G207" s="215"/>
      <c r="H207" s="216"/>
      <c r="I207" s="216"/>
      <c r="J207" s="216"/>
      <c r="K207" s="216"/>
      <c r="L207" s="217"/>
    </row>
    <row r="208" ht="18.0" customHeight="1">
      <c r="A208" s="212"/>
      <c r="B208" s="212"/>
      <c r="C208" s="212"/>
      <c r="D208" s="212"/>
      <c r="E208" s="218"/>
      <c r="F208" s="212"/>
      <c r="G208" s="215"/>
      <c r="H208" s="216"/>
      <c r="I208" s="216"/>
      <c r="J208" s="216"/>
      <c r="K208" s="216"/>
      <c r="L208" s="217"/>
    </row>
    <row r="209" ht="18.0" customHeight="1">
      <c r="A209" s="212"/>
      <c r="B209" s="212"/>
      <c r="C209" s="212"/>
      <c r="D209" s="212"/>
      <c r="E209" s="218"/>
      <c r="F209" s="212"/>
      <c r="G209" s="215"/>
      <c r="H209" s="216"/>
      <c r="I209" s="216"/>
      <c r="J209" s="216"/>
      <c r="K209" s="216"/>
      <c r="L209" s="217"/>
    </row>
    <row r="210" ht="18.0" customHeight="1">
      <c r="A210" s="212"/>
      <c r="B210" s="212"/>
      <c r="C210" s="212"/>
      <c r="D210" s="212"/>
      <c r="E210" s="218"/>
      <c r="F210" s="212"/>
      <c r="G210" s="215"/>
      <c r="H210" s="216"/>
      <c r="I210" s="216"/>
      <c r="J210" s="216"/>
      <c r="K210" s="216"/>
      <c r="L210" s="217"/>
    </row>
    <row r="211" ht="18.0" customHeight="1">
      <c r="A211" s="212"/>
      <c r="B211" s="212"/>
      <c r="C211" s="212"/>
      <c r="D211" s="212"/>
      <c r="E211" s="218"/>
      <c r="F211" s="212"/>
      <c r="G211" s="215"/>
      <c r="H211" s="216"/>
      <c r="I211" s="216"/>
      <c r="J211" s="216"/>
      <c r="K211" s="216"/>
      <c r="L211" s="217"/>
    </row>
    <row r="212" ht="18.0" customHeight="1">
      <c r="A212" s="212"/>
      <c r="B212" s="212"/>
      <c r="C212" s="212"/>
      <c r="D212" s="212"/>
      <c r="E212" s="218"/>
      <c r="F212" s="212"/>
      <c r="G212" s="215"/>
      <c r="H212" s="216"/>
      <c r="I212" s="216"/>
      <c r="J212" s="216"/>
      <c r="K212" s="216"/>
      <c r="L212" s="217"/>
    </row>
    <row r="213" ht="18.0" customHeight="1">
      <c r="A213" s="212"/>
      <c r="B213" s="212"/>
      <c r="C213" s="212"/>
      <c r="D213" s="212"/>
      <c r="E213" s="218"/>
      <c r="F213" s="212"/>
      <c r="G213" s="215"/>
      <c r="H213" s="216"/>
      <c r="I213" s="216"/>
      <c r="J213" s="216"/>
      <c r="K213" s="216"/>
      <c r="L213" s="217"/>
    </row>
    <row r="214" ht="18.0" customHeight="1">
      <c r="A214" s="212"/>
      <c r="B214" s="212"/>
      <c r="C214" s="212"/>
      <c r="D214" s="212"/>
      <c r="E214" s="218"/>
      <c r="F214" s="212"/>
      <c r="G214" s="215"/>
      <c r="H214" s="216"/>
      <c r="I214" s="216"/>
      <c r="J214" s="216"/>
      <c r="K214" s="216"/>
      <c r="L214" s="217"/>
    </row>
    <row r="215" ht="18.0" customHeight="1">
      <c r="A215" s="212"/>
      <c r="B215" s="212"/>
      <c r="C215" s="212"/>
      <c r="D215" s="212"/>
      <c r="E215" s="218"/>
      <c r="F215" s="212"/>
      <c r="G215" s="215"/>
      <c r="H215" s="216"/>
      <c r="I215" s="216"/>
      <c r="J215" s="216"/>
      <c r="K215" s="216"/>
      <c r="L215" s="217"/>
    </row>
    <row r="216" ht="18.0" customHeight="1">
      <c r="A216" s="212"/>
      <c r="B216" s="212"/>
      <c r="C216" s="212"/>
      <c r="D216" s="212"/>
      <c r="E216" s="218"/>
      <c r="F216" s="212"/>
      <c r="G216" s="215"/>
      <c r="H216" s="216"/>
      <c r="I216" s="216"/>
      <c r="J216" s="216"/>
      <c r="K216" s="216"/>
      <c r="L216" s="217"/>
    </row>
    <row r="217" ht="18.0" customHeight="1">
      <c r="A217" s="212"/>
      <c r="B217" s="212"/>
      <c r="C217" s="212"/>
      <c r="D217" s="212"/>
      <c r="E217" s="218"/>
      <c r="F217" s="212"/>
      <c r="G217" s="215"/>
      <c r="H217" s="216"/>
      <c r="I217" s="216"/>
      <c r="J217" s="216"/>
      <c r="K217" s="216"/>
      <c r="L217" s="217"/>
    </row>
    <row r="218" ht="18.0" customHeight="1">
      <c r="A218" s="212"/>
      <c r="B218" s="212"/>
      <c r="C218" s="212"/>
      <c r="D218" s="212"/>
      <c r="E218" s="218"/>
      <c r="F218" s="212"/>
      <c r="G218" s="215"/>
      <c r="H218" s="216"/>
      <c r="I218" s="216"/>
      <c r="J218" s="216"/>
      <c r="K218" s="216"/>
      <c r="L218" s="217"/>
    </row>
    <row r="219" ht="18.0" customHeight="1">
      <c r="A219" s="212"/>
      <c r="B219" s="212"/>
      <c r="C219" s="212"/>
      <c r="D219" s="212"/>
      <c r="E219" s="218"/>
      <c r="F219" s="212"/>
      <c r="G219" s="215"/>
      <c r="H219" s="216"/>
      <c r="I219" s="216"/>
      <c r="J219" s="216"/>
      <c r="K219" s="216"/>
      <c r="L219" s="217"/>
    </row>
    <row r="220" ht="18.0" customHeight="1">
      <c r="A220" s="212"/>
      <c r="B220" s="212"/>
      <c r="C220" s="212"/>
      <c r="D220" s="212"/>
      <c r="E220" s="218"/>
      <c r="F220" s="212"/>
      <c r="G220" s="215"/>
      <c r="H220" s="216"/>
      <c r="I220" s="216"/>
      <c r="J220" s="216"/>
      <c r="K220" s="216"/>
      <c r="L220" s="217"/>
    </row>
    <row r="221" ht="18.0" customHeight="1">
      <c r="A221" s="212"/>
      <c r="B221" s="212"/>
      <c r="C221" s="212"/>
      <c r="D221" s="212"/>
      <c r="E221" s="218"/>
      <c r="F221" s="212"/>
      <c r="G221" s="215"/>
      <c r="H221" s="216"/>
      <c r="I221" s="216"/>
      <c r="J221" s="216"/>
      <c r="K221" s="216"/>
      <c r="L221" s="217"/>
    </row>
    <row r="222" ht="18.0" customHeight="1">
      <c r="A222" s="212"/>
      <c r="B222" s="212"/>
      <c r="C222" s="212"/>
      <c r="D222" s="212"/>
      <c r="E222" s="218"/>
      <c r="F222" s="212"/>
      <c r="G222" s="215"/>
      <c r="H222" s="216"/>
      <c r="I222" s="216"/>
      <c r="J222" s="216"/>
      <c r="K222" s="216"/>
      <c r="L222" s="217"/>
    </row>
    <row r="223" ht="18.0" customHeight="1">
      <c r="A223" s="212"/>
      <c r="B223" s="212"/>
      <c r="C223" s="212"/>
      <c r="D223" s="212"/>
      <c r="E223" s="218"/>
      <c r="F223" s="212"/>
      <c r="G223" s="215"/>
      <c r="H223" s="216"/>
      <c r="I223" s="216"/>
      <c r="J223" s="216"/>
      <c r="K223" s="216"/>
      <c r="L223" s="217"/>
    </row>
    <row r="224" ht="18.0" customHeight="1">
      <c r="A224" s="212"/>
      <c r="B224" s="212"/>
      <c r="C224" s="212"/>
      <c r="D224" s="212"/>
      <c r="E224" s="218"/>
      <c r="F224" s="212"/>
      <c r="G224" s="215"/>
      <c r="H224" s="216"/>
      <c r="I224" s="216"/>
      <c r="J224" s="216"/>
      <c r="K224" s="216"/>
      <c r="L224" s="217"/>
    </row>
    <row r="225" ht="18.0" customHeight="1">
      <c r="A225" s="212"/>
      <c r="B225" s="212"/>
      <c r="C225" s="212"/>
      <c r="D225" s="212"/>
      <c r="E225" s="218"/>
      <c r="F225" s="212"/>
      <c r="G225" s="215"/>
      <c r="H225" s="216"/>
      <c r="I225" s="216"/>
      <c r="J225" s="216"/>
      <c r="K225" s="216"/>
      <c r="L225" s="217"/>
    </row>
    <row r="226" ht="18.0" customHeight="1">
      <c r="A226" s="212"/>
      <c r="B226" s="212"/>
      <c r="C226" s="212"/>
      <c r="D226" s="212"/>
      <c r="E226" s="218"/>
      <c r="F226" s="212"/>
      <c r="G226" s="215"/>
      <c r="H226" s="216"/>
      <c r="I226" s="216"/>
      <c r="J226" s="216"/>
      <c r="K226" s="216"/>
      <c r="L226" s="217"/>
    </row>
    <row r="227" ht="18.0" customHeight="1">
      <c r="A227" s="212"/>
      <c r="B227" s="212"/>
      <c r="C227" s="212"/>
      <c r="D227" s="212"/>
      <c r="E227" s="218"/>
      <c r="F227" s="212"/>
      <c r="G227" s="215"/>
      <c r="H227" s="216"/>
      <c r="I227" s="216"/>
      <c r="J227" s="216"/>
      <c r="K227" s="216"/>
      <c r="L227" s="217"/>
    </row>
    <row r="228" ht="18.0" customHeight="1">
      <c r="A228" s="212"/>
      <c r="B228" s="212"/>
      <c r="C228" s="212"/>
      <c r="D228" s="212"/>
      <c r="E228" s="218"/>
      <c r="F228" s="212"/>
      <c r="G228" s="215"/>
      <c r="H228" s="216"/>
      <c r="I228" s="216"/>
      <c r="J228" s="216"/>
      <c r="K228" s="216"/>
      <c r="L228" s="217"/>
    </row>
    <row r="229" ht="18.0" customHeight="1">
      <c r="A229" s="212"/>
      <c r="B229" s="212"/>
      <c r="C229" s="212"/>
      <c r="D229" s="212"/>
      <c r="E229" s="218"/>
      <c r="F229" s="212"/>
      <c r="G229" s="215"/>
      <c r="H229" s="216"/>
      <c r="I229" s="216"/>
      <c r="J229" s="216"/>
      <c r="K229" s="216"/>
      <c r="L229" s="217"/>
    </row>
    <row r="230" ht="18.0" customHeight="1">
      <c r="A230" s="212"/>
      <c r="B230" s="212"/>
      <c r="C230" s="212"/>
      <c r="D230" s="212"/>
      <c r="E230" s="218"/>
      <c r="F230" s="212"/>
      <c r="G230" s="215"/>
      <c r="H230" s="216"/>
      <c r="I230" s="216"/>
      <c r="J230" s="216"/>
      <c r="K230" s="216"/>
      <c r="L230" s="217"/>
    </row>
    <row r="231" ht="18.0" customHeight="1">
      <c r="A231" s="212"/>
      <c r="B231" s="212"/>
      <c r="C231" s="212"/>
      <c r="D231" s="212"/>
      <c r="E231" s="218"/>
      <c r="F231" s="212"/>
      <c r="G231" s="215"/>
      <c r="H231" s="216"/>
      <c r="I231" s="216"/>
      <c r="J231" s="216"/>
      <c r="K231" s="216"/>
      <c r="L231" s="217"/>
    </row>
    <row r="232" ht="18.0" customHeight="1">
      <c r="A232" s="212"/>
      <c r="B232" s="212"/>
      <c r="C232" s="212"/>
      <c r="D232" s="212"/>
      <c r="E232" s="218"/>
      <c r="F232" s="212"/>
      <c r="G232" s="215"/>
      <c r="H232" s="216"/>
      <c r="I232" s="216"/>
      <c r="J232" s="216"/>
      <c r="K232" s="216"/>
      <c r="L232" s="217"/>
    </row>
    <row r="233" ht="18.0" customHeight="1">
      <c r="A233" s="212"/>
      <c r="B233" s="212"/>
      <c r="C233" s="212"/>
      <c r="D233" s="212"/>
      <c r="E233" s="218"/>
      <c r="F233" s="212"/>
      <c r="G233" s="215"/>
      <c r="H233" s="216"/>
      <c r="I233" s="216"/>
      <c r="J233" s="216"/>
      <c r="K233" s="216"/>
      <c r="L233" s="217"/>
    </row>
    <row r="234" ht="18.0" customHeight="1">
      <c r="A234" s="212"/>
      <c r="B234" s="212"/>
      <c r="C234" s="212"/>
      <c r="D234" s="212"/>
      <c r="E234" s="218"/>
      <c r="F234" s="212"/>
      <c r="G234" s="215"/>
      <c r="H234" s="216"/>
      <c r="I234" s="216"/>
      <c r="J234" s="216"/>
      <c r="K234" s="216"/>
      <c r="L234" s="217"/>
    </row>
    <row r="235" ht="18.0" customHeight="1">
      <c r="A235" s="212"/>
      <c r="B235" s="212"/>
      <c r="C235" s="212"/>
      <c r="D235" s="212"/>
      <c r="E235" s="218"/>
      <c r="F235" s="212"/>
      <c r="G235" s="215"/>
      <c r="H235" s="216"/>
      <c r="I235" s="216"/>
      <c r="J235" s="216"/>
      <c r="K235" s="216"/>
      <c r="L235" s="217"/>
    </row>
    <row r="236" ht="18.0" customHeight="1">
      <c r="A236" s="212"/>
      <c r="B236" s="212"/>
      <c r="C236" s="212"/>
      <c r="D236" s="212"/>
      <c r="E236" s="218"/>
      <c r="F236" s="212"/>
      <c r="G236" s="215"/>
      <c r="H236" s="216"/>
      <c r="I236" s="216"/>
      <c r="J236" s="216"/>
      <c r="K236" s="216"/>
      <c r="L236" s="217"/>
    </row>
    <row r="237" ht="18.0" customHeight="1">
      <c r="A237" s="212"/>
      <c r="B237" s="212"/>
      <c r="C237" s="212"/>
      <c r="D237" s="212"/>
      <c r="E237" s="218"/>
      <c r="F237" s="212"/>
      <c r="G237" s="215"/>
      <c r="H237" s="216"/>
      <c r="I237" s="216"/>
      <c r="J237" s="216"/>
      <c r="K237" s="216"/>
      <c r="L237" s="217"/>
    </row>
    <row r="238" ht="18.0" customHeight="1">
      <c r="A238" s="212"/>
      <c r="B238" s="212"/>
      <c r="C238" s="212"/>
      <c r="D238" s="212"/>
      <c r="E238" s="218"/>
      <c r="F238" s="212"/>
      <c r="G238" s="215"/>
      <c r="H238" s="216"/>
      <c r="I238" s="216"/>
      <c r="J238" s="216"/>
      <c r="K238" s="216"/>
      <c r="L238" s="217"/>
    </row>
    <row r="239" ht="18.0" customHeight="1">
      <c r="A239" s="212"/>
      <c r="B239" s="212"/>
      <c r="C239" s="212"/>
      <c r="D239" s="212"/>
      <c r="E239" s="218"/>
      <c r="F239" s="212"/>
      <c r="G239" s="215"/>
      <c r="H239" s="216"/>
      <c r="I239" s="216"/>
      <c r="J239" s="216"/>
      <c r="K239" s="216"/>
      <c r="L239" s="217"/>
    </row>
    <row r="240" ht="18.0" customHeight="1">
      <c r="A240" s="212"/>
      <c r="B240" s="212"/>
      <c r="C240" s="212"/>
      <c r="D240" s="212"/>
      <c r="E240" s="218"/>
      <c r="F240" s="212"/>
      <c r="G240" s="215"/>
      <c r="H240" s="216"/>
      <c r="I240" s="216"/>
      <c r="J240" s="216"/>
      <c r="K240" s="216"/>
      <c r="L240" s="217"/>
    </row>
    <row r="241" ht="18.0" customHeight="1">
      <c r="A241" s="212"/>
      <c r="B241" s="212"/>
      <c r="C241" s="212"/>
      <c r="D241" s="212"/>
      <c r="E241" s="218"/>
      <c r="F241" s="212"/>
      <c r="G241" s="215"/>
      <c r="H241" s="216"/>
      <c r="I241" s="216"/>
      <c r="J241" s="216"/>
      <c r="K241" s="216"/>
      <c r="L241" s="217"/>
    </row>
    <row r="242" ht="18.0" customHeight="1">
      <c r="A242" s="212"/>
      <c r="B242" s="212"/>
      <c r="C242" s="212"/>
      <c r="D242" s="212"/>
      <c r="E242" s="218"/>
      <c r="F242" s="212"/>
      <c r="G242" s="215"/>
      <c r="H242" s="216"/>
      <c r="I242" s="216"/>
      <c r="J242" s="216"/>
      <c r="K242" s="216"/>
      <c r="L242" s="217"/>
    </row>
    <row r="243" ht="18.0" customHeight="1">
      <c r="A243" s="212"/>
      <c r="B243" s="212"/>
      <c r="C243" s="212"/>
      <c r="D243" s="212"/>
      <c r="E243" s="218"/>
      <c r="F243" s="212"/>
      <c r="G243" s="215"/>
      <c r="H243" s="216"/>
      <c r="I243" s="216"/>
      <c r="J243" s="216"/>
      <c r="K243" s="216"/>
      <c r="L243" s="217"/>
    </row>
    <row r="244" ht="18.0" customHeight="1">
      <c r="A244" s="212"/>
      <c r="B244" s="212"/>
      <c r="C244" s="212"/>
      <c r="D244" s="212"/>
      <c r="E244" s="218"/>
      <c r="F244" s="212"/>
      <c r="G244" s="215"/>
      <c r="H244" s="216"/>
      <c r="I244" s="216"/>
      <c r="J244" s="216"/>
      <c r="K244" s="216"/>
      <c r="L244" s="217"/>
    </row>
    <row r="245" ht="18.0" customHeight="1">
      <c r="A245" s="212"/>
      <c r="B245" s="212"/>
      <c r="C245" s="212"/>
      <c r="D245" s="212"/>
      <c r="E245" s="218"/>
      <c r="F245" s="212"/>
      <c r="G245" s="215"/>
      <c r="H245" s="216"/>
      <c r="I245" s="216"/>
      <c r="J245" s="216"/>
      <c r="K245" s="216"/>
      <c r="L245" s="217"/>
    </row>
    <row r="246" ht="18.0" customHeight="1">
      <c r="A246" s="212"/>
      <c r="B246" s="212"/>
      <c r="C246" s="212"/>
      <c r="D246" s="212"/>
      <c r="E246" s="218"/>
      <c r="F246" s="212"/>
      <c r="G246" s="215"/>
      <c r="H246" s="216"/>
      <c r="I246" s="216"/>
      <c r="J246" s="216"/>
      <c r="K246" s="216"/>
      <c r="L246" s="217"/>
    </row>
    <row r="247" ht="18.0" customHeight="1">
      <c r="A247" s="212"/>
      <c r="B247" s="212"/>
      <c r="C247" s="212"/>
      <c r="D247" s="212"/>
      <c r="E247" s="218"/>
      <c r="F247" s="212"/>
      <c r="G247" s="215"/>
      <c r="H247" s="216"/>
      <c r="I247" s="216"/>
      <c r="J247" s="216"/>
      <c r="K247" s="216"/>
      <c r="L247" s="217"/>
    </row>
    <row r="248" ht="18.0" customHeight="1">
      <c r="A248" s="212"/>
      <c r="B248" s="212"/>
      <c r="C248" s="212"/>
      <c r="D248" s="212"/>
      <c r="E248" s="218"/>
      <c r="F248" s="212"/>
      <c r="G248" s="215"/>
      <c r="H248" s="216"/>
      <c r="I248" s="216"/>
      <c r="J248" s="216"/>
      <c r="K248" s="216"/>
      <c r="L248" s="217"/>
    </row>
    <row r="249" ht="18.0" customHeight="1">
      <c r="A249" s="212"/>
      <c r="B249" s="212"/>
      <c r="C249" s="212"/>
      <c r="D249" s="212"/>
      <c r="E249" s="218"/>
      <c r="F249" s="212"/>
      <c r="G249" s="215"/>
      <c r="H249" s="216"/>
      <c r="I249" s="216"/>
      <c r="J249" s="216"/>
      <c r="K249" s="216"/>
      <c r="L249" s="217"/>
    </row>
    <row r="250" ht="18.0" customHeight="1">
      <c r="A250" s="212"/>
      <c r="B250" s="212"/>
      <c r="C250" s="212"/>
      <c r="D250" s="212"/>
      <c r="E250" s="218"/>
      <c r="F250" s="212"/>
      <c r="G250" s="215"/>
      <c r="H250" s="216"/>
      <c r="I250" s="216"/>
      <c r="J250" s="216"/>
      <c r="K250" s="216"/>
      <c r="L250" s="217"/>
    </row>
    <row r="251" ht="18.0" customHeight="1">
      <c r="A251" s="212"/>
      <c r="B251" s="212"/>
      <c r="C251" s="212"/>
      <c r="D251" s="212"/>
      <c r="E251" s="218"/>
      <c r="F251" s="212"/>
      <c r="G251" s="215"/>
      <c r="H251" s="216"/>
      <c r="I251" s="216"/>
      <c r="J251" s="216"/>
      <c r="K251" s="216"/>
      <c r="L251" s="217"/>
    </row>
    <row r="252" ht="18.0" customHeight="1">
      <c r="A252" s="212"/>
      <c r="B252" s="212"/>
      <c r="C252" s="212"/>
      <c r="D252" s="212"/>
      <c r="E252" s="218"/>
      <c r="F252" s="212"/>
      <c r="G252" s="215"/>
      <c r="H252" s="216"/>
      <c r="I252" s="216"/>
      <c r="J252" s="216"/>
      <c r="K252" s="216"/>
      <c r="L252" s="217"/>
    </row>
    <row r="253" ht="18.0" customHeight="1">
      <c r="A253" s="212"/>
      <c r="B253" s="212"/>
      <c r="C253" s="212"/>
      <c r="D253" s="212"/>
      <c r="E253" s="218"/>
      <c r="F253" s="212"/>
      <c r="G253" s="215"/>
      <c r="H253" s="216"/>
      <c r="I253" s="216"/>
      <c r="J253" s="216"/>
      <c r="K253" s="216"/>
      <c r="L253" s="217"/>
    </row>
    <row r="254" ht="18.0" customHeight="1">
      <c r="A254" s="212"/>
      <c r="B254" s="212"/>
      <c r="C254" s="212"/>
      <c r="D254" s="212"/>
      <c r="E254" s="218"/>
      <c r="F254" s="212"/>
      <c r="G254" s="215"/>
      <c r="H254" s="216"/>
      <c r="I254" s="216"/>
      <c r="J254" s="216"/>
      <c r="K254" s="216"/>
      <c r="L254" s="217"/>
    </row>
    <row r="255" ht="18.0" customHeight="1">
      <c r="A255" s="212"/>
      <c r="B255" s="212"/>
      <c r="C255" s="212"/>
      <c r="D255" s="212"/>
      <c r="E255" s="218"/>
      <c r="F255" s="212"/>
      <c r="G255" s="215"/>
      <c r="H255" s="216"/>
      <c r="I255" s="216"/>
      <c r="J255" s="216"/>
      <c r="K255" s="216"/>
      <c r="L255" s="217"/>
    </row>
    <row r="256" ht="18.0" customHeight="1">
      <c r="A256" s="212"/>
      <c r="B256" s="212"/>
      <c r="C256" s="212"/>
      <c r="D256" s="212"/>
      <c r="E256" s="218"/>
      <c r="F256" s="212"/>
      <c r="G256" s="215"/>
      <c r="H256" s="216"/>
      <c r="I256" s="216"/>
      <c r="J256" s="216"/>
      <c r="K256" s="216"/>
      <c r="L256" s="217"/>
    </row>
    <row r="257" ht="18.0" customHeight="1">
      <c r="A257" s="212"/>
      <c r="B257" s="212"/>
      <c r="C257" s="212"/>
      <c r="D257" s="212"/>
      <c r="E257" s="218"/>
      <c r="F257" s="212"/>
      <c r="G257" s="215"/>
      <c r="H257" s="216"/>
      <c r="I257" s="216"/>
      <c r="J257" s="216"/>
      <c r="K257" s="216"/>
      <c r="L257" s="217"/>
    </row>
    <row r="258" ht="18.0" customHeight="1">
      <c r="A258" s="212"/>
      <c r="B258" s="212"/>
      <c r="C258" s="212"/>
      <c r="D258" s="212"/>
      <c r="E258" s="218"/>
      <c r="F258" s="212"/>
      <c r="G258" s="215"/>
      <c r="H258" s="216"/>
      <c r="I258" s="216"/>
      <c r="J258" s="216"/>
      <c r="K258" s="216"/>
      <c r="L258" s="217"/>
    </row>
    <row r="259" ht="18.0" customHeight="1">
      <c r="A259" s="212"/>
      <c r="B259" s="212"/>
      <c r="C259" s="212"/>
      <c r="D259" s="212"/>
      <c r="E259" s="218"/>
      <c r="F259" s="212"/>
      <c r="G259" s="215"/>
      <c r="H259" s="216"/>
      <c r="I259" s="216"/>
      <c r="J259" s="216"/>
      <c r="K259" s="216"/>
      <c r="L259" s="217"/>
    </row>
    <row r="260" ht="18.0" customHeight="1">
      <c r="A260" s="212"/>
      <c r="B260" s="212"/>
      <c r="C260" s="212"/>
      <c r="D260" s="212"/>
      <c r="E260" s="218"/>
      <c r="F260" s="212"/>
      <c r="G260" s="215"/>
      <c r="H260" s="216"/>
      <c r="I260" s="216"/>
      <c r="J260" s="216"/>
      <c r="K260" s="216"/>
      <c r="L260" s="217"/>
    </row>
    <row r="261" ht="18.0" customHeight="1">
      <c r="A261" s="212"/>
      <c r="B261" s="212"/>
      <c r="C261" s="212"/>
      <c r="D261" s="212"/>
      <c r="E261" s="218"/>
      <c r="F261" s="212"/>
      <c r="G261" s="215"/>
      <c r="H261" s="216"/>
      <c r="I261" s="216"/>
      <c r="J261" s="216"/>
      <c r="K261" s="216"/>
      <c r="L261" s="217"/>
    </row>
    <row r="262" ht="18.0" customHeight="1">
      <c r="A262" s="212"/>
      <c r="B262" s="212"/>
      <c r="C262" s="212"/>
      <c r="D262" s="212"/>
      <c r="E262" s="218"/>
      <c r="F262" s="212"/>
      <c r="G262" s="215"/>
      <c r="H262" s="216"/>
      <c r="I262" s="216"/>
      <c r="J262" s="216"/>
      <c r="K262" s="216"/>
      <c r="L262" s="217"/>
    </row>
    <row r="263" ht="18.0" customHeight="1">
      <c r="A263" s="212"/>
      <c r="B263" s="212"/>
      <c r="C263" s="212"/>
      <c r="D263" s="212"/>
      <c r="E263" s="218"/>
      <c r="F263" s="212"/>
      <c r="G263" s="215"/>
      <c r="H263" s="216"/>
      <c r="I263" s="216"/>
      <c r="J263" s="216"/>
      <c r="K263" s="216"/>
      <c r="L263" s="217"/>
    </row>
    <row r="264" ht="18.0" customHeight="1">
      <c r="A264" s="212"/>
      <c r="B264" s="212"/>
      <c r="C264" s="212"/>
      <c r="D264" s="212"/>
      <c r="E264" s="218"/>
      <c r="F264" s="212"/>
      <c r="G264" s="215"/>
      <c r="H264" s="216"/>
      <c r="I264" s="216"/>
      <c r="J264" s="216"/>
      <c r="K264" s="216"/>
      <c r="L264" s="217"/>
    </row>
    <row r="265" ht="18.0" customHeight="1">
      <c r="A265" s="212"/>
      <c r="B265" s="212"/>
      <c r="C265" s="212"/>
      <c r="D265" s="212"/>
      <c r="E265" s="218"/>
      <c r="F265" s="212"/>
      <c r="G265" s="215"/>
      <c r="H265" s="216"/>
      <c r="I265" s="216"/>
      <c r="J265" s="216"/>
      <c r="K265" s="216"/>
      <c r="L265" s="217"/>
    </row>
    <row r="266" ht="18.0" customHeight="1">
      <c r="A266" s="212"/>
      <c r="B266" s="212"/>
      <c r="C266" s="212"/>
      <c r="D266" s="212"/>
      <c r="E266" s="218"/>
      <c r="F266" s="212"/>
      <c r="G266" s="215"/>
      <c r="H266" s="216"/>
      <c r="I266" s="216"/>
      <c r="J266" s="216"/>
      <c r="K266" s="216"/>
      <c r="L266" s="217"/>
    </row>
    <row r="267" ht="18.0" customHeight="1">
      <c r="A267" s="212"/>
      <c r="B267" s="212"/>
      <c r="C267" s="212"/>
      <c r="D267" s="212"/>
      <c r="E267" s="218"/>
      <c r="F267" s="212"/>
      <c r="G267" s="215"/>
      <c r="H267" s="216"/>
      <c r="I267" s="216"/>
      <c r="J267" s="216"/>
      <c r="K267" s="216"/>
      <c r="L267" s="217"/>
    </row>
    <row r="268" ht="18.0" customHeight="1">
      <c r="A268" s="212"/>
      <c r="B268" s="212"/>
      <c r="C268" s="212"/>
      <c r="D268" s="212"/>
      <c r="E268" s="218"/>
      <c r="F268" s="212"/>
      <c r="G268" s="215"/>
      <c r="H268" s="216"/>
      <c r="I268" s="216"/>
      <c r="J268" s="216"/>
      <c r="K268" s="216"/>
      <c r="L268" s="217"/>
    </row>
    <row r="269" ht="18.0" customHeight="1">
      <c r="A269" s="212"/>
      <c r="B269" s="212"/>
      <c r="C269" s="212"/>
      <c r="D269" s="212"/>
      <c r="E269" s="218"/>
      <c r="F269" s="212"/>
      <c r="G269" s="215"/>
      <c r="H269" s="216"/>
      <c r="I269" s="216"/>
      <c r="J269" s="216"/>
      <c r="K269" s="216"/>
      <c r="L269" s="217"/>
    </row>
    <row r="270" ht="18.0" customHeight="1">
      <c r="A270" s="212"/>
      <c r="B270" s="212"/>
      <c r="C270" s="212"/>
      <c r="D270" s="212"/>
      <c r="E270" s="218"/>
      <c r="F270" s="212"/>
      <c r="G270" s="215"/>
      <c r="H270" s="216"/>
      <c r="I270" s="216"/>
      <c r="J270" s="216"/>
      <c r="K270" s="216"/>
      <c r="L270" s="217"/>
    </row>
    <row r="271" ht="18.0" customHeight="1">
      <c r="A271" s="212"/>
      <c r="B271" s="212"/>
      <c r="C271" s="212"/>
      <c r="D271" s="212"/>
      <c r="E271" s="218"/>
      <c r="F271" s="212"/>
      <c r="G271" s="215"/>
      <c r="H271" s="216"/>
      <c r="I271" s="216"/>
      <c r="J271" s="216"/>
      <c r="K271" s="216"/>
      <c r="L271" s="217"/>
    </row>
    <row r="272" ht="18.0" customHeight="1">
      <c r="A272" s="212"/>
      <c r="B272" s="212"/>
      <c r="C272" s="212"/>
      <c r="D272" s="212"/>
      <c r="E272" s="218"/>
      <c r="F272" s="212"/>
      <c r="G272" s="215"/>
      <c r="H272" s="216"/>
      <c r="I272" s="216"/>
      <c r="J272" s="216"/>
      <c r="K272" s="216"/>
      <c r="L272" s="217"/>
    </row>
    <row r="273" ht="18.0" customHeight="1">
      <c r="A273" s="212"/>
      <c r="B273" s="212"/>
      <c r="C273" s="212"/>
      <c r="D273" s="212"/>
      <c r="E273" s="218"/>
      <c r="F273" s="212"/>
      <c r="G273" s="215"/>
      <c r="H273" s="216"/>
      <c r="I273" s="216"/>
      <c r="J273" s="216"/>
      <c r="K273" s="216"/>
      <c r="L273" s="217"/>
    </row>
    <row r="274" ht="18.0" customHeight="1">
      <c r="A274" s="212"/>
      <c r="B274" s="212"/>
      <c r="C274" s="212"/>
      <c r="D274" s="212"/>
      <c r="E274" s="218"/>
      <c r="F274" s="212"/>
      <c r="G274" s="215"/>
      <c r="H274" s="216"/>
      <c r="I274" s="216"/>
      <c r="J274" s="216"/>
      <c r="K274" s="216"/>
      <c r="L274" s="217"/>
    </row>
    <row r="275" ht="18.0" customHeight="1">
      <c r="A275" s="212"/>
      <c r="B275" s="212"/>
      <c r="C275" s="212"/>
      <c r="D275" s="212"/>
      <c r="E275" s="218"/>
      <c r="F275" s="212"/>
      <c r="G275" s="215"/>
      <c r="H275" s="216"/>
      <c r="I275" s="216"/>
      <c r="J275" s="216"/>
      <c r="K275" s="216"/>
      <c r="L275" s="217"/>
    </row>
    <row r="276" ht="18.0" customHeight="1">
      <c r="A276" s="212"/>
      <c r="B276" s="212"/>
      <c r="C276" s="212"/>
      <c r="D276" s="212"/>
      <c r="E276" s="218"/>
      <c r="F276" s="212"/>
      <c r="G276" s="215"/>
      <c r="H276" s="216"/>
      <c r="I276" s="216"/>
      <c r="J276" s="216"/>
      <c r="K276" s="216"/>
      <c r="L276" s="217"/>
    </row>
    <row r="277" ht="18.0" customHeight="1">
      <c r="A277" s="212"/>
      <c r="B277" s="212"/>
      <c r="C277" s="212"/>
      <c r="D277" s="212"/>
      <c r="E277" s="218"/>
      <c r="F277" s="212"/>
      <c r="G277" s="215"/>
      <c r="H277" s="216"/>
      <c r="I277" s="216"/>
      <c r="J277" s="216"/>
      <c r="K277" s="216"/>
      <c r="L277" s="217"/>
    </row>
    <row r="278" ht="18.0" customHeight="1">
      <c r="A278" s="212"/>
      <c r="B278" s="212"/>
      <c r="C278" s="212"/>
      <c r="D278" s="212"/>
      <c r="E278" s="218"/>
      <c r="F278" s="212"/>
      <c r="G278" s="215"/>
      <c r="H278" s="216"/>
      <c r="I278" s="216"/>
      <c r="J278" s="216"/>
      <c r="K278" s="216"/>
      <c r="L278" s="217"/>
    </row>
    <row r="279" ht="18.0" customHeight="1">
      <c r="A279" s="212"/>
      <c r="B279" s="212"/>
      <c r="C279" s="212"/>
      <c r="D279" s="212"/>
      <c r="E279" s="218"/>
      <c r="F279" s="212"/>
      <c r="G279" s="215"/>
      <c r="H279" s="216"/>
      <c r="I279" s="216"/>
      <c r="J279" s="216"/>
      <c r="K279" s="216"/>
      <c r="L279" s="217"/>
    </row>
    <row r="280" ht="18.0" customHeight="1">
      <c r="A280" s="212"/>
      <c r="B280" s="212"/>
      <c r="C280" s="212"/>
      <c r="D280" s="212"/>
      <c r="E280" s="218"/>
      <c r="F280" s="212"/>
      <c r="G280" s="215"/>
      <c r="H280" s="216"/>
      <c r="I280" s="216"/>
      <c r="J280" s="216"/>
      <c r="K280" s="216"/>
      <c r="L280" s="217"/>
    </row>
    <row r="281" ht="18.0" customHeight="1">
      <c r="A281" s="212"/>
      <c r="B281" s="212"/>
      <c r="C281" s="212"/>
      <c r="D281" s="212"/>
      <c r="E281" s="218"/>
      <c r="F281" s="212"/>
      <c r="G281" s="215"/>
      <c r="H281" s="216"/>
      <c r="I281" s="216"/>
      <c r="J281" s="216"/>
      <c r="K281" s="216"/>
      <c r="L281" s="217"/>
    </row>
    <row r="282" ht="18.0" customHeight="1">
      <c r="A282" s="212"/>
      <c r="B282" s="212"/>
      <c r="C282" s="212"/>
      <c r="D282" s="212"/>
      <c r="E282" s="218"/>
      <c r="F282" s="212"/>
      <c r="G282" s="215"/>
      <c r="H282" s="216"/>
      <c r="I282" s="216"/>
      <c r="J282" s="216"/>
      <c r="K282" s="216"/>
      <c r="L282" s="217"/>
    </row>
    <row r="283" ht="18.0" customHeight="1">
      <c r="A283" s="212"/>
      <c r="B283" s="212"/>
      <c r="C283" s="212"/>
      <c r="D283" s="212"/>
      <c r="E283" s="218"/>
      <c r="F283" s="212"/>
      <c r="G283" s="215"/>
      <c r="H283" s="216"/>
      <c r="I283" s="216"/>
      <c r="J283" s="216"/>
      <c r="K283" s="216"/>
      <c r="L283" s="217"/>
    </row>
    <row r="284" ht="18.0" customHeight="1">
      <c r="A284" s="212"/>
      <c r="B284" s="212"/>
      <c r="C284" s="212"/>
      <c r="D284" s="212"/>
      <c r="E284" s="218"/>
      <c r="F284" s="212"/>
      <c r="G284" s="215"/>
      <c r="H284" s="216"/>
      <c r="I284" s="216"/>
      <c r="J284" s="216"/>
      <c r="K284" s="216"/>
      <c r="L284" s="217"/>
    </row>
    <row r="285" ht="18.0" customHeight="1">
      <c r="A285" s="212"/>
      <c r="B285" s="212"/>
      <c r="C285" s="212"/>
      <c r="D285" s="212"/>
      <c r="E285" s="218"/>
      <c r="F285" s="212"/>
      <c r="G285" s="215"/>
      <c r="H285" s="216"/>
      <c r="I285" s="216"/>
      <c r="J285" s="216"/>
      <c r="K285" s="216"/>
      <c r="L285" s="217"/>
    </row>
    <row r="286" ht="18.0" customHeight="1">
      <c r="A286" s="212"/>
      <c r="B286" s="212"/>
      <c r="C286" s="212"/>
      <c r="D286" s="212"/>
      <c r="E286" s="218"/>
      <c r="F286" s="212"/>
      <c r="G286" s="215"/>
      <c r="H286" s="216"/>
      <c r="I286" s="216"/>
      <c r="J286" s="216"/>
      <c r="K286" s="216"/>
      <c r="L286" s="217"/>
    </row>
    <row r="287" ht="18.0" customHeight="1">
      <c r="A287" s="212"/>
      <c r="B287" s="212"/>
      <c r="C287" s="212"/>
      <c r="D287" s="212"/>
      <c r="E287" s="218"/>
      <c r="F287" s="212"/>
      <c r="G287" s="215"/>
      <c r="H287" s="216"/>
      <c r="I287" s="216"/>
      <c r="J287" s="216"/>
      <c r="K287" s="216"/>
      <c r="L287" s="217"/>
    </row>
    <row r="288" ht="18.0" customHeight="1">
      <c r="A288" s="212"/>
      <c r="B288" s="212"/>
      <c r="C288" s="212"/>
      <c r="D288" s="212"/>
      <c r="E288" s="218"/>
      <c r="F288" s="212"/>
      <c r="G288" s="215"/>
      <c r="H288" s="216"/>
      <c r="I288" s="216"/>
      <c r="J288" s="216"/>
      <c r="K288" s="216"/>
      <c r="L288" s="217"/>
    </row>
    <row r="289" ht="18.0" customHeight="1">
      <c r="A289" s="212"/>
      <c r="B289" s="212"/>
      <c r="C289" s="212"/>
      <c r="D289" s="212"/>
      <c r="E289" s="218"/>
      <c r="F289" s="212"/>
      <c r="G289" s="215"/>
      <c r="H289" s="216"/>
      <c r="I289" s="216"/>
      <c r="J289" s="216"/>
      <c r="K289" s="216"/>
      <c r="L289" s="217"/>
    </row>
    <row r="290" ht="18.0" customHeight="1">
      <c r="A290" s="212"/>
      <c r="B290" s="212"/>
      <c r="C290" s="212"/>
      <c r="D290" s="212"/>
      <c r="E290" s="218"/>
      <c r="F290" s="212"/>
      <c r="G290" s="215"/>
      <c r="H290" s="216"/>
      <c r="I290" s="216"/>
      <c r="J290" s="216"/>
      <c r="K290" s="216"/>
      <c r="L290" s="217"/>
    </row>
    <row r="291" ht="18.0" customHeight="1">
      <c r="A291" s="212"/>
      <c r="B291" s="212"/>
      <c r="C291" s="212"/>
      <c r="D291" s="212"/>
      <c r="E291" s="218"/>
      <c r="F291" s="212"/>
      <c r="G291" s="215"/>
      <c r="H291" s="216"/>
      <c r="I291" s="216"/>
      <c r="J291" s="216"/>
      <c r="K291" s="216"/>
      <c r="L291" s="217"/>
    </row>
    <row r="292" ht="18.0" customHeight="1">
      <c r="A292" s="212"/>
      <c r="B292" s="212"/>
      <c r="C292" s="212"/>
      <c r="D292" s="212"/>
      <c r="E292" s="218"/>
      <c r="F292" s="212"/>
      <c r="G292" s="215"/>
      <c r="H292" s="216"/>
      <c r="I292" s="216"/>
      <c r="J292" s="216"/>
      <c r="K292" s="216"/>
      <c r="L292" s="217"/>
    </row>
    <row r="293" ht="18.0" customHeight="1">
      <c r="A293" s="212"/>
      <c r="B293" s="212"/>
      <c r="C293" s="212"/>
      <c r="D293" s="212"/>
      <c r="E293" s="218"/>
      <c r="F293" s="212"/>
      <c r="G293" s="215"/>
      <c r="H293" s="216"/>
      <c r="I293" s="216"/>
      <c r="J293" s="216"/>
      <c r="K293" s="216"/>
      <c r="L293" s="217"/>
    </row>
    <row r="294" ht="18.0" customHeight="1">
      <c r="A294" s="212"/>
      <c r="B294" s="212"/>
      <c r="C294" s="212"/>
      <c r="D294" s="212"/>
      <c r="E294" s="218"/>
      <c r="F294" s="212"/>
      <c r="G294" s="215"/>
      <c r="H294" s="216"/>
      <c r="I294" s="216"/>
      <c r="J294" s="216"/>
      <c r="K294" s="216"/>
      <c r="L294" s="217"/>
    </row>
    <row r="295" ht="18.0" customHeight="1">
      <c r="A295" s="212"/>
      <c r="B295" s="212"/>
      <c r="C295" s="212"/>
      <c r="D295" s="212"/>
      <c r="E295" s="218"/>
      <c r="F295" s="212"/>
      <c r="G295" s="215"/>
      <c r="H295" s="216"/>
      <c r="I295" s="216"/>
      <c r="J295" s="216"/>
      <c r="K295" s="216"/>
      <c r="L295" s="217"/>
    </row>
    <row r="296" ht="18.0" customHeight="1">
      <c r="A296" s="212"/>
      <c r="B296" s="212"/>
      <c r="C296" s="212"/>
      <c r="D296" s="212"/>
      <c r="E296" s="218"/>
      <c r="F296" s="212"/>
      <c r="G296" s="215"/>
      <c r="H296" s="216"/>
      <c r="I296" s="216"/>
      <c r="J296" s="216"/>
      <c r="K296" s="216"/>
      <c r="L296" s="217"/>
    </row>
    <row r="297" ht="18.0" customHeight="1">
      <c r="A297" s="212"/>
      <c r="B297" s="212"/>
      <c r="C297" s="212"/>
      <c r="D297" s="212"/>
      <c r="E297" s="218"/>
      <c r="F297" s="212"/>
      <c r="G297" s="215"/>
      <c r="H297" s="216"/>
      <c r="I297" s="216"/>
      <c r="J297" s="216"/>
      <c r="K297" s="216"/>
      <c r="L297" s="217"/>
    </row>
    <row r="298" ht="18.0" customHeight="1">
      <c r="A298" s="212"/>
      <c r="B298" s="212"/>
      <c r="C298" s="212"/>
      <c r="D298" s="212"/>
      <c r="E298" s="218"/>
      <c r="F298" s="212"/>
      <c r="G298" s="215"/>
      <c r="H298" s="216"/>
      <c r="I298" s="216"/>
      <c r="J298" s="216"/>
      <c r="K298" s="216"/>
      <c r="L298" s="217"/>
    </row>
    <row r="299" ht="18.0" customHeight="1">
      <c r="A299" s="212"/>
      <c r="B299" s="212"/>
      <c r="C299" s="212"/>
      <c r="D299" s="212"/>
      <c r="E299" s="218"/>
      <c r="F299" s="212"/>
      <c r="G299" s="215"/>
      <c r="H299" s="216"/>
      <c r="I299" s="216"/>
      <c r="J299" s="216"/>
      <c r="K299" s="216"/>
      <c r="L299" s="217"/>
    </row>
    <row r="300" ht="18.0" customHeight="1">
      <c r="A300" s="212"/>
      <c r="B300" s="212"/>
      <c r="C300" s="212"/>
      <c r="D300" s="212"/>
      <c r="E300" s="218"/>
      <c r="F300" s="212"/>
      <c r="G300" s="215"/>
      <c r="H300" s="216"/>
      <c r="I300" s="216"/>
      <c r="J300" s="216"/>
      <c r="K300" s="216"/>
      <c r="L300" s="217"/>
    </row>
    <row r="301" ht="18.0" customHeight="1">
      <c r="A301" s="212"/>
      <c r="B301" s="212"/>
      <c r="C301" s="212"/>
      <c r="D301" s="212"/>
      <c r="E301" s="218"/>
      <c r="F301" s="212"/>
      <c r="G301" s="215"/>
      <c r="H301" s="216"/>
      <c r="I301" s="216"/>
      <c r="J301" s="216"/>
      <c r="K301" s="216"/>
      <c r="L301" s="217"/>
    </row>
    <row r="302" ht="18.0" customHeight="1">
      <c r="A302" s="212"/>
      <c r="B302" s="212"/>
      <c r="C302" s="212"/>
      <c r="D302" s="212"/>
      <c r="E302" s="218"/>
      <c r="F302" s="212"/>
      <c r="G302" s="215"/>
      <c r="H302" s="216"/>
      <c r="I302" s="216"/>
      <c r="J302" s="216"/>
      <c r="K302" s="216"/>
      <c r="L302" s="217"/>
    </row>
    <row r="303" ht="18.0" customHeight="1">
      <c r="A303" s="212"/>
      <c r="B303" s="212"/>
      <c r="C303" s="212"/>
      <c r="D303" s="212"/>
      <c r="E303" s="218"/>
      <c r="F303" s="212"/>
      <c r="G303" s="215"/>
      <c r="H303" s="216"/>
      <c r="I303" s="216"/>
      <c r="J303" s="216"/>
      <c r="K303" s="216"/>
      <c r="L303" s="217"/>
    </row>
    <row r="304" ht="18.0" customHeight="1">
      <c r="A304" s="212"/>
      <c r="B304" s="212"/>
      <c r="C304" s="212"/>
      <c r="D304" s="212"/>
      <c r="E304" s="218"/>
      <c r="F304" s="212"/>
      <c r="G304" s="215"/>
      <c r="H304" s="216"/>
      <c r="I304" s="216"/>
      <c r="J304" s="216"/>
      <c r="K304" s="216"/>
      <c r="L304" s="217"/>
    </row>
    <row r="305" ht="18.0" customHeight="1">
      <c r="A305" s="212"/>
      <c r="B305" s="212"/>
      <c r="C305" s="212"/>
      <c r="D305" s="212"/>
      <c r="E305" s="218"/>
      <c r="F305" s="212"/>
      <c r="G305" s="215"/>
      <c r="H305" s="216"/>
      <c r="I305" s="216"/>
      <c r="J305" s="216"/>
      <c r="K305" s="216"/>
      <c r="L305" s="217"/>
    </row>
    <row r="306" ht="18.0" customHeight="1">
      <c r="A306" s="212"/>
      <c r="B306" s="212"/>
      <c r="C306" s="212"/>
      <c r="D306" s="212"/>
      <c r="E306" s="218"/>
      <c r="F306" s="212"/>
      <c r="G306" s="215"/>
      <c r="H306" s="216"/>
      <c r="I306" s="216"/>
      <c r="J306" s="216"/>
      <c r="K306" s="216"/>
      <c r="L306" s="217"/>
    </row>
    <row r="307" ht="18.0" customHeight="1">
      <c r="A307" s="212"/>
      <c r="B307" s="212"/>
      <c r="C307" s="212"/>
      <c r="D307" s="212"/>
      <c r="E307" s="218"/>
      <c r="F307" s="212"/>
      <c r="G307" s="215"/>
      <c r="H307" s="216"/>
      <c r="I307" s="216"/>
      <c r="J307" s="216"/>
      <c r="K307" s="216"/>
      <c r="L307" s="217"/>
    </row>
    <row r="308" ht="18.0" customHeight="1">
      <c r="A308" s="212"/>
      <c r="B308" s="212"/>
      <c r="C308" s="212"/>
      <c r="D308" s="212"/>
      <c r="E308" s="218"/>
      <c r="F308" s="212"/>
      <c r="G308" s="215"/>
      <c r="H308" s="216"/>
      <c r="I308" s="216"/>
      <c r="J308" s="216"/>
      <c r="K308" s="216"/>
      <c r="L308" s="217"/>
    </row>
    <row r="309" ht="18.0" customHeight="1">
      <c r="A309" s="212"/>
      <c r="B309" s="212"/>
      <c r="C309" s="212"/>
      <c r="D309" s="212"/>
      <c r="E309" s="218"/>
      <c r="F309" s="212"/>
      <c r="G309" s="215"/>
      <c r="H309" s="216"/>
      <c r="I309" s="216"/>
      <c r="J309" s="216"/>
      <c r="K309" s="216"/>
      <c r="L309" s="217"/>
    </row>
    <row r="310" ht="18.0" customHeight="1">
      <c r="A310" s="212"/>
      <c r="B310" s="212"/>
      <c r="C310" s="212"/>
      <c r="D310" s="212"/>
      <c r="E310" s="218"/>
      <c r="F310" s="212"/>
      <c r="G310" s="215"/>
      <c r="H310" s="216"/>
      <c r="I310" s="216"/>
      <c r="J310" s="216"/>
      <c r="K310" s="216"/>
      <c r="L310" s="217"/>
    </row>
    <row r="311" ht="18.0" customHeight="1">
      <c r="A311" s="212"/>
      <c r="B311" s="212"/>
      <c r="C311" s="212"/>
      <c r="D311" s="212"/>
      <c r="E311" s="218"/>
      <c r="F311" s="212"/>
      <c r="G311" s="215"/>
      <c r="H311" s="216"/>
      <c r="I311" s="216"/>
      <c r="J311" s="216"/>
      <c r="K311" s="216"/>
      <c r="L311" s="217"/>
    </row>
    <row r="312" ht="18.0" customHeight="1">
      <c r="A312" s="212"/>
      <c r="B312" s="212"/>
      <c r="C312" s="212"/>
      <c r="D312" s="212"/>
      <c r="E312" s="218"/>
      <c r="F312" s="212"/>
      <c r="G312" s="215"/>
      <c r="H312" s="216"/>
      <c r="I312" s="216"/>
      <c r="J312" s="216"/>
      <c r="K312" s="216"/>
      <c r="L312" s="217"/>
    </row>
    <row r="313" ht="18.0" customHeight="1">
      <c r="A313" s="212"/>
      <c r="B313" s="212"/>
      <c r="C313" s="212"/>
      <c r="D313" s="212"/>
      <c r="E313" s="218"/>
      <c r="F313" s="212"/>
      <c r="G313" s="215"/>
      <c r="H313" s="216"/>
      <c r="I313" s="216"/>
      <c r="J313" s="216"/>
      <c r="K313" s="216"/>
      <c r="L313" s="217"/>
    </row>
    <row r="314" ht="18.0" customHeight="1">
      <c r="A314" s="212"/>
      <c r="B314" s="212"/>
      <c r="C314" s="212"/>
      <c r="D314" s="212"/>
      <c r="E314" s="218"/>
      <c r="F314" s="212"/>
      <c r="G314" s="215"/>
      <c r="H314" s="216"/>
      <c r="I314" s="216"/>
      <c r="J314" s="216"/>
      <c r="K314" s="216"/>
      <c r="L314" s="217"/>
    </row>
    <row r="315" ht="18.0" customHeight="1">
      <c r="A315" s="212"/>
      <c r="B315" s="212"/>
      <c r="C315" s="212"/>
      <c r="D315" s="212"/>
      <c r="E315" s="218"/>
      <c r="F315" s="212"/>
      <c r="G315" s="215"/>
      <c r="H315" s="216"/>
      <c r="I315" s="216"/>
      <c r="J315" s="216"/>
      <c r="K315" s="216"/>
      <c r="L315" s="217"/>
    </row>
    <row r="316" ht="18.0" customHeight="1">
      <c r="A316" s="212"/>
      <c r="B316" s="212"/>
      <c r="C316" s="212"/>
      <c r="D316" s="212"/>
      <c r="E316" s="218"/>
      <c r="F316" s="212"/>
      <c r="G316" s="215"/>
      <c r="H316" s="216"/>
      <c r="I316" s="216"/>
      <c r="J316" s="216"/>
      <c r="K316" s="216"/>
      <c r="L316" s="217"/>
    </row>
    <row r="317" ht="18.0" customHeight="1">
      <c r="A317" s="212"/>
      <c r="B317" s="212"/>
      <c r="C317" s="212"/>
      <c r="D317" s="212"/>
      <c r="E317" s="218"/>
      <c r="F317" s="212"/>
      <c r="G317" s="215"/>
      <c r="H317" s="216"/>
      <c r="I317" s="216"/>
      <c r="J317" s="216"/>
      <c r="K317" s="216"/>
      <c r="L317" s="217"/>
    </row>
    <row r="318" ht="18.0" customHeight="1">
      <c r="A318" s="212"/>
      <c r="B318" s="212"/>
      <c r="C318" s="212"/>
      <c r="D318" s="212"/>
      <c r="E318" s="218"/>
      <c r="F318" s="212"/>
      <c r="G318" s="215"/>
      <c r="H318" s="216"/>
      <c r="I318" s="216"/>
      <c r="J318" s="216"/>
      <c r="K318" s="216"/>
      <c r="L318" s="217"/>
    </row>
    <row r="319" ht="18.0" customHeight="1">
      <c r="A319" s="212"/>
      <c r="B319" s="212"/>
      <c r="C319" s="212"/>
      <c r="D319" s="212"/>
      <c r="E319" s="218"/>
      <c r="F319" s="212"/>
      <c r="G319" s="215"/>
      <c r="H319" s="216"/>
      <c r="I319" s="216"/>
      <c r="J319" s="216"/>
      <c r="K319" s="216"/>
      <c r="L319" s="217"/>
    </row>
    <row r="320" ht="18.0" customHeight="1">
      <c r="A320" s="212"/>
      <c r="B320" s="212"/>
      <c r="C320" s="212"/>
      <c r="D320" s="212"/>
      <c r="E320" s="218"/>
      <c r="F320" s="212"/>
      <c r="G320" s="215"/>
      <c r="H320" s="216"/>
      <c r="I320" s="216"/>
      <c r="J320" s="216"/>
      <c r="K320" s="216"/>
      <c r="L320" s="217"/>
    </row>
    <row r="321" ht="18.0" customHeight="1">
      <c r="A321" s="212"/>
      <c r="B321" s="212"/>
      <c r="C321" s="212"/>
      <c r="D321" s="212"/>
      <c r="E321" s="218"/>
      <c r="F321" s="212"/>
      <c r="G321" s="215"/>
      <c r="H321" s="216"/>
      <c r="I321" s="216"/>
      <c r="J321" s="216"/>
      <c r="K321" s="216"/>
      <c r="L321" s="217"/>
    </row>
    <row r="322" ht="18.0" customHeight="1">
      <c r="A322" s="212"/>
      <c r="B322" s="212"/>
      <c r="C322" s="212"/>
      <c r="D322" s="212"/>
      <c r="E322" s="218"/>
      <c r="F322" s="212"/>
      <c r="G322" s="215"/>
      <c r="H322" s="216"/>
      <c r="I322" s="216"/>
      <c r="J322" s="216"/>
      <c r="K322" s="216"/>
      <c r="L322" s="217"/>
    </row>
    <row r="323" ht="18.0" customHeight="1">
      <c r="A323" s="212"/>
      <c r="B323" s="212"/>
      <c r="C323" s="212"/>
      <c r="D323" s="212"/>
      <c r="E323" s="218"/>
      <c r="F323" s="212"/>
      <c r="G323" s="215"/>
      <c r="H323" s="216"/>
      <c r="I323" s="216"/>
      <c r="J323" s="216"/>
      <c r="K323" s="216"/>
      <c r="L323" s="217"/>
    </row>
    <row r="324" ht="18.0" customHeight="1">
      <c r="A324" s="212"/>
      <c r="B324" s="212"/>
      <c r="C324" s="212"/>
      <c r="D324" s="212"/>
      <c r="E324" s="218"/>
      <c r="F324" s="212"/>
      <c r="G324" s="215"/>
      <c r="H324" s="216"/>
      <c r="I324" s="216"/>
      <c r="J324" s="216"/>
      <c r="K324" s="216"/>
      <c r="L324" s="217"/>
    </row>
    <row r="325" ht="18.0" customHeight="1">
      <c r="A325" s="212"/>
      <c r="B325" s="212"/>
      <c r="C325" s="212"/>
      <c r="D325" s="212"/>
      <c r="E325" s="218"/>
      <c r="F325" s="212"/>
      <c r="G325" s="215"/>
      <c r="H325" s="216"/>
      <c r="I325" s="216"/>
      <c r="J325" s="216"/>
      <c r="K325" s="216"/>
      <c r="L325" s="217"/>
    </row>
    <row r="326" ht="18.0" customHeight="1">
      <c r="A326" s="212"/>
      <c r="B326" s="212"/>
      <c r="C326" s="212"/>
      <c r="D326" s="212"/>
      <c r="E326" s="218"/>
      <c r="F326" s="212"/>
      <c r="G326" s="215"/>
      <c r="H326" s="216"/>
      <c r="I326" s="216"/>
      <c r="J326" s="216"/>
      <c r="K326" s="216"/>
      <c r="L326" s="217"/>
    </row>
    <row r="327" ht="18.0" customHeight="1">
      <c r="A327" s="212"/>
      <c r="B327" s="212"/>
      <c r="C327" s="212"/>
      <c r="D327" s="212"/>
      <c r="E327" s="218"/>
      <c r="F327" s="212"/>
      <c r="G327" s="215"/>
      <c r="H327" s="216"/>
      <c r="I327" s="216"/>
      <c r="J327" s="216"/>
      <c r="K327" s="216"/>
      <c r="L327" s="217"/>
    </row>
    <row r="328" ht="18.0" customHeight="1">
      <c r="A328" s="212"/>
      <c r="B328" s="212"/>
      <c r="C328" s="212"/>
      <c r="D328" s="212"/>
      <c r="E328" s="218"/>
      <c r="F328" s="212"/>
      <c r="G328" s="215"/>
      <c r="H328" s="216"/>
      <c r="I328" s="216"/>
      <c r="J328" s="216"/>
      <c r="K328" s="216"/>
      <c r="L328" s="217"/>
    </row>
    <row r="329" ht="18.0" customHeight="1">
      <c r="A329" s="212"/>
      <c r="B329" s="212"/>
      <c r="C329" s="212"/>
      <c r="D329" s="212"/>
      <c r="E329" s="218"/>
      <c r="F329" s="212"/>
      <c r="G329" s="215"/>
      <c r="H329" s="216"/>
      <c r="I329" s="216"/>
      <c r="J329" s="216"/>
      <c r="K329" s="216"/>
      <c r="L329" s="217"/>
    </row>
    <row r="330" ht="18.0" customHeight="1">
      <c r="A330" s="212"/>
      <c r="B330" s="212"/>
      <c r="C330" s="212"/>
      <c r="D330" s="212"/>
      <c r="E330" s="218"/>
      <c r="F330" s="212"/>
      <c r="G330" s="215"/>
      <c r="H330" s="216"/>
      <c r="I330" s="216"/>
      <c r="J330" s="216"/>
      <c r="K330" s="216"/>
      <c r="L330" s="217"/>
    </row>
    <row r="331" ht="18.0" customHeight="1">
      <c r="A331" s="212"/>
      <c r="B331" s="212"/>
      <c r="C331" s="212"/>
      <c r="D331" s="212"/>
      <c r="E331" s="218"/>
      <c r="F331" s="212"/>
      <c r="G331" s="215"/>
      <c r="H331" s="216"/>
      <c r="I331" s="216"/>
      <c r="J331" s="216"/>
      <c r="K331" s="216"/>
      <c r="L331" s="217"/>
    </row>
    <row r="332" ht="18.0" customHeight="1">
      <c r="A332" s="212"/>
      <c r="B332" s="212"/>
      <c r="C332" s="212"/>
      <c r="D332" s="212"/>
      <c r="E332" s="218"/>
      <c r="F332" s="212"/>
      <c r="G332" s="215"/>
      <c r="H332" s="216"/>
      <c r="I332" s="216"/>
      <c r="J332" s="216"/>
      <c r="K332" s="216"/>
      <c r="L332" s="217"/>
    </row>
    <row r="333" ht="18.0" customHeight="1">
      <c r="A333" s="212"/>
      <c r="B333" s="212"/>
      <c r="C333" s="212"/>
      <c r="D333" s="212"/>
      <c r="E333" s="218"/>
      <c r="F333" s="212"/>
      <c r="G333" s="215"/>
      <c r="H333" s="216"/>
      <c r="I333" s="216"/>
      <c r="J333" s="216"/>
      <c r="K333" s="216"/>
      <c r="L333" s="217"/>
    </row>
    <row r="334" ht="18.0" customHeight="1">
      <c r="A334" s="212"/>
      <c r="B334" s="212"/>
      <c r="C334" s="212"/>
      <c r="D334" s="212"/>
      <c r="E334" s="218"/>
      <c r="F334" s="212"/>
      <c r="G334" s="215"/>
      <c r="H334" s="216"/>
      <c r="I334" s="216"/>
      <c r="J334" s="216"/>
      <c r="K334" s="216"/>
      <c r="L334" s="217"/>
    </row>
    <row r="335" ht="18.0" customHeight="1">
      <c r="A335" s="212"/>
      <c r="B335" s="212"/>
      <c r="C335" s="212"/>
      <c r="D335" s="212"/>
      <c r="E335" s="218"/>
      <c r="F335" s="212"/>
      <c r="G335" s="215"/>
      <c r="H335" s="216"/>
      <c r="I335" s="216"/>
      <c r="J335" s="216"/>
      <c r="K335" s="216"/>
      <c r="L335" s="217"/>
    </row>
    <row r="336" ht="18.0" customHeight="1">
      <c r="A336" s="212"/>
      <c r="B336" s="212"/>
      <c r="C336" s="212"/>
      <c r="D336" s="212"/>
      <c r="E336" s="218"/>
      <c r="F336" s="212"/>
      <c r="G336" s="215"/>
      <c r="H336" s="216"/>
      <c r="I336" s="216"/>
      <c r="J336" s="216"/>
      <c r="K336" s="216"/>
      <c r="L336" s="217"/>
    </row>
    <row r="337" ht="18.0" customHeight="1">
      <c r="A337" s="212"/>
      <c r="B337" s="212"/>
      <c r="C337" s="212"/>
      <c r="D337" s="212"/>
      <c r="E337" s="218"/>
      <c r="F337" s="212"/>
      <c r="G337" s="215"/>
      <c r="H337" s="216"/>
      <c r="I337" s="216"/>
      <c r="J337" s="216"/>
      <c r="K337" s="216"/>
      <c r="L337" s="217"/>
    </row>
    <row r="338" ht="18.0" customHeight="1">
      <c r="A338" s="212"/>
      <c r="B338" s="212"/>
      <c r="C338" s="212"/>
      <c r="D338" s="212"/>
      <c r="E338" s="218"/>
      <c r="F338" s="212"/>
      <c r="G338" s="215"/>
      <c r="H338" s="216"/>
      <c r="I338" s="216"/>
      <c r="J338" s="216"/>
      <c r="K338" s="216"/>
      <c r="L338" s="217"/>
    </row>
    <row r="339" ht="18.0" customHeight="1">
      <c r="A339" s="212"/>
      <c r="B339" s="212"/>
      <c r="C339" s="212"/>
      <c r="D339" s="212"/>
      <c r="E339" s="218"/>
      <c r="F339" s="212"/>
      <c r="G339" s="215"/>
      <c r="H339" s="216"/>
      <c r="I339" s="216"/>
      <c r="J339" s="216"/>
      <c r="K339" s="216"/>
      <c r="L339" s="217"/>
    </row>
    <row r="340" ht="18.0" customHeight="1">
      <c r="A340" s="212"/>
      <c r="B340" s="212"/>
      <c r="C340" s="212"/>
      <c r="D340" s="212"/>
      <c r="E340" s="218"/>
      <c r="F340" s="212"/>
      <c r="G340" s="215"/>
      <c r="H340" s="216"/>
      <c r="I340" s="216"/>
      <c r="J340" s="216"/>
      <c r="K340" s="216"/>
      <c r="L340" s="217"/>
    </row>
    <row r="341" ht="18.0" customHeight="1">
      <c r="A341" s="212"/>
      <c r="B341" s="212"/>
      <c r="C341" s="212"/>
      <c r="D341" s="212"/>
      <c r="E341" s="218"/>
      <c r="F341" s="212"/>
      <c r="G341" s="215"/>
      <c r="H341" s="216"/>
      <c r="I341" s="216"/>
      <c r="J341" s="216"/>
      <c r="K341" s="216"/>
      <c r="L341" s="217"/>
    </row>
    <row r="342" ht="18.0" customHeight="1">
      <c r="A342" s="212"/>
      <c r="B342" s="212"/>
      <c r="C342" s="212"/>
      <c r="D342" s="212"/>
      <c r="E342" s="218"/>
      <c r="F342" s="212"/>
      <c r="G342" s="215"/>
      <c r="H342" s="216"/>
      <c r="I342" s="216"/>
      <c r="J342" s="216"/>
      <c r="K342" s="216"/>
      <c r="L342" s="217"/>
    </row>
    <row r="343" ht="18.0" customHeight="1">
      <c r="A343" s="212"/>
      <c r="B343" s="212"/>
      <c r="C343" s="212"/>
      <c r="D343" s="212"/>
      <c r="E343" s="218"/>
      <c r="F343" s="212"/>
      <c r="G343" s="215"/>
      <c r="H343" s="216"/>
      <c r="I343" s="216"/>
      <c r="J343" s="216"/>
      <c r="K343" s="216"/>
      <c r="L343" s="217"/>
    </row>
    <row r="344" ht="18.0" customHeight="1">
      <c r="A344" s="212"/>
      <c r="B344" s="212"/>
      <c r="C344" s="212"/>
      <c r="D344" s="212"/>
      <c r="E344" s="218"/>
      <c r="F344" s="212"/>
      <c r="G344" s="215"/>
      <c r="H344" s="216"/>
      <c r="I344" s="216"/>
      <c r="J344" s="216"/>
      <c r="K344" s="216"/>
      <c r="L344" s="217"/>
    </row>
    <row r="345" ht="18.0" customHeight="1">
      <c r="A345" s="212"/>
      <c r="B345" s="212"/>
      <c r="C345" s="212"/>
      <c r="D345" s="212"/>
      <c r="E345" s="218"/>
      <c r="F345" s="212"/>
      <c r="G345" s="215"/>
      <c r="H345" s="216"/>
      <c r="I345" s="216"/>
      <c r="J345" s="216"/>
      <c r="K345" s="216"/>
      <c r="L345" s="217"/>
    </row>
    <row r="346" ht="18.0" customHeight="1">
      <c r="A346" s="212"/>
      <c r="B346" s="212"/>
      <c r="C346" s="212"/>
      <c r="D346" s="212"/>
      <c r="E346" s="218"/>
      <c r="F346" s="212"/>
      <c r="G346" s="215"/>
      <c r="H346" s="216"/>
      <c r="I346" s="216"/>
      <c r="J346" s="216"/>
      <c r="K346" s="216"/>
      <c r="L346" s="217"/>
    </row>
    <row r="347" ht="18.0" customHeight="1">
      <c r="A347" s="212"/>
      <c r="B347" s="212"/>
      <c r="C347" s="212"/>
      <c r="D347" s="212"/>
      <c r="E347" s="218"/>
      <c r="F347" s="212"/>
      <c r="G347" s="215"/>
      <c r="H347" s="216"/>
      <c r="I347" s="216"/>
      <c r="J347" s="216"/>
      <c r="K347" s="216"/>
      <c r="L347" s="217"/>
    </row>
    <row r="348" ht="18.0" customHeight="1">
      <c r="A348" s="212"/>
      <c r="B348" s="212"/>
      <c r="C348" s="212"/>
      <c r="D348" s="212"/>
      <c r="E348" s="218"/>
      <c r="F348" s="212"/>
      <c r="G348" s="215"/>
      <c r="H348" s="216"/>
      <c r="I348" s="216"/>
      <c r="J348" s="216"/>
      <c r="K348" s="216"/>
      <c r="L348" s="217"/>
    </row>
    <row r="349" ht="18.0" customHeight="1">
      <c r="A349" s="212"/>
      <c r="B349" s="212"/>
      <c r="C349" s="212"/>
      <c r="D349" s="212"/>
      <c r="E349" s="218"/>
      <c r="F349" s="212"/>
      <c r="G349" s="215"/>
      <c r="H349" s="216"/>
      <c r="I349" s="216"/>
      <c r="J349" s="216"/>
      <c r="K349" s="216"/>
      <c r="L349" s="217"/>
    </row>
    <row r="350" ht="18.0" customHeight="1">
      <c r="A350" s="212"/>
      <c r="B350" s="212"/>
      <c r="C350" s="212"/>
      <c r="D350" s="212"/>
      <c r="E350" s="218"/>
      <c r="F350" s="212"/>
      <c r="G350" s="215"/>
      <c r="H350" s="216"/>
      <c r="I350" s="216"/>
      <c r="J350" s="216"/>
      <c r="K350" s="216"/>
      <c r="L350" s="217"/>
    </row>
    <row r="351" ht="18.0" customHeight="1">
      <c r="A351" s="212"/>
      <c r="B351" s="212"/>
      <c r="C351" s="212"/>
      <c r="D351" s="212"/>
      <c r="E351" s="218"/>
      <c r="F351" s="212"/>
      <c r="G351" s="215"/>
      <c r="H351" s="216"/>
      <c r="I351" s="216"/>
      <c r="J351" s="216"/>
      <c r="K351" s="216"/>
      <c r="L351" s="217"/>
    </row>
    <row r="352" ht="18.0" customHeight="1">
      <c r="A352" s="212"/>
      <c r="B352" s="212"/>
      <c r="C352" s="212"/>
      <c r="D352" s="212"/>
      <c r="E352" s="218"/>
      <c r="F352" s="212"/>
      <c r="G352" s="215"/>
      <c r="H352" s="216"/>
      <c r="I352" s="216"/>
      <c r="J352" s="216"/>
      <c r="K352" s="216"/>
      <c r="L352" s="217"/>
    </row>
    <row r="353" ht="18.0" customHeight="1">
      <c r="A353" s="212"/>
      <c r="B353" s="212"/>
      <c r="C353" s="212"/>
      <c r="D353" s="212"/>
      <c r="E353" s="218"/>
      <c r="F353" s="212"/>
      <c r="G353" s="215"/>
      <c r="H353" s="216"/>
      <c r="I353" s="216"/>
      <c r="J353" s="216"/>
      <c r="K353" s="216"/>
      <c r="L353" s="217"/>
    </row>
    <row r="354" ht="18.0" customHeight="1">
      <c r="A354" s="212"/>
      <c r="B354" s="212"/>
      <c r="C354" s="212"/>
      <c r="D354" s="212"/>
      <c r="E354" s="218"/>
      <c r="F354" s="212"/>
      <c r="G354" s="215"/>
      <c r="H354" s="216"/>
      <c r="I354" s="216"/>
      <c r="J354" s="216"/>
      <c r="K354" s="216"/>
      <c r="L354" s="217"/>
    </row>
    <row r="355" ht="18.0" customHeight="1">
      <c r="A355" s="212"/>
      <c r="B355" s="212"/>
      <c r="C355" s="212"/>
      <c r="D355" s="212"/>
      <c r="E355" s="218"/>
      <c r="F355" s="212"/>
      <c r="G355" s="215"/>
      <c r="H355" s="216"/>
      <c r="I355" s="216"/>
      <c r="J355" s="216"/>
      <c r="K355" s="216"/>
      <c r="L355" s="217"/>
    </row>
    <row r="356" ht="18.0" customHeight="1">
      <c r="A356" s="212"/>
      <c r="B356" s="212"/>
      <c r="C356" s="212"/>
      <c r="D356" s="212"/>
      <c r="E356" s="218"/>
      <c r="F356" s="212"/>
      <c r="G356" s="215"/>
      <c r="H356" s="216"/>
      <c r="I356" s="216"/>
      <c r="J356" s="216"/>
      <c r="K356" s="216"/>
      <c r="L356" s="217"/>
    </row>
    <row r="357" ht="18.0" customHeight="1">
      <c r="A357" s="212"/>
      <c r="B357" s="212"/>
      <c r="C357" s="212"/>
      <c r="D357" s="212"/>
      <c r="E357" s="218"/>
      <c r="F357" s="212"/>
      <c r="G357" s="215"/>
      <c r="H357" s="216"/>
      <c r="I357" s="216"/>
      <c r="J357" s="216"/>
      <c r="K357" s="216"/>
      <c r="L357" s="217"/>
    </row>
    <row r="358" ht="18.0" customHeight="1">
      <c r="A358" s="212"/>
      <c r="B358" s="212"/>
      <c r="C358" s="212"/>
      <c r="D358" s="212"/>
      <c r="E358" s="218"/>
      <c r="F358" s="212"/>
      <c r="G358" s="215"/>
      <c r="H358" s="216"/>
      <c r="I358" s="216"/>
      <c r="J358" s="216"/>
      <c r="K358" s="216"/>
      <c r="L358" s="217"/>
    </row>
    <row r="359" ht="18.0" customHeight="1">
      <c r="A359" s="212"/>
      <c r="B359" s="212"/>
      <c r="C359" s="212"/>
      <c r="D359" s="212"/>
      <c r="E359" s="218"/>
      <c r="F359" s="212"/>
      <c r="G359" s="215"/>
      <c r="H359" s="216"/>
      <c r="I359" s="216"/>
      <c r="J359" s="216"/>
      <c r="K359" s="216"/>
      <c r="L359" s="217"/>
    </row>
    <row r="360" ht="18.0" customHeight="1">
      <c r="A360" s="212"/>
      <c r="B360" s="212"/>
      <c r="C360" s="212"/>
      <c r="D360" s="212"/>
      <c r="E360" s="218"/>
      <c r="F360" s="212"/>
      <c r="G360" s="215"/>
      <c r="H360" s="216"/>
      <c r="I360" s="216"/>
      <c r="J360" s="216"/>
      <c r="K360" s="216"/>
      <c r="L360" s="217"/>
    </row>
    <row r="361" ht="18.0" customHeight="1">
      <c r="A361" s="212"/>
      <c r="B361" s="212"/>
      <c r="C361" s="212"/>
      <c r="D361" s="212"/>
      <c r="E361" s="218"/>
      <c r="F361" s="212"/>
      <c r="G361" s="215"/>
      <c r="H361" s="216"/>
      <c r="I361" s="216"/>
      <c r="J361" s="216"/>
      <c r="K361" s="216"/>
      <c r="L361" s="217"/>
    </row>
    <row r="362" ht="18.0" customHeight="1">
      <c r="A362" s="212"/>
      <c r="B362" s="212"/>
      <c r="C362" s="212"/>
      <c r="D362" s="212"/>
      <c r="E362" s="218"/>
      <c r="F362" s="212"/>
      <c r="G362" s="215"/>
      <c r="H362" s="216"/>
      <c r="I362" s="216"/>
      <c r="J362" s="216"/>
      <c r="K362" s="216"/>
      <c r="L362" s="217"/>
    </row>
    <row r="363" ht="18.0" customHeight="1">
      <c r="A363" s="212"/>
      <c r="B363" s="212"/>
      <c r="C363" s="212"/>
      <c r="D363" s="212"/>
      <c r="E363" s="218"/>
      <c r="F363" s="212"/>
      <c r="G363" s="215"/>
      <c r="H363" s="216"/>
      <c r="I363" s="216"/>
      <c r="J363" s="216"/>
      <c r="K363" s="216"/>
      <c r="L363" s="217"/>
    </row>
    <row r="364" ht="18.0" customHeight="1">
      <c r="A364" s="212"/>
      <c r="B364" s="212"/>
      <c r="C364" s="212"/>
      <c r="D364" s="212"/>
      <c r="E364" s="218"/>
      <c r="F364" s="212"/>
      <c r="G364" s="215"/>
      <c r="H364" s="216"/>
      <c r="I364" s="216"/>
      <c r="J364" s="216"/>
      <c r="K364" s="216"/>
      <c r="L364" s="217"/>
    </row>
    <row r="365" ht="18.0" customHeight="1">
      <c r="A365" s="212"/>
      <c r="B365" s="212"/>
      <c r="C365" s="212"/>
      <c r="D365" s="212"/>
      <c r="E365" s="218"/>
      <c r="F365" s="212"/>
      <c r="G365" s="215"/>
      <c r="H365" s="216"/>
      <c r="I365" s="216"/>
      <c r="J365" s="216"/>
      <c r="K365" s="216"/>
      <c r="L365" s="217"/>
    </row>
    <row r="366" ht="18.0" customHeight="1">
      <c r="A366" s="212"/>
      <c r="B366" s="212"/>
      <c r="C366" s="212"/>
      <c r="D366" s="212"/>
      <c r="E366" s="218"/>
      <c r="F366" s="212"/>
      <c r="G366" s="215"/>
      <c r="H366" s="216"/>
      <c r="I366" s="216"/>
      <c r="J366" s="216"/>
      <c r="K366" s="216"/>
      <c r="L366" s="217"/>
    </row>
    <row r="367" ht="18.0" customHeight="1">
      <c r="A367" s="212"/>
      <c r="B367" s="212"/>
      <c r="C367" s="212"/>
      <c r="D367" s="212"/>
      <c r="E367" s="218"/>
      <c r="F367" s="212"/>
      <c r="G367" s="215"/>
      <c r="H367" s="216"/>
      <c r="I367" s="216"/>
      <c r="J367" s="216"/>
      <c r="K367" s="216"/>
      <c r="L367" s="217"/>
    </row>
    <row r="368" ht="18.0" customHeight="1">
      <c r="A368" s="212"/>
      <c r="B368" s="212"/>
      <c r="C368" s="212"/>
      <c r="D368" s="212"/>
      <c r="E368" s="218"/>
      <c r="F368" s="212"/>
      <c r="G368" s="215"/>
      <c r="H368" s="216"/>
      <c r="I368" s="216"/>
      <c r="J368" s="216"/>
      <c r="K368" s="216"/>
      <c r="L368" s="217"/>
    </row>
    <row r="369" ht="18.0" customHeight="1">
      <c r="A369" s="212"/>
      <c r="B369" s="212"/>
      <c r="C369" s="212"/>
      <c r="D369" s="212"/>
      <c r="E369" s="218"/>
      <c r="F369" s="212"/>
      <c r="G369" s="215"/>
      <c r="H369" s="216"/>
      <c r="I369" s="216"/>
      <c r="J369" s="216"/>
      <c r="K369" s="216"/>
      <c r="L369" s="217"/>
    </row>
    <row r="370" ht="18.0" customHeight="1">
      <c r="A370" s="212"/>
      <c r="B370" s="212"/>
      <c r="C370" s="212"/>
      <c r="D370" s="212"/>
      <c r="E370" s="218"/>
      <c r="F370" s="212"/>
      <c r="G370" s="215"/>
      <c r="H370" s="216"/>
      <c r="I370" s="216"/>
      <c r="J370" s="216"/>
      <c r="K370" s="216"/>
      <c r="L370" s="217"/>
    </row>
    <row r="371" ht="18.0" customHeight="1">
      <c r="A371" s="212"/>
      <c r="B371" s="212"/>
      <c r="C371" s="212"/>
      <c r="D371" s="212"/>
      <c r="E371" s="218"/>
      <c r="F371" s="212"/>
      <c r="G371" s="215"/>
      <c r="H371" s="216"/>
      <c r="I371" s="216"/>
      <c r="J371" s="216"/>
      <c r="K371" s="216"/>
      <c r="L371" s="217"/>
    </row>
    <row r="372" ht="18.0" customHeight="1">
      <c r="A372" s="212"/>
      <c r="B372" s="212"/>
      <c r="C372" s="212"/>
      <c r="D372" s="212"/>
      <c r="E372" s="218"/>
      <c r="F372" s="212"/>
      <c r="G372" s="215"/>
      <c r="H372" s="216"/>
      <c r="I372" s="216"/>
      <c r="J372" s="216"/>
      <c r="K372" s="216"/>
      <c r="L372" s="217"/>
    </row>
    <row r="373" ht="18.0" customHeight="1">
      <c r="A373" s="212"/>
      <c r="B373" s="212"/>
      <c r="C373" s="212"/>
      <c r="D373" s="212"/>
      <c r="E373" s="218"/>
      <c r="F373" s="212"/>
      <c r="G373" s="215"/>
      <c r="H373" s="216"/>
      <c r="I373" s="216"/>
      <c r="J373" s="216"/>
      <c r="K373" s="216"/>
      <c r="L373" s="217"/>
    </row>
    <row r="374" ht="18.0" customHeight="1">
      <c r="A374" s="212"/>
      <c r="B374" s="212"/>
      <c r="C374" s="212"/>
      <c r="D374" s="212"/>
      <c r="E374" s="218"/>
      <c r="F374" s="212"/>
      <c r="G374" s="215"/>
      <c r="H374" s="216"/>
      <c r="I374" s="216"/>
      <c r="J374" s="216"/>
      <c r="K374" s="216"/>
      <c r="L374" s="217"/>
    </row>
    <row r="375" ht="18.0" customHeight="1">
      <c r="A375" s="212"/>
      <c r="B375" s="212"/>
      <c r="C375" s="212"/>
      <c r="D375" s="212"/>
      <c r="E375" s="218"/>
      <c r="F375" s="212"/>
      <c r="G375" s="215"/>
      <c r="H375" s="216"/>
      <c r="I375" s="216"/>
      <c r="J375" s="216"/>
      <c r="K375" s="216"/>
      <c r="L375" s="217"/>
    </row>
    <row r="376" ht="18.0" customHeight="1">
      <c r="A376" s="212"/>
      <c r="B376" s="212"/>
      <c r="C376" s="212"/>
      <c r="D376" s="212"/>
      <c r="E376" s="218"/>
      <c r="F376" s="212"/>
      <c r="G376" s="215"/>
      <c r="H376" s="216"/>
      <c r="I376" s="216"/>
      <c r="J376" s="216"/>
      <c r="K376" s="216"/>
      <c r="L376" s="217"/>
    </row>
    <row r="377" ht="18.0" customHeight="1">
      <c r="A377" s="212"/>
      <c r="B377" s="212"/>
      <c r="C377" s="212"/>
      <c r="D377" s="212"/>
      <c r="E377" s="218"/>
      <c r="F377" s="212"/>
      <c r="G377" s="215"/>
      <c r="H377" s="216"/>
      <c r="I377" s="216"/>
      <c r="J377" s="216"/>
      <c r="K377" s="216"/>
      <c r="L377" s="217"/>
    </row>
    <row r="378" ht="18.0" customHeight="1">
      <c r="A378" s="212"/>
      <c r="B378" s="212"/>
      <c r="C378" s="212"/>
      <c r="D378" s="212"/>
      <c r="E378" s="218"/>
      <c r="F378" s="212"/>
      <c r="G378" s="215"/>
      <c r="H378" s="216"/>
      <c r="I378" s="216"/>
      <c r="J378" s="216"/>
      <c r="K378" s="216"/>
      <c r="L378" s="217"/>
    </row>
    <row r="379" ht="18.0" customHeight="1">
      <c r="A379" s="212"/>
      <c r="B379" s="212"/>
      <c r="C379" s="212"/>
      <c r="D379" s="212"/>
      <c r="E379" s="218"/>
      <c r="F379" s="212"/>
      <c r="G379" s="215"/>
      <c r="H379" s="216"/>
      <c r="I379" s="216"/>
      <c r="J379" s="216"/>
      <c r="K379" s="216"/>
      <c r="L379" s="217"/>
    </row>
    <row r="380" ht="18.0" customHeight="1">
      <c r="A380" s="212"/>
      <c r="B380" s="212"/>
      <c r="C380" s="212"/>
      <c r="D380" s="212"/>
      <c r="E380" s="218"/>
      <c r="F380" s="212"/>
      <c r="G380" s="215"/>
      <c r="H380" s="216"/>
      <c r="I380" s="216"/>
      <c r="J380" s="216"/>
      <c r="K380" s="216"/>
      <c r="L380" s="217"/>
    </row>
    <row r="381" ht="18.0" customHeight="1">
      <c r="A381" s="212"/>
      <c r="B381" s="212"/>
      <c r="C381" s="212"/>
      <c r="D381" s="212"/>
      <c r="E381" s="218"/>
      <c r="F381" s="212"/>
      <c r="G381" s="215"/>
      <c r="H381" s="216"/>
      <c r="I381" s="216"/>
      <c r="J381" s="216"/>
      <c r="K381" s="216"/>
      <c r="L381" s="217"/>
    </row>
    <row r="382" ht="18.0" customHeight="1">
      <c r="A382" s="212"/>
      <c r="B382" s="212"/>
      <c r="C382" s="212"/>
      <c r="D382" s="212"/>
      <c r="E382" s="218"/>
      <c r="F382" s="212"/>
      <c r="G382" s="215"/>
      <c r="H382" s="216"/>
      <c r="I382" s="216"/>
      <c r="J382" s="216"/>
      <c r="K382" s="216"/>
      <c r="L382" s="217"/>
    </row>
    <row r="383" ht="18.0" customHeight="1">
      <c r="A383" s="212"/>
      <c r="B383" s="212"/>
      <c r="C383" s="212"/>
      <c r="D383" s="212"/>
      <c r="E383" s="218"/>
      <c r="F383" s="212"/>
      <c r="G383" s="215"/>
      <c r="H383" s="216"/>
      <c r="I383" s="216"/>
      <c r="J383" s="216"/>
      <c r="K383" s="216"/>
      <c r="L383" s="217"/>
    </row>
    <row r="384" ht="18.0" customHeight="1">
      <c r="A384" s="212"/>
      <c r="B384" s="212"/>
      <c r="C384" s="212"/>
      <c r="D384" s="212"/>
      <c r="E384" s="218"/>
      <c r="F384" s="212"/>
      <c r="G384" s="215"/>
      <c r="H384" s="216"/>
      <c r="I384" s="216"/>
      <c r="J384" s="216"/>
      <c r="K384" s="216"/>
      <c r="L384" s="217"/>
    </row>
    <row r="385" ht="18.0" customHeight="1">
      <c r="A385" s="212"/>
      <c r="B385" s="212"/>
      <c r="C385" s="212"/>
      <c r="D385" s="212"/>
      <c r="E385" s="218"/>
      <c r="F385" s="212"/>
      <c r="G385" s="215"/>
      <c r="H385" s="216"/>
      <c r="I385" s="216"/>
      <c r="J385" s="216"/>
      <c r="K385" s="216"/>
      <c r="L385" s="217"/>
    </row>
    <row r="386" ht="18.0" customHeight="1">
      <c r="A386" s="212"/>
      <c r="B386" s="212"/>
      <c r="C386" s="212"/>
      <c r="D386" s="212"/>
      <c r="E386" s="218"/>
      <c r="F386" s="212"/>
      <c r="G386" s="215"/>
      <c r="H386" s="216"/>
      <c r="I386" s="216"/>
      <c r="J386" s="216"/>
      <c r="K386" s="216"/>
      <c r="L386" s="217"/>
    </row>
    <row r="387" ht="18.0" customHeight="1">
      <c r="A387" s="212"/>
      <c r="B387" s="212"/>
      <c r="C387" s="212"/>
      <c r="D387" s="212"/>
      <c r="E387" s="218"/>
      <c r="F387" s="212"/>
      <c r="G387" s="215"/>
      <c r="H387" s="216"/>
      <c r="I387" s="216"/>
      <c r="J387" s="216"/>
      <c r="K387" s="216"/>
      <c r="L387" s="217"/>
    </row>
    <row r="388" ht="18.0" customHeight="1">
      <c r="A388" s="212"/>
      <c r="B388" s="212"/>
      <c r="C388" s="212"/>
      <c r="D388" s="212"/>
      <c r="E388" s="218"/>
      <c r="F388" s="212"/>
      <c r="G388" s="215"/>
      <c r="H388" s="216"/>
      <c r="I388" s="216"/>
      <c r="J388" s="216"/>
      <c r="K388" s="216"/>
      <c r="L388" s="217"/>
    </row>
    <row r="389" ht="18.0" customHeight="1">
      <c r="A389" s="212"/>
      <c r="B389" s="212"/>
      <c r="C389" s="212"/>
      <c r="D389" s="212"/>
      <c r="E389" s="218"/>
      <c r="F389" s="212"/>
      <c r="G389" s="215"/>
      <c r="H389" s="216"/>
      <c r="I389" s="216"/>
      <c r="J389" s="216"/>
      <c r="K389" s="216"/>
      <c r="L389" s="217"/>
    </row>
    <row r="390" ht="18.0" customHeight="1">
      <c r="A390" s="212"/>
      <c r="B390" s="212"/>
      <c r="C390" s="212"/>
      <c r="D390" s="212"/>
      <c r="E390" s="218"/>
      <c r="F390" s="212"/>
      <c r="G390" s="215"/>
      <c r="H390" s="216"/>
      <c r="I390" s="216"/>
      <c r="J390" s="216"/>
      <c r="K390" s="216"/>
      <c r="L390" s="217"/>
    </row>
    <row r="391" ht="18.0" customHeight="1">
      <c r="A391" s="212"/>
      <c r="B391" s="212"/>
      <c r="C391" s="212"/>
      <c r="D391" s="212"/>
      <c r="E391" s="218"/>
      <c r="F391" s="212"/>
      <c r="G391" s="215"/>
      <c r="H391" s="216"/>
      <c r="I391" s="216"/>
      <c r="J391" s="216"/>
      <c r="K391" s="216"/>
      <c r="L391" s="217"/>
    </row>
    <row r="392" ht="18.0" customHeight="1">
      <c r="A392" s="212"/>
      <c r="B392" s="212"/>
      <c r="C392" s="212"/>
      <c r="D392" s="212"/>
      <c r="E392" s="218"/>
      <c r="F392" s="212"/>
      <c r="G392" s="215"/>
      <c r="H392" s="216"/>
      <c r="I392" s="216"/>
      <c r="J392" s="216"/>
      <c r="K392" s="216"/>
      <c r="L392" s="217"/>
    </row>
    <row r="393" ht="18.0" customHeight="1">
      <c r="A393" s="212"/>
      <c r="B393" s="212"/>
      <c r="C393" s="212"/>
      <c r="D393" s="212"/>
      <c r="E393" s="218"/>
      <c r="F393" s="212"/>
      <c r="G393" s="215"/>
      <c r="H393" s="216"/>
      <c r="I393" s="216"/>
      <c r="J393" s="216"/>
      <c r="K393" s="216"/>
      <c r="L393" s="217"/>
    </row>
    <row r="394" ht="18.0" customHeight="1">
      <c r="A394" s="212"/>
      <c r="B394" s="212"/>
      <c r="C394" s="212"/>
      <c r="D394" s="212"/>
      <c r="E394" s="218"/>
      <c r="F394" s="212"/>
      <c r="G394" s="215"/>
      <c r="H394" s="216"/>
      <c r="I394" s="216"/>
      <c r="J394" s="216"/>
      <c r="K394" s="216"/>
      <c r="L394" s="217"/>
    </row>
    <row r="395" ht="18.0" customHeight="1">
      <c r="A395" s="212"/>
      <c r="B395" s="212"/>
      <c r="C395" s="212"/>
      <c r="D395" s="212"/>
      <c r="E395" s="218"/>
      <c r="F395" s="212"/>
      <c r="G395" s="215"/>
      <c r="H395" s="216"/>
      <c r="I395" s="216"/>
      <c r="J395" s="216"/>
      <c r="K395" s="216"/>
      <c r="L395" s="217"/>
    </row>
    <row r="396" ht="18.0" customHeight="1">
      <c r="A396" s="212"/>
      <c r="B396" s="212"/>
      <c r="C396" s="212"/>
      <c r="D396" s="212"/>
      <c r="E396" s="218"/>
      <c r="F396" s="212"/>
      <c r="G396" s="215"/>
      <c r="H396" s="216"/>
      <c r="I396" s="216"/>
      <c r="J396" s="216"/>
      <c r="K396" s="216"/>
      <c r="L396" s="217"/>
    </row>
    <row r="397" ht="18.0" customHeight="1">
      <c r="A397" s="212"/>
      <c r="B397" s="212"/>
      <c r="C397" s="212"/>
      <c r="D397" s="212"/>
      <c r="E397" s="218"/>
      <c r="F397" s="212"/>
      <c r="G397" s="215"/>
      <c r="H397" s="216"/>
      <c r="I397" s="216"/>
      <c r="J397" s="216"/>
      <c r="K397" s="216"/>
      <c r="L397" s="217"/>
    </row>
    <row r="398" ht="18.0" customHeight="1">
      <c r="A398" s="212"/>
      <c r="B398" s="212"/>
      <c r="C398" s="212"/>
      <c r="D398" s="212"/>
      <c r="E398" s="218"/>
      <c r="F398" s="212"/>
      <c r="G398" s="215"/>
      <c r="H398" s="216"/>
      <c r="I398" s="216"/>
      <c r="J398" s="216"/>
      <c r="K398" s="216"/>
      <c r="L398" s="217"/>
    </row>
    <row r="399" ht="18.0" customHeight="1">
      <c r="A399" s="212"/>
      <c r="B399" s="212"/>
      <c r="C399" s="212"/>
      <c r="D399" s="212"/>
      <c r="E399" s="218"/>
      <c r="F399" s="212"/>
      <c r="G399" s="215"/>
      <c r="H399" s="216"/>
      <c r="I399" s="216"/>
      <c r="J399" s="216"/>
      <c r="K399" s="216"/>
      <c r="L399" s="217"/>
    </row>
    <row r="400" ht="18.0" customHeight="1">
      <c r="A400" s="212"/>
      <c r="B400" s="212"/>
      <c r="C400" s="212"/>
      <c r="D400" s="212"/>
      <c r="E400" s="218"/>
      <c r="F400" s="212"/>
      <c r="G400" s="215"/>
      <c r="H400" s="216"/>
      <c r="I400" s="216"/>
      <c r="J400" s="216"/>
      <c r="K400" s="216"/>
      <c r="L400" s="217"/>
    </row>
    <row r="401" ht="18.0" customHeight="1">
      <c r="A401" s="212"/>
      <c r="B401" s="212"/>
      <c r="C401" s="212"/>
      <c r="D401" s="212"/>
      <c r="E401" s="218"/>
      <c r="F401" s="212"/>
      <c r="G401" s="215"/>
      <c r="H401" s="216"/>
      <c r="I401" s="216"/>
      <c r="J401" s="216"/>
      <c r="K401" s="216"/>
      <c r="L401" s="217"/>
    </row>
    <row r="402" ht="18.0" customHeight="1">
      <c r="A402" s="212"/>
      <c r="B402" s="212"/>
      <c r="C402" s="212"/>
      <c r="D402" s="212"/>
      <c r="E402" s="218"/>
      <c r="F402" s="212"/>
      <c r="G402" s="215"/>
      <c r="H402" s="216"/>
      <c r="I402" s="216"/>
      <c r="J402" s="216"/>
      <c r="K402" s="216"/>
      <c r="L402" s="217"/>
    </row>
    <row r="403" ht="18.0" customHeight="1">
      <c r="A403" s="212"/>
      <c r="B403" s="212"/>
      <c r="C403" s="212"/>
      <c r="D403" s="212"/>
      <c r="E403" s="218"/>
      <c r="F403" s="212"/>
      <c r="G403" s="215"/>
      <c r="H403" s="216"/>
      <c r="I403" s="216"/>
      <c r="J403" s="216"/>
      <c r="K403" s="216"/>
      <c r="L403" s="217"/>
    </row>
    <row r="404" ht="18.0" customHeight="1">
      <c r="A404" s="212"/>
      <c r="B404" s="212"/>
      <c r="C404" s="212"/>
      <c r="D404" s="212"/>
      <c r="E404" s="218"/>
      <c r="F404" s="212"/>
      <c r="G404" s="215"/>
      <c r="H404" s="216"/>
      <c r="I404" s="216"/>
      <c r="J404" s="216"/>
      <c r="K404" s="216"/>
      <c r="L404" s="217"/>
    </row>
    <row r="405" ht="18.0" customHeight="1">
      <c r="A405" s="212"/>
      <c r="B405" s="212"/>
      <c r="C405" s="212"/>
      <c r="D405" s="212"/>
      <c r="E405" s="218"/>
      <c r="F405" s="212"/>
      <c r="G405" s="215"/>
      <c r="H405" s="216"/>
      <c r="I405" s="216"/>
      <c r="J405" s="216"/>
      <c r="K405" s="216"/>
      <c r="L405" s="217"/>
    </row>
    <row r="406" ht="18.0" customHeight="1">
      <c r="A406" s="212"/>
      <c r="B406" s="212"/>
      <c r="C406" s="212"/>
      <c r="D406" s="212"/>
      <c r="E406" s="218"/>
      <c r="F406" s="212"/>
      <c r="G406" s="215"/>
      <c r="H406" s="216"/>
      <c r="I406" s="216"/>
      <c r="J406" s="216"/>
      <c r="K406" s="216"/>
      <c r="L406" s="217"/>
    </row>
    <row r="407" ht="18.0" customHeight="1">
      <c r="A407" s="212"/>
      <c r="B407" s="212"/>
      <c r="C407" s="212"/>
      <c r="D407" s="212"/>
      <c r="E407" s="218"/>
      <c r="F407" s="212"/>
      <c r="G407" s="215"/>
      <c r="H407" s="216"/>
      <c r="I407" s="216"/>
      <c r="J407" s="216"/>
      <c r="K407" s="216"/>
      <c r="L407" s="217"/>
    </row>
    <row r="408" ht="18.0" customHeight="1">
      <c r="A408" s="212"/>
      <c r="B408" s="212"/>
      <c r="C408" s="212"/>
      <c r="D408" s="212"/>
      <c r="E408" s="218"/>
      <c r="F408" s="212"/>
      <c r="G408" s="215"/>
      <c r="H408" s="216"/>
      <c r="I408" s="216"/>
      <c r="J408" s="216"/>
      <c r="K408" s="216"/>
      <c r="L408" s="217"/>
    </row>
    <row r="409" ht="18.0" customHeight="1">
      <c r="A409" s="212"/>
      <c r="B409" s="212"/>
      <c r="C409" s="212"/>
      <c r="D409" s="212"/>
      <c r="E409" s="218"/>
      <c r="F409" s="212"/>
      <c r="G409" s="215"/>
      <c r="H409" s="216"/>
      <c r="I409" s="216"/>
      <c r="J409" s="216"/>
      <c r="K409" s="216"/>
      <c r="L409" s="217"/>
    </row>
    <row r="410" ht="18.0" customHeight="1">
      <c r="A410" s="212"/>
      <c r="B410" s="212"/>
      <c r="C410" s="212"/>
      <c r="D410" s="212"/>
      <c r="E410" s="218"/>
      <c r="F410" s="212"/>
      <c r="G410" s="215"/>
      <c r="H410" s="216"/>
      <c r="I410" s="216"/>
      <c r="J410" s="216"/>
      <c r="K410" s="216"/>
      <c r="L410" s="217"/>
    </row>
    <row r="411" ht="18.0" customHeight="1">
      <c r="A411" s="212"/>
      <c r="B411" s="212"/>
      <c r="C411" s="212"/>
      <c r="D411" s="212"/>
      <c r="E411" s="218"/>
      <c r="F411" s="212"/>
      <c r="G411" s="215"/>
      <c r="H411" s="216"/>
      <c r="I411" s="216"/>
      <c r="J411" s="216"/>
      <c r="K411" s="216"/>
      <c r="L411" s="217"/>
    </row>
    <row r="412" ht="18.0" customHeight="1">
      <c r="A412" s="212"/>
      <c r="B412" s="212"/>
      <c r="C412" s="212"/>
      <c r="D412" s="212"/>
      <c r="E412" s="218"/>
      <c r="F412" s="212"/>
      <c r="G412" s="215"/>
      <c r="H412" s="216"/>
      <c r="I412" s="216"/>
      <c r="J412" s="216"/>
      <c r="K412" s="216"/>
      <c r="L412" s="217"/>
    </row>
    <row r="413" ht="18.0" customHeight="1">
      <c r="A413" s="212"/>
      <c r="B413" s="212"/>
      <c r="C413" s="212"/>
      <c r="D413" s="212"/>
      <c r="E413" s="218"/>
      <c r="F413" s="212"/>
      <c r="G413" s="215"/>
      <c r="H413" s="216"/>
      <c r="I413" s="216"/>
      <c r="J413" s="216"/>
      <c r="K413" s="216"/>
      <c r="L413" s="217"/>
    </row>
    <row r="414" ht="18.0" customHeight="1">
      <c r="A414" s="212"/>
      <c r="B414" s="212"/>
      <c r="C414" s="212"/>
      <c r="D414" s="212"/>
      <c r="E414" s="218"/>
      <c r="F414" s="212"/>
      <c r="G414" s="215"/>
      <c r="H414" s="216"/>
      <c r="I414" s="216"/>
      <c r="J414" s="216"/>
      <c r="K414" s="216"/>
      <c r="L414" s="217"/>
    </row>
    <row r="415" ht="18.0" customHeight="1">
      <c r="A415" s="212"/>
      <c r="B415" s="212"/>
      <c r="C415" s="212"/>
      <c r="D415" s="212"/>
      <c r="E415" s="218"/>
      <c r="F415" s="212"/>
      <c r="G415" s="215"/>
      <c r="H415" s="216"/>
      <c r="I415" s="216"/>
      <c r="J415" s="216"/>
      <c r="K415" s="216"/>
      <c r="L415" s="217"/>
    </row>
    <row r="416" ht="18.0" customHeight="1">
      <c r="A416" s="212"/>
      <c r="B416" s="212"/>
      <c r="C416" s="212"/>
      <c r="D416" s="212"/>
      <c r="E416" s="218"/>
      <c r="F416" s="212"/>
      <c r="G416" s="215"/>
      <c r="H416" s="216"/>
      <c r="I416" s="216"/>
      <c r="J416" s="216"/>
      <c r="K416" s="216"/>
      <c r="L416" s="217"/>
    </row>
    <row r="417" ht="18.0" customHeight="1">
      <c r="A417" s="212"/>
      <c r="B417" s="212"/>
      <c r="C417" s="212"/>
      <c r="D417" s="212"/>
      <c r="E417" s="218"/>
      <c r="F417" s="212"/>
      <c r="G417" s="215"/>
      <c r="H417" s="216"/>
      <c r="I417" s="216"/>
      <c r="J417" s="216"/>
      <c r="K417" s="216"/>
      <c r="L417" s="217"/>
    </row>
    <row r="418" ht="18.0" customHeight="1">
      <c r="A418" s="212"/>
      <c r="B418" s="212"/>
      <c r="C418" s="212"/>
      <c r="D418" s="212"/>
      <c r="E418" s="218"/>
      <c r="F418" s="212"/>
      <c r="G418" s="215"/>
      <c r="H418" s="216"/>
      <c r="I418" s="216"/>
      <c r="J418" s="216"/>
      <c r="K418" s="216"/>
      <c r="L418" s="217"/>
    </row>
    <row r="419" ht="18.0" customHeight="1">
      <c r="A419" s="212"/>
      <c r="B419" s="212"/>
      <c r="C419" s="212"/>
      <c r="D419" s="212"/>
      <c r="E419" s="218"/>
      <c r="F419" s="212"/>
      <c r="G419" s="215"/>
      <c r="H419" s="216"/>
      <c r="I419" s="216"/>
      <c r="J419" s="216"/>
      <c r="K419" s="216"/>
      <c r="L419" s="217"/>
    </row>
    <row r="420" ht="18.0" customHeight="1">
      <c r="A420" s="212"/>
      <c r="B420" s="212"/>
      <c r="C420" s="212"/>
      <c r="D420" s="212"/>
      <c r="E420" s="218"/>
      <c r="F420" s="212"/>
      <c r="G420" s="215"/>
      <c r="H420" s="216"/>
      <c r="I420" s="216"/>
      <c r="J420" s="216"/>
      <c r="K420" s="216"/>
      <c r="L420" s="217"/>
    </row>
    <row r="421" ht="18.0" customHeight="1">
      <c r="A421" s="212"/>
      <c r="B421" s="212"/>
      <c r="C421" s="212"/>
      <c r="D421" s="212"/>
      <c r="E421" s="218"/>
      <c r="F421" s="212"/>
      <c r="G421" s="215"/>
      <c r="H421" s="216"/>
      <c r="I421" s="216"/>
      <c r="J421" s="216"/>
      <c r="K421" s="216"/>
      <c r="L421" s="217"/>
    </row>
    <row r="422" ht="18.0" customHeight="1">
      <c r="A422" s="212"/>
      <c r="B422" s="212"/>
      <c r="C422" s="212"/>
      <c r="D422" s="212"/>
      <c r="E422" s="218"/>
      <c r="F422" s="212"/>
      <c r="G422" s="215"/>
      <c r="H422" s="216"/>
      <c r="I422" s="216"/>
      <c r="J422" s="216"/>
      <c r="K422" s="216"/>
      <c r="L422" s="217"/>
    </row>
    <row r="423" ht="18.0" customHeight="1">
      <c r="A423" s="212"/>
      <c r="B423" s="212"/>
      <c r="C423" s="212"/>
      <c r="D423" s="212"/>
      <c r="E423" s="218"/>
      <c r="F423" s="212"/>
      <c r="G423" s="215"/>
      <c r="H423" s="216"/>
      <c r="I423" s="216"/>
      <c r="J423" s="216"/>
      <c r="K423" s="216"/>
      <c r="L423" s="217"/>
    </row>
    <row r="424" ht="18.0" customHeight="1">
      <c r="A424" s="212"/>
      <c r="B424" s="212"/>
      <c r="C424" s="212"/>
      <c r="D424" s="212"/>
      <c r="E424" s="218"/>
      <c r="F424" s="212"/>
      <c r="G424" s="215"/>
      <c r="H424" s="216"/>
      <c r="I424" s="216"/>
      <c r="J424" s="216"/>
      <c r="K424" s="216"/>
      <c r="L424" s="217"/>
    </row>
    <row r="425" ht="18.0" customHeight="1">
      <c r="A425" s="212"/>
      <c r="B425" s="212"/>
      <c r="C425" s="212"/>
      <c r="D425" s="212"/>
      <c r="E425" s="218"/>
      <c r="F425" s="212"/>
      <c r="G425" s="215"/>
      <c r="H425" s="216"/>
      <c r="I425" s="216"/>
      <c r="J425" s="216"/>
      <c r="K425" s="216"/>
      <c r="L425" s="217"/>
    </row>
    <row r="426" ht="18.0" customHeight="1">
      <c r="A426" s="212"/>
      <c r="B426" s="212"/>
      <c r="C426" s="212"/>
      <c r="D426" s="212"/>
      <c r="E426" s="218"/>
      <c r="F426" s="212"/>
      <c r="G426" s="215"/>
      <c r="H426" s="216"/>
      <c r="I426" s="216"/>
      <c r="J426" s="216"/>
      <c r="K426" s="216"/>
      <c r="L426" s="217"/>
    </row>
    <row r="427" ht="18.0" customHeight="1">
      <c r="A427" s="212"/>
      <c r="B427" s="212"/>
      <c r="C427" s="212"/>
      <c r="D427" s="212"/>
      <c r="E427" s="218"/>
      <c r="F427" s="212"/>
      <c r="G427" s="215"/>
      <c r="H427" s="216"/>
      <c r="I427" s="216"/>
      <c r="J427" s="216"/>
      <c r="K427" s="216"/>
      <c r="L427" s="217"/>
    </row>
    <row r="428" ht="18.0" customHeight="1">
      <c r="A428" s="212"/>
      <c r="B428" s="212"/>
      <c r="C428" s="212"/>
      <c r="D428" s="212"/>
      <c r="E428" s="218"/>
      <c r="F428" s="212"/>
      <c r="G428" s="215"/>
      <c r="H428" s="216"/>
      <c r="I428" s="216"/>
      <c r="J428" s="216"/>
      <c r="K428" s="216"/>
      <c r="L428" s="217"/>
    </row>
    <row r="429" ht="18.0" customHeight="1">
      <c r="A429" s="212"/>
      <c r="B429" s="212"/>
      <c r="C429" s="212"/>
      <c r="D429" s="212"/>
      <c r="E429" s="218"/>
      <c r="F429" s="212"/>
      <c r="G429" s="215"/>
      <c r="H429" s="216"/>
      <c r="I429" s="216"/>
      <c r="J429" s="216"/>
      <c r="K429" s="216"/>
      <c r="L429" s="217"/>
    </row>
    <row r="430" ht="18.0" customHeight="1">
      <c r="A430" s="212"/>
      <c r="B430" s="212"/>
      <c r="C430" s="212"/>
      <c r="D430" s="212"/>
      <c r="E430" s="218"/>
      <c r="F430" s="212"/>
      <c r="G430" s="215"/>
      <c r="H430" s="216"/>
      <c r="I430" s="216"/>
      <c r="J430" s="216"/>
      <c r="K430" s="216"/>
      <c r="L430" s="217"/>
    </row>
    <row r="431" ht="18.0" customHeight="1">
      <c r="A431" s="212"/>
      <c r="B431" s="212"/>
      <c r="C431" s="212"/>
      <c r="D431" s="212"/>
      <c r="E431" s="218"/>
      <c r="F431" s="212"/>
      <c r="G431" s="215"/>
      <c r="H431" s="216"/>
      <c r="I431" s="216"/>
      <c r="J431" s="216"/>
      <c r="K431" s="216"/>
      <c r="L431" s="217"/>
    </row>
    <row r="432" ht="18.0" customHeight="1">
      <c r="A432" s="212"/>
      <c r="B432" s="212"/>
      <c r="C432" s="212"/>
      <c r="D432" s="212"/>
      <c r="E432" s="218"/>
      <c r="F432" s="212"/>
      <c r="G432" s="215"/>
      <c r="H432" s="216"/>
      <c r="I432" s="216"/>
      <c r="J432" s="216"/>
      <c r="K432" s="216"/>
      <c r="L432" s="217"/>
    </row>
    <row r="433" ht="18.0" customHeight="1">
      <c r="A433" s="212"/>
      <c r="B433" s="212"/>
      <c r="C433" s="212"/>
      <c r="D433" s="212"/>
      <c r="E433" s="218"/>
      <c r="F433" s="212"/>
      <c r="G433" s="215"/>
      <c r="H433" s="216"/>
      <c r="I433" s="216"/>
      <c r="J433" s="216"/>
      <c r="K433" s="216"/>
      <c r="L433" s="217"/>
    </row>
    <row r="434" ht="18.0" customHeight="1">
      <c r="A434" s="212"/>
      <c r="B434" s="212"/>
      <c r="C434" s="212"/>
      <c r="D434" s="212"/>
      <c r="E434" s="218"/>
      <c r="F434" s="212"/>
      <c r="G434" s="215"/>
      <c r="H434" s="216"/>
      <c r="I434" s="216"/>
      <c r="J434" s="216"/>
      <c r="K434" s="216"/>
      <c r="L434" s="217"/>
    </row>
    <row r="435" ht="18.0" customHeight="1">
      <c r="A435" s="212"/>
      <c r="B435" s="212"/>
      <c r="C435" s="212"/>
      <c r="D435" s="212"/>
      <c r="E435" s="218"/>
      <c r="F435" s="212"/>
      <c r="G435" s="215"/>
      <c r="H435" s="216"/>
      <c r="I435" s="216"/>
      <c r="J435" s="216"/>
      <c r="K435" s="216"/>
      <c r="L435" s="217"/>
    </row>
    <row r="436" ht="18.0" customHeight="1">
      <c r="A436" s="212"/>
      <c r="B436" s="212"/>
      <c r="C436" s="212"/>
      <c r="D436" s="212"/>
      <c r="E436" s="218"/>
      <c r="F436" s="212"/>
      <c r="G436" s="215"/>
      <c r="H436" s="216"/>
      <c r="I436" s="216"/>
      <c r="J436" s="216"/>
      <c r="K436" s="216"/>
      <c r="L436" s="217"/>
    </row>
    <row r="437" ht="18.0" customHeight="1">
      <c r="A437" s="212"/>
      <c r="B437" s="212"/>
      <c r="C437" s="212"/>
      <c r="D437" s="212"/>
      <c r="E437" s="218"/>
      <c r="F437" s="212"/>
      <c r="G437" s="215"/>
      <c r="H437" s="216"/>
      <c r="I437" s="216"/>
      <c r="J437" s="216"/>
      <c r="K437" s="216"/>
      <c r="L437" s="217"/>
    </row>
    <row r="438" ht="18.0" customHeight="1">
      <c r="A438" s="212"/>
      <c r="B438" s="212"/>
      <c r="C438" s="212"/>
      <c r="D438" s="212"/>
      <c r="E438" s="218"/>
      <c r="F438" s="212"/>
      <c r="G438" s="215"/>
      <c r="H438" s="216"/>
      <c r="I438" s="216"/>
      <c r="J438" s="216"/>
      <c r="K438" s="216"/>
      <c r="L438" s="217"/>
    </row>
    <row r="439" ht="18.0" customHeight="1">
      <c r="A439" s="212"/>
      <c r="B439" s="212"/>
      <c r="C439" s="212"/>
      <c r="D439" s="212"/>
      <c r="E439" s="218"/>
      <c r="F439" s="212"/>
      <c r="G439" s="215"/>
      <c r="H439" s="216"/>
      <c r="I439" s="216"/>
      <c r="J439" s="216"/>
      <c r="K439" s="216"/>
      <c r="L439" s="217"/>
    </row>
    <row r="440" ht="18.0" customHeight="1">
      <c r="A440" s="212"/>
      <c r="B440" s="212"/>
      <c r="C440" s="212"/>
      <c r="D440" s="212"/>
      <c r="E440" s="218"/>
      <c r="F440" s="212"/>
      <c r="G440" s="215"/>
      <c r="H440" s="216"/>
      <c r="I440" s="216"/>
      <c r="J440" s="216"/>
      <c r="K440" s="216"/>
      <c r="L440" s="217"/>
    </row>
    <row r="441" ht="18.0" customHeight="1">
      <c r="A441" s="212"/>
      <c r="B441" s="212"/>
      <c r="C441" s="212"/>
      <c r="D441" s="212"/>
      <c r="E441" s="218"/>
      <c r="F441" s="212"/>
      <c r="G441" s="215"/>
      <c r="H441" s="216"/>
      <c r="I441" s="216"/>
      <c r="J441" s="216"/>
      <c r="K441" s="216"/>
      <c r="L441" s="217"/>
    </row>
    <row r="442" ht="18.0" customHeight="1">
      <c r="A442" s="212"/>
      <c r="B442" s="212"/>
      <c r="C442" s="212"/>
      <c r="D442" s="212"/>
      <c r="E442" s="218"/>
      <c r="F442" s="212"/>
      <c r="G442" s="215"/>
      <c r="H442" s="216"/>
      <c r="I442" s="216"/>
      <c r="J442" s="216"/>
      <c r="K442" s="216"/>
      <c r="L442" s="217"/>
    </row>
    <row r="443" ht="18.0" customHeight="1">
      <c r="A443" s="212"/>
      <c r="B443" s="212"/>
      <c r="C443" s="212"/>
      <c r="D443" s="212"/>
      <c r="E443" s="218"/>
      <c r="F443" s="212"/>
      <c r="G443" s="215"/>
      <c r="H443" s="216"/>
      <c r="I443" s="216"/>
      <c r="J443" s="216"/>
      <c r="K443" s="216"/>
      <c r="L443" s="217"/>
    </row>
    <row r="444" ht="18.0" customHeight="1">
      <c r="A444" s="212"/>
      <c r="B444" s="212"/>
      <c r="C444" s="212"/>
      <c r="D444" s="212"/>
      <c r="E444" s="218"/>
      <c r="F444" s="212"/>
      <c r="G444" s="215"/>
      <c r="H444" s="216"/>
      <c r="I444" s="216"/>
      <c r="J444" s="216"/>
      <c r="K444" s="216"/>
      <c r="L444" s="217"/>
    </row>
    <row r="445" ht="18.0" customHeight="1">
      <c r="A445" s="212"/>
      <c r="B445" s="212"/>
      <c r="C445" s="212"/>
      <c r="D445" s="212"/>
      <c r="E445" s="218"/>
      <c r="F445" s="212"/>
      <c r="G445" s="215"/>
      <c r="H445" s="216"/>
      <c r="I445" s="216"/>
      <c r="J445" s="216"/>
      <c r="K445" s="216"/>
      <c r="L445" s="217"/>
    </row>
    <row r="446" ht="18.0" customHeight="1">
      <c r="A446" s="212"/>
      <c r="B446" s="212"/>
      <c r="C446" s="212"/>
      <c r="D446" s="212"/>
      <c r="E446" s="218"/>
      <c r="F446" s="212"/>
      <c r="G446" s="215"/>
      <c r="H446" s="216"/>
      <c r="I446" s="216"/>
      <c r="J446" s="216"/>
      <c r="K446" s="216"/>
      <c r="L446" s="217"/>
    </row>
    <row r="447" ht="18.0" customHeight="1">
      <c r="A447" s="212"/>
      <c r="B447" s="212"/>
      <c r="C447" s="212"/>
      <c r="D447" s="212"/>
      <c r="E447" s="218"/>
      <c r="F447" s="212"/>
      <c r="G447" s="215"/>
      <c r="H447" s="216"/>
      <c r="I447" s="216"/>
      <c r="J447" s="216"/>
      <c r="K447" s="216"/>
      <c r="L447" s="217"/>
    </row>
    <row r="448" ht="18.0" customHeight="1">
      <c r="A448" s="212"/>
      <c r="B448" s="212"/>
      <c r="C448" s="212"/>
      <c r="D448" s="212"/>
      <c r="E448" s="218"/>
      <c r="F448" s="212"/>
      <c r="G448" s="215"/>
      <c r="H448" s="216"/>
      <c r="I448" s="216"/>
      <c r="J448" s="216"/>
      <c r="K448" s="216"/>
      <c r="L448" s="217"/>
    </row>
    <row r="449" ht="18.0" customHeight="1">
      <c r="A449" s="212"/>
      <c r="B449" s="212"/>
      <c r="C449" s="212"/>
      <c r="D449" s="212"/>
      <c r="E449" s="218"/>
      <c r="F449" s="212"/>
      <c r="G449" s="215"/>
      <c r="H449" s="216"/>
      <c r="I449" s="216"/>
      <c r="J449" s="216"/>
      <c r="K449" s="216"/>
      <c r="L449" s="217"/>
    </row>
    <row r="450" ht="18.0" customHeight="1">
      <c r="A450" s="212"/>
      <c r="B450" s="212"/>
      <c r="C450" s="212"/>
      <c r="D450" s="212"/>
      <c r="E450" s="218"/>
      <c r="F450" s="212"/>
      <c r="G450" s="215"/>
      <c r="H450" s="216"/>
      <c r="I450" s="216"/>
      <c r="J450" s="216"/>
      <c r="K450" s="216"/>
      <c r="L450" s="217"/>
    </row>
    <row r="451" ht="18.0" customHeight="1">
      <c r="A451" s="212"/>
      <c r="B451" s="212"/>
      <c r="C451" s="212"/>
      <c r="D451" s="212"/>
      <c r="E451" s="218"/>
      <c r="F451" s="212"/>
      <c r="G451" s="215"/>
      <c r="H451" s="216"/>
      <c r="I451" s="216"/>
      <c r="J451" s="216"/>
      <c r="K451" s="216"/>
      <c r="L451" s="217"/>
    </row>
    <row r="452" ht="18.0" customHeight="1">
      <c r="A452" s="212"/>
      <c r="B452" s="212"/>
      <c r="C452" s="212"/>
      <c r="D452" s="212"/>
      <c r="E452" s="218"/>
      <c r="F452" s="212"/>
      <c r="G452" s="215"/>
      <c r="H452" s="216"/>
      <c r="I452" s="216"/>
      <c r="J452" s="216"/>
      <c r="K452" s="216"/>
      <c r="L452" s="217"/>
    </row>
    <row r="453" ht="18.0" customHeight="1">
      <c r="A453" s="212"/>
      <c r="B453" s="212"/>
      <c r="C453" s="212"/>
      <c r="D453" s="212"/>
      <c r="E453" s="218"/>
      <c r="F453" s="212"/>
      <c r="G453" s="215"/>
      <c r="H453" s="216"/>
      <c r="I453" s="216"/>
      <c r="J453" s="216"/>
      <c r="K453" s="216"/>
      <c r="L453" s="217"/>
    </row>
    <row r="454" ht="18.0" customHeight="1">
      <c r="A454" s="212"/>
      <c r="B454" s="212"/>
      <c r="C454" s="212"/>
      <c r="D454" s="212"/>
      <c r="E454" s="218"/>
      <c r="F454" s="212"/>
      <c r="G454" s="215"/>
      <c r="H454" s="216"/>
      <c r="I454" s="216"/>
      <c r="J454" s="216"/>
      <c r="K454" s="216"/>
      <c r="L454" s="217"/>
    </row>
    <row r="455" ht="18.0" customHeight="1">
      <c r="A455" s="212"/>
      <c r="B455" s="212"/>
      <c r="C455" s="212"/>
      <c r="D455" s="212"/>
      <c r="E455" s="218"/>
      <c r="F455" s="212"/>
      <c r="G455" s="215"/>
      <c r="H455" s="216"/>
      <c r="I455" s="216"/>
      <c r="J455" s="216"/>
      <c r="K455" s="216"/>
      <c r="L455" s="217"/>
    </row>
    <row r="456" ht="18.0" customHeight="1">
      <c r="A456" s="212"/>
      <c r="B456" s="212"/>
      <c r="C456" s="212"/>
      <c r="D456" s="212"/>
      <c r="E456" s="218"/>
      <c r="F456" s="212"/>
      <c r="G456" s="215"/>
      <c r="H456" s="216"/>
      <c r="I456" s="216"/>
      <c r="J456" s="216"/>
      <c r="K456" s="216"/>
      <c r="L456" s="217"/>
    </row>
    <row r="457" ht="18.0" customHeight="1">
      <c r="A457" s="212"/>
      <c r="B457" s="212"/>
      <c r="C457" s="212"/>
      <c r="D457" s="212"/>
      <c r="E457" s="218"/>
      <c r="F457" s="212"/>
      <c r="G457" s="215"/>
      <c r="H457" s="216"/>
      <c r="I457" s="216"/>
      <c r="J457" s="216"/>
      <c r="K457" s="216"/>
      <c r="L457" s="217"/>
    </row>
    <row r="458" ht="18.0" customHeight="1">
      <c r="A458" s="212"/>
      <c r="B458" s="212"/>
      <c r="C458" s="212"/>
      <c r="D458" s="212"/>
      <c r="E458" s="218"/>
      <c r="F458" s="212"/>
      <c r="G458" s="215"/>
      <c r="H458" s="216"/>
      <c r="I458" s="216"/>
      <c r="J458" s="216"/>
      <c r="K458" s="216"/>
      <c r="L458" s="217"/>
    </row>
    <row r="459" ht="18.0" customHeight="1">
      <c r="A459" s="212"/>
      <c r="B459" s="212"/>
      <c r="C459" s="212"/>
      <c r="D459" s="212"/>
      <c r="E459" s="218"/>
      <c r="F459" s="212"/>
      <c r="G459" s="215"/>
      <c r="H459" s="216"/>
      <c r="I459" s="216"/>
      <c r="J459" s="216"/>
      <c r="K459" s="216"/>
      <c r="L459" s="217"/>
    </row>
    <row r="460" ht="18.0" customHeight="1">
      <c r="A460" s="212"/>
      <c r="B460" s="212"/>
      <c r="C460" s="212"/>
      <c r="D460" s="212"/>
      <c r="E460" s="218"/>
      <c r="F460" s="212"/>
      <c r="G460" s="215"/>
      <c r="H460" s="216"/>
      <c r="I460" s="216"/>
      <c r="J460" s="216"/>
      <c r="K460" s="216"/>
      <c r="L460" s="217"/>
    </row>
    <row r="461" ht="18.0" customHeight="1">
      <c r="A461" s="212"/>
      <c r="B461" s="212"/>
      <c r="C461" s="212"/>
      <c r="D461" s="212"/>
      <c r="E461" s="218"/>
      <c r="F461" s="212"/>
      <c r="G461" s="215"/>
      <c r="H461" s="216"/>
      <c r="I461" s="216"/>
      <c r="J461" s="216"/>
      <c r="K461" s="216"/>
      <c r="L461" s="217"/>
    </row>
    <row r="462" ht="18.0" customHeight="1">
      <c r="A462" s="212"/>
      <c r="B462" s="212"/>
      <c r="C462" s="212"/>
      <c r="D462" s="212"/>
      <c r="E462" s="218"/>
      <c r="F462" s="212"/>
      <c r="G462" s="215"/>
      <c r="H462" s="216"/>
      <c r="I462" s="216"/>
      <c r="J462" s="216"/>
      <c r="K462" s="216"/>
      <c r="L462" s="217"/>
    </row>
    <row r="463" ht="18.0" customHeight="1">
      <c r="A463" s="212"/>
      <c r="B463" s="212"/>
      <c r="C463" s="212"/>
      <c r="D463" s="212"/>
      <c r="E463" s="218"/>
      <c r="F463" s="212"/>
      <c r="G463" s="215"/>
      <c r="H463" s="216"/>
      <c r="I463" s="216"/>
      <c r="J463" s="216"/>
      <c r="K463" s="216"/>
      <c r="L463" s="217"/>
    </row>
    <row r="464" ht="18.0" customHeight="1">
      <c r="A464" s="212"/>
      <c r="B464" s="212"/>
      <c r="C464" s="212"/>
      <c r="D464" s="212"/>
      <c r="E464" s="218"/>
      <c r="F464" s="212"/>
      <c r="G464" s="215"/>
      <c r="H464" s="216"/>
      <c r="I464" s="216"/>
      <c r="J464" s="216"/>
      <c r="K464" s="216"/>
      <c r="L464" s="217"/>
    </row>
    <row r="465" ht="18.0" customHeight="1">
      <c r="A465" s="212"/>
      <c r="B465" s="212"/>
      <c r="C465" s="212"/>
      <c r="D465" s="212"/>
      <c r="E465" s="218"/>
      <c r="F465" s="212"/>
      <c r="G465" s="215"/>
      <c r="H465" s="216"/>
      <c r="I465" s="216"/>
      <c r="J465" s="216"/>
      <c r="K465" s="216"/>
      <c r="L465" s="217"/>
    </row>
    <row r="466" ht="18.0" customHeight="1">
      <c r="A466" s="212"/>
      <c r="B466" s="212"/>
      <c r="C466" s="212"/>
      <c r="D466" s="212"/>
      <c r="E466" s="218"/>
      <c r="F466" s="212"/>
      <c r="G466" s="215"/>
      <c r="H466" s="216"/>
      <c r="I466" s="216"/>
      <c r="J466" s="216"/>
      <c r="K466" s="216"/>
      <c r="L466" s="217"/>
    </row>
    <row r="467" ht="18.0" customHeight="1">
      <c r="A467" s="212"/>
      <c r="B467" s="212"/>
      <c r="C467" s="212"/>
      <c r="D467" s="212"/>
      <c r="E467" s="218"/>
      <c r="F467" s="212"/>
      <c r="G467" s="215"/>
      <c r="H467" s="216"/>
      <c r="I467" s="216"/>
      <c r="J467" s="216"/>
      <c r="K467" s="216"/>
      <c r="L467" s="217"/>
    </row>
    <row r="468" ht="18.0" customHeight="1">
      <c r="A468" s="212"/>
      <c r="B468" s="212"/>
      <c r="C468" s="212"/>
      <c r="D468" s="212"/>
      <c r="E468" s="218"/>
      <c r="F468" s="212"/>
      <c r="G468" s="215"/>
      <c r="H468" s="216"/>
      <c r="I468" s="216"/>
      <c r="J468" s="216"/>
      <c r="K468" s="216"/>
      <c r="L468" s="217"/>
    </row>
    <row r="469" ht="18.0" customHeight="1">
      <c r="A469" s="212"/>
      <c r="B469" s="212"/>
      <c r="C469" s="212"/>
      <c r="D469" s="212"/>
      <c r="E469" s="218"/>
      <c r="F469" s="212"/>
      <c r="G469" s="215"/>
      <c r="H469" s="216"/>
      <c r="I469" s="216"/>
      <c r="J469" s="216"/>
      <c r="K469" s="216"/>
      <c r="L469" s="217"/>
    </row>
    <row r="470" ht="18.0" customHeight="1">
      <c r="A470" s="212"/>
      <c r="B470" s="212"/>
      <c r="C470" s="212"/>
      <c r="D470" s="212"/>
      <c r="E470" s="218"/>
      <c r="F470" s="212"/>
      <c r="G470" s="215"/>
      <c r="H470" s="216"/>
      <c r="I470" s="216"/>
      <c r="J470" s="216"/>
      <c r="K470" s="216"/>
      <c r="L470" s="217"/>
    </row>
    <row r="471" ht="18.0" customHeight="1">
      <c r="A471" s="212"/>
      <c r="B471" s="212"/>
      <c r="C471" s="212"/>
      <c r="D471" s="212"/>
      <c r="E471" s="218"/>
      <c r="F471" s="212"/>
      <c r="G471" s="215"/>
      <c r="H471" s="216"/>
      <c r="I471" s="216"/>
      <c r="J471" s="216"/>
      <c r="K471" s="216"/>
      <c r="L471" s="217"/>
    </row>
    <row r="472" ht="18.0" customHeight="1">
      <c r="A472" s="212"/>
      <c r="B472" s="212"/>
      <c r="C472" s="212"/>
      <c r="D472" s="212"/>
      <c r="E472" s="218"/>
      <c r="F472" s="212"/>
      <c r="G472" s="215"/>
      <c r="H472" s="216"/>
      <c r="I472" s="216"/>
      <c r="J472" s="216"/>
      <c r="K472" s="216"/>
      <c r="L472" s="217"/>
    </row>
    <row r="473" ht="18.0" customHeight="1">
      <c r="A473" s="212"/>
      <c r="B473" s="212"/>
      <c r="C473" s="212"/>
      <c r="D473" s="212"/>
      <c r="E473" s="218"/>
      <c r="F473" s="212"/>
      <c r="G473" s="215"/>
      <c r="H473" s="216"/>
      <c r="I473" s="216"/>
      <c r="J473" s="216"/>
      <c r="K473" s="216"/>
      <c r="L473" s="217"/>
    </row>
    <row r="474" ht="18.0" customHeight="1">
      <c r="A474" s="212"/>
      <c r="B474" s="212"/>
      <c r="C474" s="212"/>
      <c r="D474" s="212"/>
      <c r="E474" s="218"/>
      <c r="F474" s="212"/>
      <c r="G474" s="215"/>
      <c r="H474" s="216"/>
      <c r="I474" s="216"/>
      <c r="J474" s="216"/>
      <c r="K474" s="216"/>
      <c r="L474" s="217"/>
    </row>
    <row r="475" ht="18.0" customHeight="1">
      <c r="A475" s="212"/>
      <c r="B475" s="212"/>
      <c r="C475" s="212"/>
      <c r="D475" s="212"/>
      <c r="E475" s="218"/>
      <c r="F475" s="212"/>
      <c r="G475" s="215"/>
      <c r="H475" s="216"/>
      <c r="I475" s="216"/>
      <c r="J475" s="216"/>
      <c r="K475" s="216"/>
      <c r="L475" s="217"/>
    </row>
    <row r="476" ht="18.0" customHeight="1">
      <c r="A476" s="212"/>
      <c r="B476" s="212"/>
      <c r="C476" s="212"/>
      <c r="D476" s="212"/>
      <c r="E476" s="218"/>
      <c r="F476" s="212"/>
      <c r="G476" s="215"/>
      <c r="H476" s="216"/>
      <c r="I476" s="216"/>
      <c r="J476" s="216"/>
      <c r="K476" s="216"/>
      <c r="L476" s="217"/>
    </row>
    <row r="477" ht="18.0" customHeight="1">
      <c r="A477" s="212"/>
      <c r="B477" s="212"/>
      <c r="C477" s="212"/>
      <c r="D477" s="212"/>
      <c r="E477" s="218"/>
      <c r="F477" s="212"/>
      <c r="G477" s="215"/>
      <c r="H477" s="216"/>
      <c r="I477" s="216"/>
      <c r="J477" s="216"/>
      <c r="K477" s="216"/>
      <c r="L477" s="217"/>
    </row>
    <row r="478" ht="18.0" customHeight="1">
      <c r="A478" s="212"/>
      <c r="B478" s="212"/>
      <c r="C478" s="212"/>
      <c r="D478" s="212"/>
      <c r="E478" s="218"/>
      <c r="F478" s="212"/>
      <c r="G478" s="215"/>
      <c r="H478" s="216"/>
      <c r="I478" s="216"/>
      <c r="J478" s="216"/>
      <c r="K478" s="216"/>
      <c r="L478" s="217"/>
    </row>
    <row r="479" ht="18.0" customHeight="1">
      <c r="A479" s="212"/>
      <c r="B479" s="212"/>
      <c r="C479" s="212"/>
      <c r="D479" s="212"/>
      <c r="E479" s="218"/>
      <c r="F479" s="212"/>
      <c r="G479" s="215"/>
      <c r="H479" s="216"/>
      <c r="I479" s="216"/>
      <c r="J479" s="216"/>
      <c r="K479" s="216"/>
      <c r="L479" s="217"/>
    </row>
    <row r="480" ht="18.0" customHeight="1">
      <c r="A480" s="212"/>
      <c r="B480" s="212"/>
      <c r="C480" s="212"/>
      <c r="D480" s="212"/>
      <c r="E480" s="218"/>
      <c r="F480" s="212"/>
      <c r="G480" s="215"/>
      <c r="H480" s="216"/>
      <c r="I480" s="216"/>
      <c r="J480" s="216"/>
      <c r="K480" s="216"/>
      <c r="L480" s="217"/>
    </row>
    <row r="481" ht="18.0" customHeight="1">
      <c r="A481" s="212"/>
      <c r="B481" s="212"/>
      <c r="C481" s="212"/>
      <c r="D481" s="212"/>
      <c r="E481" s="218"/>
      <c r="F481" s="212"/>
      <c r="G481" s="215"/>
      <c r="H481" s="216"/>
      <c r="I481" s="216"/>
      <c r="J481" s="216"/>
      <c r="K481" s="216"/>
      <c r="L481" s="217"/>
    </row>
    <row r="482" ht="18.0" customHeight="1">
      <c r="A482" s="212"/>
      <c r="B482" s="212"/>
      <c r="C482" s="212"/>
      <c r="D482" s="212"/>
      <c r="E482" s="218"/>
      <c r="F482" s="212"/>
      <c r="G482" s="215"/>
      <c r="H482" s="216"/>
      <c r="I482" s="216"/>
      <c r="J482" s="216"/>
      <c r="K482" s="216"/>
      <c r="L482" s="217"/>
    </row>
    <row r="483" ht="18.0" customHeight="1">
      <c r="A483" s="212"/>
      <c r="B483" s="212"/>
      <c r="C483" s="212"/>
      <c r="D483" s="212"/>
      <c r="E483" s="218"/>
      <c r="F483" s="212"/>
      <c r="G483" s="215"/>
      <c r="H483" s="216"/>
      <c r="I483" s="216"/>
      <c r="J483" s="216"/>
      <c r="K483" s="216"/>
      <c r="L483" s="217"/>
    </row>
    <row r="484" ht="18.0" customHeight="1">
      <c r="A484" s="212"/>
      <c r="B484" s="212"/>
      <c r="C484" s="212"/>
      <c r="D484" s="212"/>
      <c r="E484" s="218"/>
      <c r="F484" s="212"/>
      <c r="G484" s="215"/>
      <c r="H484" s="216"/>
      <c r="I484" s="216"/>
      <c r="J484" s="216"/>
      <c r="K484" s="216"/>
      <c r="L484" s="217"/>
    </row>
    <row r="485" ht="18.0" customHeight="1">
      <c r="A485" s="212"/>
      <c r="B485" s="212"/>
      <c r="C485" s="212"/>
      <c r="D485" s="212"/>
      <c r="E485" s="218"/>
      <c r="F485" s="212"/>
      <c r="G485" s="215"/>
      <c r="H485" s="216"/>
      <c r="I485" s="216"/>
      <c r="J485" s="216"/>
      <c r="K485" s="216"/>
      <c r="L485" s="217"/>
    </row>
    <row r="486" ht="18.0" customHeight="1">
      <c r="A486" s="212"/>
      <c r="B486" s="212"/>
      <c r="C486" s="212"/>
      <c r="D486" s="212"/>
      <c r="E486" s="218"/>
      <c r="F486" s="212"/>
      <c r="G486" s="215"/>
      <c r="H486" s="216"/>
      <c r="I486" s="216"/>
      <c r="J486" s="216"/>
      <c r="K486" s="216"/>
      <c r="L486" s="217"/>
    </row>
    <row r="487" ht="18.0" customHeight="1">
      <c r="A487" s="212"/>
      <c r="B487" s="212"/>
      <c r="C487" s="212"/>
      <c r="D487" s="212"/>
      <c r="E487" s="218"/>
      <c r="F487" s="212"/>
      <c r="G487" s="215"/>
      <c r="H487" s="216"/>
      <c r="I487" s="216"/>
      <c r="J487" s="216"/>
      <c r="K487" s="216"/>
      <c r="L487" s="217"/>
    </row>
    <row r="488" ht="18.0" customHeight="1">
      <c r="A488" s="212"/>
      <c r="B488" s="212"/>
      <c r="C488" s="212"/>
      <c r="D488" s="212"/>
      <c r="E488" s="218"/>
      <c r="F488" s="212"/>
      <c r="G488" s="215"/>
      <c r="H488" s="216"/>
      <c r="I488" s="216"/>
      <c r="J488" s="216"/>
      <c r="K488" s="216"/>
      <c r="L488" s="217"/>
    </row>
    <row r="489" ht="18.0" customHeight="1">
      <c r="A489" s="212"/>
      <c r="B489" s="212"/>
      <c r="C489" s="212"/>
      <c r="D489" s="212"/>
      <c r="E489" s="218"/>
      <c r="F489" s="212"/>
      <c r="G489" s="215"/>
      <c r="H489" s="216"/>
      <c r="I489" s="216"/>
      <c r="J489" s="216"/>
      <c r="K489" s="216"/>
      <c r="L489" s="217"/>
    </row>
    <row r="490" ht="18.0" customHeight="1">
      <c r="A490" s="212"/>
      <c r="B490" s="212"/>
      <c r="C490" s="212"/>
      <c r="D490" s="212"/>
      <c r="E490" s="218"/>
      <c r="F490" s="212"/>
      <c r="G490" s="215"/>
      <c r="H490" s="216"/>
      <c r="I490" s="216"/>
      <c r="J490" s="216"/>
      <c r="K490" s="216"/>
      <c r="L490" s="217"/>
    </row>
    <row r="491" ht="18.0" customHeight="1">
      <c r="A491" s="212"/>
      <c r="B491" s="212"/>
      <c r="C491" s="212"/>
      <c r="D491" s="212"/>
      <c r="E491" s="218"/>
      <c r="F491" s="212"/>
      <c r="G491" s="215"/>
      <c r="H491" s="216"/>
      <c r="I491" s="216"/>
      <c r="J491" s="216"/>
      <c r="K491" s="216"/>
      <c r="L491" s="217"/>
    </row>
    <row r="492" ht="18.0" customHeight="1">
      <c r="A492" s="212"/>
      <c r="B492" s="212"/>
      <c r="C492" s="212"/>
      <c r="D492" s="212"/>
      <c r="E492" s="218"/>
      <c r="F492" s="212"/>
      <c r="G492" s="215"/>
      <c r="H492" s="216"/>
      <c r="I492" s="216"/>
      <c r="J492" s="216"/>
      <c r="K492" s="216"/>
      <c r="L492" s="217"/>
    </row>
    <row r="493" ht="18.0" customHeight="1">
      <c r="A493" s="212"/>
      <c r="B493" s="212"/>
      <c r="C493" s="212"/>
      <c r="D493" s="212"/>
      <c r="E493" s="218"/>
      <c r="F493" s="212"/>
      <c r="G493" s="215"/>
      <c r="H493" s="216"/>
      <c r="I493" s="216"/>
      <c r="J493" s="216"/>
      <c r="K493" s="216"/>
      <c r="L493" s="217"/>
    </row>
    <row r="494" ht="18.0" customHeight="1">
      <c r="A494" s="212"/>
      <c r="B494" s="212"/>
      <c r="C494" s="212"/>
      <c r="D494" s="212"/>
      <c r="E494" s="218"/>
      <c r="F494" s="212"/>
      <c r="G494" s="215"/>
      <c r="H494" s="216"/>
      <c r="I494" s="216"/>
      <c r="J494" s="216"/>
      <c r="K494" s="216"/>
      <c r="L494" s="217"/>
    </row>
    <row r="495" ht="18.0" customHeight="1">
      <c r="A495" s="212"/>
      <c r="B495" s="212"/>
      <c r="C495" s="212"/>
      <c r="D495" s="212"/>
      <c r="E495" s="218"/>
      <c r="F495" s="212"/>
      <c r="G495" s="215"/>
      <c r="H495" s="216"/>
      <c r="I495" s="216"/>
      <c r="J495" s="216"/>
      <c r="K495" s="216"/>
      <c r="L495" s="217"/>
    </row>
    <row r="496" ht="18.0" customHeight="1">
      <c r="A496" s="212"/>
      <c r="B496" s="212"/>
      <c r="C496" s="212"/>
      <c r="D496" s="212"/>
      <c r="E496" s="218"/>
      <c r="F496" s="212"/>
      <c r="G496" s="215"/>
      <c r="H496" s="216"/>
      <c r="I496" s="216"/>
      <c r="J496" s="216"/>
      <c r="K496" s="216"/>
      <c r="L496" s="217"/>
    </row>
    <row r="497" ht="18.0" customHeight="1">
      <c r="A497" s="212"/>
      <c r="B497" s="212"/>
      <c r="C497" s="212"/>
      <c r="D497" s="212"/>
      <c r="E497" s="218"/>
      <c r="F497" s="212"/>
      <c r="G497" s="215"/>
      <c r="H497" s="216"/>
      <c r="I497" s="216"/>
      <c r="J497" s="216"/>
      <c r="K497" s="216"/>
      <c r="L497" s="217"/>
    </row>
    <row r="498" ht="18.0" customHeight="1">
      <c r="A498" s="212"/>
      <c r="B498" s="212"/>
      <c r="C498" s="212"/>
      <c r="D498" s="212"/>
      <c r="E498" s="218"/>
      <c r="F498" s="212"/>
      <c r="G498" s="215"/>
      <c r="H498" s="216"/>
      <c r="I498" s="216"/>
      <c r="J498" s="216"/>
      <c r="K498" s="216"/>
      <c r="L498" s="217"/>
    </row>
    <row r="499" ht="18.0" customHeight="1">
      <c r="A499" s="212"/>
      <c r="B499" s="212"/>
      <c r="C499" s="212"/>
      <c r="D499" s="212"/>
      <c r="E499" s="218"/>
      <c r="F499" s="212"/>
      <c r="G499" s="215"/>
      <c r="H499" s="216"/>
      <c r="I499" s="216"/>
      <c r="J499" s="216"/>
      <c r="K499" s="216"/>
      <c r="L499" s="217"/>
    </row>
    <row r="500" ht="18.0" customHeight="1">
      <c r="A500" s="212"/>
      <c r="B500" s="212"/>
      <c r="C500" s="212"/>
      <c r="D500" s="212"/>
      <c r="E500" s="218"/>
      <c r="F500" s="212"/>
      <c r="G500" s="215"/>
      <c r="H500" s="216"/>
      <c r="I500" s="216"/>
      <c r="J500" s="216"/>
      <c r="K500" s="216"/>
      <c r="L500" s="217"/>
    </row>
    <row r="501" ht="18.0" customHeight="1">
      <c r="A501" s="212"/>
      <c r="B501" s="212"/>
      <c r="C501" s="212"/>
      <c r="D501" s="212"/>
      <c r="E501" s="218"/>
      <c r="F501" s="212"/>
      <c r="G501" s="215"/>
      <c r="H501" s="216"/>
      <c r="I501" s="216"/>
      <c r="J501" s="216"/>
      <c r="K501" s="216"/>
      <c r="L501" s="217"/>
    </row>
    <row r="502" ht="18.0" customHeight="1">
      <c r="A502" s="212"/>
      <c r="B502" s="212"/>
      <c r="C502" s="212"/>
      <c r="D502" s="212"/>
      <c r="E502" s="218"/>
      <c r="F502" s="212"/>
      <c r="G502" s="215"/>
      <c r="H502" s="216"/>
      <c r="I502" s="216"/>
      <c r="J502" s="216"/>
      <c r="K502" s="216"/>
      <c r="L502" s="217"/>
    </row>
    <row r="503" ht="18.0" customHeight="1">
      <c r="A503" s="212"/>
      <c r="B503" s="212"/>
      <c r="C503" s="212"/>
      <c r="D503" s="212"/>
      <c r="E503" s="218"/>
      <c r="F503" s="212"/>
      <c r="G503" s="215"/>
      <c r="H503" s="216"/>
      <c r="I503" s="216"/>
      <c r="J503" s="216"/>
      <c r="K503" s="216"/>
      <c r="L503" s="217"/>
    </row>
    <row r="504" ht="18.0" customHeight="1">
      <c r="A504" s="212"/>
      <c r="B504" s="212"/>
      <c r="C504" s="212"/>
      <c r="D504" s="212"/>
      <c r="E504" s="218"/>
      <c r="F504" s="212"/>
      <c r="G504" s="215"/>
      <c r="H504" s="216"/>
      <c r="I504" s="216"/>
      <c r="J504" s="216"/>
      <c r="K504" s="216"/>
      <c r="L504" s="217"/>
    </row>
    <row r="505" ht="18.0" customHeight="1">
      <c r="A505" s="212"/>
      <c r="B505" s="212"/>
      <c r="C505" s="212"/>
      <c r="D505" s="212"/>
      <c r="E505" s="218"/>
      <c r="F505" s="212"/>
      <c r="G505" s="215"/>
      <c r="H505" s="216"/>
      <c r="I505" s="216"/>
      <c r="J505" s="216"/>
      <c r="K505" s="216"/>
      <c r="L505" s="217"/>
    </row>
    <row r="506" ht="18.0" customHeight="1">
      <c r="A506" s="212"/>
      <c r="B506" s="212"/>
      <c r="C506" s="212"/>
      <c r="D506" s="212"/>
      <c r="E506" s="218"/>
      <c r="F506" s="212"/>
      <c r="G506" s="215"/>
      <c r="H506" s="216"/>
      <c r="I506" s="216"/>
      <c r="J506" s="216"/>
      <c r="K506" s="216"/>
      <c r="L506" s="217"/>
    </row>
    <row r="507" ht="18.0" customHeight="1">
      <c r="A507" s="212"/>
      <c r="B507" s="212"/>
      <c r="C507" s="212"/>
      <c r="D507" s="212"/>
      <c r="E507" s="218"/>
      <c r="F507" s="212"/>
      <c r="G507" s="215"/>
      <c r="H507" s="216"/>
      <c r="I507" s="216"/>
      <c r="J507" s="216"/>
      <c r="K507" s="216"/>
      <c r="L507" s="217"/>
    </row>
    <row r="508" ht="18.0" customHeight="1">
      <c r="A508" s="212"/>
      <c r="B508" s="212"/>
      <c r="C508" s="212"/>
      <c r="D508" s="212"/>
      <c r="E508" s="218"/>
      <c r="F508" s="212"/>
      <c r="G508" s="215"/>
      <c r="H508" s="216"/>
      <c r="I508" s="216"/>
      <c r="J508" s="216"/>
      <c r="K508" s="216"/>
      <c r="L508" s="217"/>
    </row>
    <row r="509" ht="18.0" customHeight="1">
      <c r="A509" s="212"/>
      <c r="B509" s="212"/>
      <c r="C509" s="212"/>
      <c r="D509" s="212"/>
      <c r="E509" s="218"/>
      <c r="F509" s="212"/>
      <c r="G509" s="215"/>
      <c r="H509" s="216"/>
      <c r="I509" s="216"/>
      <c r="J509" s="216"/>
      <c r="K509" s="216"/>
      <c r="L509" s="217"/>
    </row>
    <row r="510" ht="18.0" customHeight="1">
      <c r="A510" s="212"/>
      <c r="B510" s="212"/>
      <c r="C510" s="212"/>
      <c r="D510" s="212"/>
      <c r="E510" s="218"/>
      <c r="F510" s="212"/>
      <c r="G510" s="215"/>
      <c r="H510" s="216"/>
      <c r="I510" s="216"/>
      <c r="J510" s="216"/>
      <c r="K510" s="216"/>
      <c r="L510" s="217"/>
    </row>
    <row r="511" ht="18.0" customHeight="1">
      <c r="A511" s="212"/>
      <c r="B511" s="212"/>
      <c r="C511" s="212"/>
      <c r="D511" s="212"/>
      <c r="E511" s="218"/>
      <c r="F511" s="212"/>
      <c r="G511" s="215"/>
      <c r="H511" s="216"/>
      <c r="I511" s="216"/>
      <c r="J511" s="216"/>
      <c r="K511" s="216"/>
      <c r="L511" s="217"/>
    </row>
    <row r="512" ht="18.0" customHeight="1">
      <c r="A512" s="212"/>
      <c r="B512" s="212"/>
      <c r="C512" s="212"/>
      <c r="D512" s="212"/>
      <c r="E512" s="218"/>
      <c r="F512" s="212"/>
      <c r="G512" s="215"/>
      <c r="H512" s="216"/>
      <c r="I512" s="216"/>
      <c r="J512" s="216"/>
      <c r="K512" s="216"/>
      <c r="L512" s="217"/>
    </row>
    <row r="513" ht="18.0" customHeight="1">
      <c r="A513" s="212"/>
      <c r="B513" s="212"/>
      <c r="C513" s="212"/>
      <c r="D513" s="212"/>
      <c r="E513" s="218"/>
      <c r="F513" s="212"/>
      <c r="G513" s="215"/>
      <c r="H513" s="216"/>
      <c r="I513" s="216"/>
      <c r="J513" s="216"/>
      <c r="K513" s="216"/>
      <c r="L513" s="217"/>
    </row>
    <row r="514" ht="18.0" customHeight="1">
      <c r="A514" s="212"/>
      <c r="B514" s="212"/>
      <c r="C514" s="212"/>
      <c r="D514" s="212"/>
      <c r="E514" s="218"/>
      <c r="F514" s="212"/>
      <c r="G514" s="215"/>
      <c r="H514" s="216"/>
      <c r="I514" s="216"/>
      <c r="J514" s="216"/>
      <c r="K514" s="216"/>
      <c r="L514" s="217"/>
    </row>
    <row r="515" ht="18.0" customHeight="1">
      <c r="A515" s="212"/>
      <c r="B515" s="212"/>
      <c r="C515" s="212"/>
      <c r="D515" s="212"/>
      <c r="E515" s="218"/>
      <c r="F515" s="212"/>
      <c r="G515" s="215"/>
      <c r="H515" s="216"/>
      <c r="I515" s="216"/>
      <c r="J515" s="216"/>
      <c r="K515" s="216"/>
      <c r="L515" s="217"/>
    </row>
    <row r="516" ht="18.0" customHeight="1">
      <c r="A516" s="212"/>
      <c r="B516" s="212"/>
      <c r="C516" s="212"/>
      <c r="D516" s="212"/>
      <c r="E516" s="218"/>
      <c r="F516" s="212"/>
      <c r="G516" s="215"/>
      <c r="H516" s="216"/>
      <c r="I516" s="216"/>
      <c r="J516" s="216"/>
      <c r="K516" s="216"/>
      <c r="L516" s="217"/>
    </row>
    <row r="517" ht="18.0" customHeight="1">
      <c r="A517" s="212"/>
      <c r="B517" s="212"/>
      <c r="C517" s="212"/>
      <c r="D517" s="212"/>
      <c r="E517" s="218"/>
      <c r="F517" s="212"/>
      <c r="G517" s="215"/>
      <c r="H517" s="216"/>
      <c r="I517" s="216"/>
      <c r="J517" s="216"/>
      <c r="K517" s="216"/>
      <c r="L517" s="217"/>
    </row>
    <row r="518" ht="18.0" customHeight="1">
      <c r="A518" s="212"/>
      <c r="B518" s="212"/>
      <c r="C518" s="212"/>
      <c r="D518" s="212"/>
      <c r="E518" s="218"/>
      <c r="F518" s="212"/>
      <c r="G518" s="215"/>
      <c r="H518" s="216"/>
      <c r="I518" s="216"/>
      <c r="J518" s="216"/>
      <c r="K518" s="216"/>
      <c r="L518" s="217"/>
    </row>
    <row r="519" ht="18.0" customHeight="1">
      <c r="A519" s="212"/>
      <c r="B519" s="212"/>
      <c r="C519" s="212"/>
      <c r="D519" s="212"/>
      <c r="E519" s="218"/>
      <c r="F519" s="212"/>
      <c r="G519" s="215"/>
      <c r="H519" s="216"/>
      <c r="I519" s="216"/>
      <c r="J519" s="216"/>
      <c r="K519" s="216"/>
      <c r="L519" s="217"/>
    </row>
    <row r="520" ht="18.0" customHeight="1">
      <c r="A520" s="212"/>
      <c r="B520" s="212"/>
      <c r="C520" s="212"/>
      <c r="D520" s="212"/>
      <c r="E520" s="218"/>
      <c r="F520" s="212"/>
      <c r="G520" s="215"/>
      <c r="H520" s="216"/>
      <c r="I520" s="216"/>
      <c r="J520" s="216"/>
      <c r="K520" s="216"/>
      <c r="L520" s="217"/>
    </row>
    <row r="521" ht="18.0" customHeight="1">
      <c r="A521" s="212"/>
      <c r="B521" s="212"/>
      <c r="C521" s="212"/>
      <c r="D521" s="212"/>
      <c r="E521" s="218"/>
      <c r="F521" s="212"/>
      <c r="G521" s="215"/>
      <c r="H521" s="216"/>
      <c r="I521" s="216"/>
      <c r="J521" s="216"/>
      <c r="K521" s="216"/>
      <c r="L521" s="217"/>
    </row>
    <row r="522" ht="18.0" customHeight="1">
      <c r="A522" s="212"/>
      <c r="B522" s="212"/>
      <c r="C522" s="212"/>
      <c r="D522" s="212"/>
      <c r="E522" s="218"/>
      <c r="F522" s="212"/>
      <c r="G522" s="215"/>
      <c r="H522" s="216"/>
      <c r="I522" s="216"/>
      <c r="J522" s="216"/>
      <c r="K522" s="216"/>
      <c r="L522" s="217"/>
    </row>
    <row r="523" ht="18.0" customHeight="1">
      <c r="A523" s="212"/>
      <c r="B523" s="212"/>
      <c r="C523" s="212"/>
      <c r="D523" s="212"/>
      <c r="E523" s="218"/>
      <c r="F523" s="212"/>
      <c r="G523" s="215"/>
      <c r="H523" s="216"/>
      <c r="I523" s="216"/>
      <c r="J523" s="216"/>
      <c r="K523" s="216"/>
      <c r="L523" s="217"/>
    </row>
    <row r="524" ht="18.0" customHeight="1">
      <c r="A524" s="212"/>
      <c r="B524" s="212"/>
      <c r="C524" s="212"/>
      <c r="D524" s="212"/>
      <c r="E524" s="218"/>
      <c r="F524" s="212"/>
      <c r="G524" s="215"/>
      <c r="H524" s="216"/>
      <c r="I524" s="216"/>
      <c r="J524" s="216"/>
      <c r="K524" s="216"/>
      <c r="L524" s="217"/>
    </row>
    <row r="525" ht="18.0" customHeight="1">
      <c r="A525" s="212"/>
      <c r="B525" s="212"/>
      <c r="C525" s="212"/>
      <c r="D525" s="212"/>
      <c r="E525" s="218"/>
      <c r="F525" s="212"/>
      <c r="G525" s="215"/>
      <c r="H525" s="216"/>
      <c r="I525" s="216"/>
      <c r="J525" s="216"/>
      <c r="K525" s="216"/>
      <c r="L525" s="217"/>
    </row>
    <row r="526" ht="18.0" customHeight="1">
      <c r="A526" s="212"/>
      <c r="B526" s="212"/>
      <c r="C526" s="212"/>
      <c r="D526" s="212"/>
      <c r="E526" s="218"/>
      <c r="F526" s="212"/>
      <c r="G526" s="215"/>
      <c r="H526" s="216"/>
      <c r="I526" s="216"/>
      <c r="J526" s="216"/>
      <c r="K526" s="216"/>
      <c r="L526" s="217"/>
    </row>
    <row r="527" ht="18.0" customHeight="1">
      <c r="A527" s="212"/>
      <c r="B527" s="212"/>
      <c r="C527" s="212"/>
      <c r="D527" s="212"/>
      <c r="E527" s="218"/>
      <c r="F527" s="212"/>
      <c r="G527" s="215"/>
      <c r="H527" s="216"/>
      <c r="I527" s="216"/>
      <c r="J527" s="216"/>
      <c r="K527" s="216"/>
      <c r="L527" s="217"/>
    </row>
    <row r="528" ht="18.0" customHeight="1">
      <c r="A528" s="212"/>
      <c r="B528" s="212"/>
      <c r="C528" s="212"/>
      <c r="D528" s="212"/>
      <c r="E528" s="218"/>
      <c r="F528" s="212"/>
      <c r="G528" s="215"/>
      <c r="H528" s="216"/>
      <c r="I528" s="216"/>
      <c r="J528" s="216"/>
      <c r="K528" s="216"/>
      <c r="L528" s="217"/>
    </row>
    <row r="529" ht="18.0" customHeight="1">
      <c r="A529" s="212"/>
      <c r="B529" s="212"/>
      <c r="C529" s="212"/>
      <c r="D529" s="212"/>
      <c r="E529" s="218"/>
      <c r="F529" s="212"/>
      <c r="G529" s="215"/>
      <c r="H529" s="216"/>
      <c r="I529" s="216"/>
      <c r="J529" s="216"/>
      <c r="K529" s="216"/>
      <c r="L529" s="217"/>
    </row>
    <row r="530" ht="18.0" customHeight="1">
      <c r="A530" s="212"/>
      <c r="B530" s="212"/>
      <c r="C530" s="212"/>
      <c r="D530" s="212"/>
      <c r="E530" s="218"/>
      <c r="F530" s="212"/>
      <c r="G530" s="215"/>
      <c r="H530" s="216"/>
      <c r="I530" s="216"/>
      <c r="J530" s="216"/>
      <c r="K530" s="216"/>
      <c r="L530" s="217"/>
    </row>
    <row r="531" ht="18.0" customHeight="1">
      <c r="A531" s="212"/>
      <c r="B531" s="212"/>
      <c r="C531" s="212"/>
      <c r="D531" s="212"/>
      <c r="E531" s="218"/>
      <c r="F531" s="212"/>
      <c r="G531" s="215"/>
      <c r="H531" s="216"/>
      <c r="I531" s="216"/>
      <c r="J531" s="216"/>
      <c r="K531" s="216"/>
      <c r="L531" s="217"/>
    </row>
    <row r="532" ht="18.0" customHeight="1">
      <c r="A532" s="212"/>
      <c r="B532" s="212"/>
      <c r="C532" s="212"/>
      <c r="D532" s="212"/>
      <c r="E532" s="218"/>
      <c r="F532" s="212"/>
      <c r="G532" s="215"/>
      <c r="H532" s="216"/>
      <c r="I532" s="216"/>
      <c r="J532" s="216"/>
      <c r="K532" s="216"/>
      <c r="L532" s="217"/>
    </row>
    <row r="533" ht="18.0" customHeight="1">
      <c r="A533" s="212"/>
      <c r="B533" s="212"/>
      <c r="C533" s="212"/>
      <c r="D533" s="212"/>
      <c r="E533" s="218"/>
      <c r="F533" s="212"/>
      <c r="G533" s="215"/>
      <c r="H533" s="216"/>
      <c r="I533" s="216"/>
      <c r="J533" s="216"/>
      <c r="K533" s="216"/>
      <c r="L533" s="217"/>
    </row>
    <row r="534" ht="18.0" customHeight="1">
      <c r="A534" s="212"/>
      <c r="B534" s="212"/>
      <c r="C534" s="212"/>
      <c r="D534" s="212"/>
      <c r="E534" s="218"/>
      <c r="F534" s="212"/>
      <c r="G534" s="215"/>
      <c r="H534" s="216"/>
      <c r="I534" s="216"/>
      <c r="J534" s="216"/>
      <c r="K534" s="216"/>
      <c r="L534" s="217"/>
    </row>
    <row r="535" ht="18.0" customHeight="1">
      <c r="A535" s="212"/>
      <c r="B535" s="212"/>
      <c r="C535" s="212"/>
      <c r="D535" s="212"/>
      <c r="E535" s="218"/>
      <c r="F535" s="212"/>
      <c r="G535" s="215"/>
      <c r="H535" s="216"/>
      <c r="I535" s="216"/>
      <c r="J535" s="216"/>
      <c r="K535" s="216"/>
      <c r="L535" s="217"/>
    </row>
    <row r="536" ht="18.0" customHeight="1">
      <c r="A536" s="212"/>
      <c r="B536" s="212"/>
      <c r="C536" s="212"/>
      <c r="D536" s="212"/>
      <c r="E536" s="218"/>
      <c r="F536" s="212"/>
      <c r="G536" s="215"/>
      <c r="H536" s="216"/>
      <c r="I536" s="216"/>
      <c r="J536" s="216"/>
      <c r="K536" s="216"/>
      <c r="L536" s="217"/>
    </row>
    <row r="537" ht="18.0" customHeight="1">
      <c r="A537" s="212"/>
      <c r="B537" s="212"/>
      <c r="C537" s="212"/>
      <c r="D537" s="212"/>
      <c r="E537" s="218"/>
      <c r="F537" s="212"/>
      <c r="G537" s="215"/>
      <c r="H537" s="216"/>
      <c r="I537" s="216"/>
      <c r="J537" s="216"/>
      <c r="K537" s="216"/>
      <c r="L537" s="217"/>
    </row>
    <row r="538" ht="18.0" customHeight="1">
      <c r="A538" s="212"/>
      <c r="B538" s="212"/>
      <c r="C538" s="212"/>
      <c r="D538" s="212"/>
      <c r="E538" s="218"/>
      <c r="F538" s="212"/>
      <c r="G538" s="215"/>
      <c r="H538" s="216"/>
      <c r="I538" s="216"/>
      <c r="J538" s="216"/>
      <c r="K538" s="216"/>
      <c r="L538" s="217"/>
    </row>
    <row r="539" ht="18.0" customHeight="1">
      <c r="A539" s="212"/>
      <c r="B539" s="212"/>
      <c r="C539" s="212"/>
      <c r="D539" s="212"/>
      <c r="E539" s="218"/>
      <c r="F539" s="212"/>
      <c r="G539" s="215"/>
      <c r="H539" s="216"/>
      <c r="I539" s="216"/>
      <c r="J539" s="216"/>
      <c r="K539" s="216"/>
      <c r="L539" s="217"/>
    </row>
    <row r="540" ht="18.0" customHeight="1">
      <c r="A540" s="212"/>
      <c r="B540" s="212"/>
      <c r="C540" s="212"/>
      <c r="D540" s="212"/>
      <c r="E540" s="218"/>
      <c r="F540" s="212"/>
      <c r="G540" s="215"/>
      <c r="H540" s="216"/>
      <c r="I540" s="216"/>
      <c r="J540" s="216"/>
      <c r="K540" s="216"/>
      <c r="L540" s="217"/>
    </row>
    <row r="541" ht="18.0" customHeight="1">
      <c r="A541" s="212"/>
      <c r="B541" s="212"/>
      <c r="C541" s="212"/>
      <c r="D541" s="212"/>
      <c r="E541" s="218"/>
      <c r="F541" s="212"/>
      <c r="G541" s="215"/>
      <c r="H541" s="216"/>
      <c r="I541" s="216"/>
      <c r="J541" s="216"/>
      <c r="K541" s="216"/>
      <c r="L541" s="217"/>
    </row>
    <row r="542" ht="18.0" customHeight="1">
      <c r="A542" s="212"/>
      <c r="B542" s="212"/>
      <c r="C542" s="212"/>
      <c r="D542" s="212"/>
      <c r="E542" s="218"/>
      <c r="F542" s="212"/>
      <c r="G542" s="215"/>
      <c r="H542" s="216"/>
      <c r="I542" s="216"/>
      <c r="J542" s="216"/>
      <c r="K542" s="216"/>
      <c r="L542" s="217"/>
    </row>
    <row r="543" ht="18.0" customHeight="1">
      <c r="A543" s="212"/>
      <c r="B543" s="212"/>
      <c r="C543" s="212"/>
      <c r="D543" s="212"/>
      <c r="E543" s="218"/>
      <c r="F543" s="212"/>
      <c r="G543" s="215"/>
      <c r="H543" s="216"/>
      <c r="I543" s="216"/>
      <c r="J543" s="216"/>
      <c r="K543" s="216"/>
      <c r="L543" s="217"/>
    </row>
    <row r="544" ht="18.0" customHeight="1">
      <c r="A544" s="212"/>
      <c r="B544" s="212"/>
      <c r="C544" s="212"/>
      <c r="D544" s="212"/>
      <c r="E544" s="218"/>
      <c r="F544" s="212"/>
      <c r="G544" s="215"/>
      <c r="H544" s="216"/>
      <c r="I544" s="216"/>
      <c r="J544" s="216"/>
      <c r="K544" s="216"/>
      <c r="L544" s="217"/>
    </row>
    <row r="545" ht="18.0" customHeight="1">
      <c r="A545" s="212"/>
      <c r="B545" s="212"/>
      <c r="C545" s="212"/>
      <c r="D545" s="212"/>
      <c r="E545" s="218"/>
      <c r="F545" s="212"/>
      <c r="G545" s="215"/>
      <c r="H545" s="216"/>
      <c r="I545" s="216"/>
      <c r="J545" s="216"/>
      <c r="K545" s="216"/>
      <c r="L545" s="217"/>
    </row>
    <row r="546" ht="18.0" customHeight="1">
      <c r="A546" s="212"/>
      <c r="B546" s="212"/>
      <c r="C546" s="212"/>
      <c r="D546" s="212"/>
      <c r="E546" s="218"/>
      <c r="F546" s="212"/>
      <c r="G546" s="215"/>
      <c r="H546" s="216"/>
      <c r="I546" s="216"/>
      <c r="J546" s="216"/>
      <c r="K546" s="216"/>
      <c r="L546" s="217"/>
    </row>
    <row r="547" ht="18.0" customHeight="1">
      <c r="A547" s="212"/>
      <c r="B547" s="212"/>
      <c r="C547" s="212"/>
      <c r="D547" s="212"/>
      <c r="E547" s="218"/>
      <c r="F547" s="212"/>
      <c r="G547" s="215"/>
      <c r="H547" s="216"/>
      <c r="I547" s="216"/>
      <c r="J547" s="216"/>
      <c r="K547" s="216"/>
      <c r="L547" s="217"/>
    </row>
    <row r="548" ht="18.0" customHeight="1">
      <c r="A548" s="212"/>
      <c r="B548" s="212"/>
      <c r="C548" s="212"/>
      <c r="D548" s="212"/>
      <c r="E548" s="218"/>
      <c r="F548" s="212"/>
      <c r="G548" s="215"/>
      <c r="H548" s="216"/>
      <c r="I548" s="216"/>
      <c r="J548" s="216"/>
      <c r="K548" s="216"/>
      <c r="L548" s="217"/>
    </row>
    <row r="549" ht="18.0" customHeight="1">
      <c r="A549" s="212"/>
      <c r="B549" s="212"/>
      <c r="C549" s="212"/>
      <c r="D549" s="212"/>
      <c r="E549" s="218"/>
      <c r="F549" s="212"/>
      <c r="G549" s="215"/>
      <c r="H549" s="216"/>
      <c r="I549" s="216"/>
      <c r="J549" s="216"/>
      <c r="K549" s="216"/>
      <c r="L549" s="217"/>
    </row>
    <row r="550" ht="18.0" customHeight="1">
      <c r="A550" s="212"/>
      <c r="B550" s="212"/>
      <c r="C550" s="212"/>
      <c r="D550" s="212"/>
      <c r="E550" s="218"/>
      <c r="F550" s="212"/>
      <c r="G550" s="215"/>
      <c r="H550" s="216"/>
      <c r="I550" s="216"/>
      <c r="J550" s="216"/>
      <c r="K550" s="216"/>
      <c r="L550" s="217"/>
    </row>
    <row r="551" ht="18.0" customHeight="1">
      <c r="A551" s="212"/>
      <c r="B551" s="212"/>
      <c r="C551" s="212"/>
      <c r="D551" s="212"/>
      <c r="E551" s="218"/>
      <c r="F551" s="212"/>
      <c r="G551" s="215"/>
      <c r="H551" s="216"/>
      <c r="I551" s="216"/>
      <c r="J551" s="216"/>
      <c r="K551" s="216"/>
      <c r="L551" s="217"/>
    </row>
    <row r="552" ht="18.0" customHeight="1">
      <c r="A552" s="212"/>
      <c r="B552" s="212"/>
      <c r="C552" s="212"/>
      <c r="D552" s="212"/>
      <c r="E552" s="218"/>
      <c r="F552" s="212"/>
      <c r="G552" s="215"/>
      <c r="H552" s="216"/>
      <c r="I552" s="216"/>
      <c r="J552" s="216"/>
      <c r="K552" s="216"/>
      <c r="L552" s="217"/>
    </row>
    <row r="553" ht="18.0" customHeight="1">
      <c r="A553" s="212"/>
      <c r="B553" s="212"/>
      <c r="C553" s="212"/>
      <c r="D553" s="212"/>
      <c r="E553" s="218"/>
      <c r="F553" s="212"/>
      <c r="G553" s="215"/>
      <c r="H553" s="216"/>
      <c r="I553" s="216"/>
      <c r="J553" s="216"/>
      <c r="K553" s="216"/>
      <c r="L553" s="217"/>
    </row>
    <row r="554" ht="18.0" customHeight="1">
      <c r="A554" s="212"/>
      <c r="B554" s="212"/>
      <c r="C554" s="212"/>
      <c r="D554" s="212"/>
      <c r="E554" s="218"/>
      <c r="F554" s="212"/>
      <c r="G554" s="215"/>
      <c r="H554" s="216"/>
      <c r="I554" s="216"/>
      <c r="J554" s="216"/>
      <c r="K554" s="216"/>
      <c r="L554" s="217"/>
    </row>
    <row r="555" ht="18.0" customHeight="1">
      <c r="A555" s="212"/>
      <c r="B555" s="212"/>
      <c r="C555" s="212"/>
      <c r="D555" s="212"/>
      <c r="E555" s="218"/>
      <c r="F555" s="212"/>
      <c r="G555" s="215"/>
      <c r="H555" s="216"/>
      <c r="I555" s="216"/>
      <c r="J555" s="216"/>
      <c r="K555" s="216"/>
      <c r="L555" s="217"/>
    </row>
    <row r="556" ht="18.0" customHeight="1">
      <c r="A556" s="212"/>
      <c r="B556" s="212"/>
      <c r="C556" s="212"/>
      <c r="D556" s="212"/>
      <c r="E556" s="218"/>
      <c r="F556" s="212"/>
      <c r="G556" s="215"/>
      <c r="H556" s="216"/>
      <c r="I556" s="216"/>
      <c r="J556" s="216"/>
      <c r="K556" s="216"/>
      <c r="L556" s="217"/>
    </row>
    <row r="557" ht="18.0" customHeight="1">
      <c r="A557" s="212"/>
      <c r="B557" s="212"/>
      <c r="C557" s="212"/>
      <c r="D557" s="212"/>
      <c r="E557" s="218"/>
      <c r="F557" s="212"/>
      <c r="G557" s="215"/>
      <c r="H557" s="216"/>
      <c r="I557" s="216"/>
      <c r="J557" s="216"/>
      <c r="K557" s="216"/>
      <c r="L557" s="217"/>
    </row>
    <row r="558" ht="18.0" customHeight="1">
      <c r="A558" s="212"/>
      <c r="B558" s="212"/>
      <c r="C558" s="212"/>
      <c r="D558" s="212"/>
      <c r="E558" s="218"/>
      <c r="F558" s="212"/>
      <c r="G558" s="215"/>
      <c r="H558" s="216"/>
      <c r="I558" s="216"/>
      <c r="J558" s="216"/>
      <c r="K558" s="216"/>
      <c r="L558" s="217"/>
    </row>
    <row r="559" ht="18.0" customHeight="1">
      <c r="A559" s="212"/>
      <c r="B559" s="212"/>
      <c r="C559" s="212"/>
      <c r="D559" s="212"/>
      <c r="E559" s="218"/>
      <c r="F559" s="212"/>
      <c r="G559" s="215"/>
      <c r="H559" s="216"/>
      <c r="I559" s="216"/>
      <c r="J559" s="216"/>
      <c r="K559" s="216"/>
      <c r="L559" s="217"/>
    </row>
    <row r="560" ht="18.0" customHeight="1">
      <c r="A560" s="212"/>
      <c r="B560" s="212"/>
      <c r="C560" s="212"/>
      <c r="D560" s="212"/>
      <c r="E560" s="218"/>
      <c r="F560" s="212"/>
      <c r="G560" s="215"/>
      <c r="H560" s="216"/>
      <c r="I560" s="216"/>
      <c r="J560" s="216"/>
      <c r="K560" s="216"/>
      <c r="L560" s="217"/>
    </row>
    <row r="561" ht="18.0" customHeight="1">
      <c r="A561" s="212"/>
      <c r="B561" s="212"/>
      <c r="C561" s="212"/>
      <c r="D561" s="212"/>
      <c r="E561" s="218"/>
      <c r="F561" s="212"/>
      <c r="G561" s="215"/>
      <c r="H561" s="216"/>
      <c r="I561" s="216"/>
      <c r="J561" s="216"/>
      <c r="K561" s="216"/>
      <c r="L561" s="217"/>
    </row>
    <row r="562" ht="18.0" customHeight="1">
      <c r="A562" s="212"/>
      <c r="B562" s="212"/>
      <c r="C562" s="212"/>
      <c r="D562" s="212"/>
      <c r="E562" s="218"/>
      <c r="F562" s="212"/>
      <c r="G562" s="215"/>
      <c r="H562" s="216"/>
      <c r="I562" s="216"/>
      <c r="J562" s="216"/>
      <c r="K562" s="216"/>
      <c r="L562" s="217"/>
    </row>
    <row r="563" ht="18.0" customHeight="1">
      <c r="A563" s="212"/>
      <c r="B563" s="212"/>
      <c r="C563" s="212"/>
      <c r="D563" s="212"/>
      <c r="E563" s="218"/>
      <c r="F563" s="212"/>
      <c r="G563" s="215"/>
      <c r="H563" s="216"/>
      <c r="I563" s="216"/>
      <c r="J563" s="216"/>
      <c r="K563" s="216"/>
      <c r="L563" s="217"/>
    </row>
    <row r="564" ht="18.0" customHeight="1">
      <c r="A564" s="212"/>
      <c r="B564" s="212"/>
      <c r="C564" s="212"/>
      <c r="D564" s="212"/>
      <c r="E564" s="218"/>
      <c r="F564" s="212"/>
      <c r="G564" s="215"/>
      <c r="H564" s="216"/>
      <c r="I564" s="216"/>
      <c r="J564" s="216"/>
      <c r="K564" s="216"/>
      <c r="L564" s="217"/>
    </row>
    <row r="565" ht="18.0" customHeight="1">
      <c r="A565" s="212"/>
      <c r="B565" s="212"/>
      <c r="C565" s="212"/>
      <c r="D565" s="212"/>
      <c r="E565" s="218"/>
      <c r="F565" s="212"/>
      <c r="G565" s="215"/>
      <c r="H565" s="216"/>
      <c r="I565" s="216"/>
      <c r="J565" s="216"/>
      <c r="K565" s="216"/>
      <c r="L565" s="217"/>
    </row>
    <row r="566" ht="18.0" customHeight="1">
      <c r="A566" s="212"/>
      <c r="B566" s="212"/>
      <c r="C566" s="212"/>
      <c r="D566" s="212"/>
      <c r="E566" s="218"/>
      <c r="F566" s="212"/>
      <c r="G566" s="215"/>
      <c r="H566" s="216"/>
      <c r="I566" s="216"/>
      <c r="J566" s="216"/>
      <c r="K566" s="216"/>
      <c r="L566" s="217"/>
    </row>
    <row r="567" ht="18.0" customHeight="1">
      <c r="A567" s="212"/>
      <c r="B567" s="212"/>
      <c r="C567" s="212"/>
      <c r="D567" s="212"/>
      <c r="E567" s="218"/>
      <c r="F567" s="212"/>
      <c r="G567" s="215"/>
      <c r="H567" s="216"/>
      <c r="I567" s="216"/>
      <c r="J567" s="216"/>
      <c r="K567" s="216"/>
      <c r="L567" s="217"/>
    </row>
    <row r="568" ht="18.0" customHeight="1">
      <c r="A568" s="212"/>
      <c r="B568" s="212"/>
      <c r="C568" s="212"/>
      <c r="D568" s="212"/>
      <c r="E568" s="218"/>
      <c r="F568" s="212"/>
      <c r="G568" s="215"/>
      <c r="H568" s="216"/>
      <c r="I568" s="216"/>
      <c r="J568" s="216"/>
      <c r="K568" s="216"/>
      <c r="L568" s="217"/>
    </row>
    <row r="569" ht="18.0" customHeight="1">
      <c r="A569" s="212"/>
      <c r="B569" s="212"/>
      <c r="C569" s="212"/>
      <c r="D569" s="212"/>
      <c r="E569" s="218"/>
      <c r="F569" s="212"/>
      <c r="G569" s="215"/>
      <c r="H569" s="216"/>
      <c r="I569" s="216"/>
      <c r="J569" s="216"/>
      <c r="K569" s="216"/>
      <c r="L569" s="217"/>
    </row>
    <row r="570" ht="18.0" customHeight="1">
      <c r="A570" s="212"/>
      <c r="B570" s="212"/>
      <c r="C570" s="212"/>
      <c r="D570" s="212"/>
      <c r="E570" s="218"/>
      <c r="F570" s="212"/>
      <c r="G570" s="215"/>
      <c r="H570" s="216"/>
      <c r="I570" s="216"/>
      <c r="J570" s="216"/>
      <c r="K570" s="216"/>
      <c r="L570" s="217"/>
    </row>
    <row r="571" ht="18.0" customHeight="1">
      <c r="A571" s="212"/>
      <c r="B571" s="212"/>
      <c r="C571" s="212"/>
      <c r="D571" s="212"/>
      <c r="E571" s="218"/>
      <c r="F571" s="212"/>
      <c r="G571" s="215"/>
      <c r="H571" s="216"/>
      <c r="I571" s="216"/>
      <c r="J571" s="216"/>
      <c r="K571" s="216"/>
      <c r="L571" s="217"/>
    </row>
    <row r="572" ht="18.0" customHeight="1">
      <c r="A572" s="212"/>
      <c r="B572" s="212"/>
      <c r="C572" s="212"/>
      <c r="D572" s="212"/>
      <c r="E572" s="218"/>
      <c r="F572" s="212"/>
      <c r="G572" s="215"/>
      <c r="H572" s="216"/>
      <c r="I572" s="216"/>
      <c r="J572" s="216"/>
      <c r="K572" s="216"/>
      <c r="L572" s="217"/>
    </row>
    <row r="573" ht="18.0" customHeight="1">
      <c r="A573" s="212"/>
      <c r="B573" s="212"/>
      <c r="C573" s="212"/>
      <c r="D573" s="212"/>
      <c r="E573" s="218"/>
      <c r="F573" s="212"/>
      <c r="G573" s="215"/>
      <c r="H573" s="216"/>
      <c r="I573" s="216"/>
      <c r="J573" s="216"/>
      <c r="K573" s="216"/>
      <c r="L573" s="217"/>
    </row>
    <row r="574" ht="18.0" customHeight="1">
      <c r="A574" s="212"/>
      <c r="B574" s="212"/>
      <c r="C574" s="212"/>
      <c r="D574" s="212"/>
      <c r="E574" s="218"/>
      <c r="F574" s="212"/>
      <c r="G574" s="215"/>
      <c r="H574" s="216"/>
      <c r="I574" s="216"/>
      <c r="J574" s="216"/>
      <c r="K574" s="216"/>
      <c r="L574" s="217"/>
    </row>
    <row r="575" ht="18.0" customHeight="1">
      <c r="A575" s="212"/>
      <c r="B575" s="212"/>
      <c r="C575" s="212"/>
      <c r="D575" s="212"/>
      <c r="E575" s="218"/>
      <c r="F575" s="212"/>
      <c r="G575" s="215"/>
      <c r="H575" s="216"/>
      <c r="I575" s="216"/>
      <c r="J575" s="216"/>
      <c r="K575" s="216"/>
      <c r="L575" s="217"/>
    </row>
    <row r="576" ht="18.0" customHeight="1">
      <c r="A576" s="212"/>
      <c r="B576" s="212"/>
      <c r="C576" s="212"/>
      <c r="D576" s="212"/>
      <c r="E576" s="218"/>
      <c r="F576" s="212"/>
      <c r="G576" s="215"/>
      <c r="H576" s="216"/>
      <c r="I576" s="216"/>
      <c r="J576" s="216"/>
      <c r="K576" s="216"/>
      <c r="L576" s="217"/>
    </row>
    <row r="577" ht="18.0" customHeight="1">
      <c r="A577" s="212"/>
      <c r="B577" s="212"/>
      <c r="C577" s="212"/>
      <c r="D577" s="212"/>
      <c r="E577" s="218"/>
      <c r="F577" s="212"/>
      <c r="G577" s="215"/>
      <c r="H577" s="216"/>
      <c r="I577" s="216"/>
      <c r="J577" s="216"/>
      <c r="K577" s="216"/>
      <c r="L577" s="217"/>
    </row>
    <row r="578" ht="18.0" customHeight="1">
      <c r="A578" s="212"/>
      <c r="B578" s="212"/>
      <c r="C578" s="212"/>
      <c r="D578" s="212"/>
      <c r="E578" s="218"/>
      <c r="F578" s="212"/>
      <c r="G578" s="215"/>
      <c r="H578" s="216"/>
      <c r="I578" s="216"/>
      <c r="J578" s="216"/>
      <c r="K578" s="216"/>
      <c r="L578" s="217"/>
    </row>
    <row r="579" ht="18.0" customHeight="1">
      <c r="A579" s="212"/>
      <c r="B579" s="212"/>
      <c r="C579" s="212"/>
      <c r="D579" s="212"/>
      <c r="E579" s="218"/>
      <c r="F579" s="212"/>
      <c r="G579" s="215"/>
      <c r="H579" s="216"/>
      <c r="I579" s="216"/>
      <c r="J579" s="216"/>
      <c r="K579" s="216"/>
      <c r="L579" s="217"/>
    </row>
    <row r="580" ht="18.0" customHeight="1">
      <c r="A580" s="212"/>
      <c r="B580" s="212"/>
      <c r="C580" s="212"/>
      <c r="D580" s="212"/>
      <c r="E580" s="218"/>
      <c r="F580" s="212"/>
      <c r="G580" s="215"/>
      <c r="H580" s="216"/>
      <c r="I580" s="216"/>
      <c r="J580" s="216"/>
      <c r="K580" s="216"/>
      <c r="L580" s="217"/>
    </row>
    <row r="581" ht="18.0" customHeight="1">
      <c r="A581" s="212"/>
      <c r="B581" s="212"/>
      <c r="C581" s="212"/>
      <c r="D581" s="212"/>
      <c r="E581" s="218"/>
      <c r="F581" s="212"/>
      <c r="G581" s="215"/>
      <c r="H581" s="216"/>
      <c r="I581" s="216"/>
      <c r="J581" s="216"/>
      <c r="K581" s="216"/>
      <c r="L581" s="217"/>
    </row>
    <row r="582" ht="18.0" customHeight="1">
      <c r="A582" s="212"/>
      <c r="B582" s="212"/>
      <c r="C582" s="212"/>
      <c r="D582" s="212"/>
      <c r="E582" s="218"/>
      <c r="F582" s="212"/>
      <c r="G582" s="215"/>
      <c r="H582" s="216"/>
      <c r="I582" s="216"/>
      <c r="J582" s="216"/>
      <c r="K582" s="216"/>
      <c r="L582" s="217"/>
    </row>
    <row r="583" ht="18.0" customHeight="1">
      <c r="A583" s="212"/>
      <c r="B583" s="212"/>
      <c r="C583" s="212"/>
      <c r="D583" s="212"/>
      <c r="E583" s="218"/>
      <c r="F583" s="212"/>
      <c r="G583" s="215"/>
      <c r="H583" s="216"/>
      <c r="I583" s="216"/>
      <c r="J583" s="216"/>
      <c r="K583" s="216"/>
      <c r="L583" s="217"/>
    </row>
    <row r="584" ht="18.0" customHeight="1">
      <c r="A584" s="212"/>
      <c r="B584" s="212"/>
      <c r="C584" s="212"/>
      <c r="D584" s="212"/>
      <c r="E584" s="218"/>
      <c r="F584" s="212"/>
      <c r="G584" s="215"/>
      <c r="H584" s="216"/>
      <c r="I584" s="216"/>
      <c r="J584" s="216"/>
      <c r="K584" s="216"/>
      <c r="L584" s="217"/>
    </row>
    <row r="585" ht="18.0" customHeight="1">
      <c r="A585" s="212"/>
      <c r="B585" s="212"/>
      <c r="C585" s="212"/>
      <c r="D585" s="212"/>
      <c r="E585" s="218"/>
      <c r="F585" s="212"/>
      <c r="G585" s="215"/>
      <c r="H585" s="216"/>
      <c r="I585" s="216"/>
      <c r="J585" s="216"/>
      <c r="K585" s="216"/>
      <c r="L585" s="217"/>
    </row>
    <row r="586" ht="18.0" customHeight="1">
      <c r="A586" s="212"/>
      <c r="B586" s="212"/>
      <c r="C586" s="212"/>
      <c r="D586" s="212"/>
      <c r="E586" s="218"/>
      <c r="F586" s="212"/>
      <c r="G586" s="215"/>
      <c r="H586" s="216"/>
      <c r="I586" s="216"/>
      <c r="J586" s="216"/>
      <c r="K586" s="216"/>
      <c r="L586" s="217"/>
    </row>
    <row r="587" ht="18.0" customHeight="1">
      <c r="A587" s="212"/>
      <c r="B587" s="212"/>
      <c r="C587" s="212"/>
      <c r="D587" s="212"/>
      <c r="E587" s="218"/>
      <c r="F587" s="212"/>
      <c r="G587" s="215"/>
      <c r="H587" s="216"/>
      <c r="I587" s="216"/>
      <c r="J587" s="216"/>
      <c r="K587" s="216"/>
      <c r="L587" s="217"/>
    </row>
    <row r="588" ht="18.0" customHeight="1">
      <c r="A588" s="212"/>
      <c r="B588" s="212"/>
      <c r="C588" s="212"/>
      <c r="D588" s="212"/>
      <c r="E588" s="218"/>
      <c r="F588" s="212"/>
      <c r="G588" s="215"/>
      <c r="H588" s="216"/>
      <c r="I588" s="216"/>
      <c r="J588" s="216"/>
      <c r="K588" s="216"/>
      <c r="L588" s="217"/>
    </row>
    <row r="589" ht="18.0" customHeight="1">
      <c r="A589" s="212"/>
      <c r="B589" s="212"/>
      <c r="C589" s="212"/>
      <c r="D589" s="212"/>
      <c r="E589" s="218"/>
      <c r="F589" s="212"/>
      <c r="G589" s="215"/>
      <c r="H589" s="216"/>
      <c r="I589" s="216"/>
      <c r="J589" s="216"/>
      <c r="K589" s="216"/>
      <c r="L589" s="217"/>
    </row>
    <row r="590" ht="18.0" customHeight="1">
      <c r="A590" s="212"/>
      <c r="B590" s="212"/>
      <c r="C590" s="212"/>
      <c r="D590" s="212"/>
      <c r="E590" s="218"/>
      <c r="F590" s="212"/>
      <c r="G590" s="215"/>
      <c r="H590" s="216"/>
      <c r="I590" s="216"/>
      <c r="J590" s="216"/>
      <c r="K590" s="216"/>
      <c r="L590" s="217"/>
    </row>
    <row r="591" ht="18.0" customHeight="1">
      <c r="A591" s="212"/>
      <c r="B591" s="212"/>
      <c r="C591" s="212"/>
      <c r="D591" s="212"/>
      <c r="E591" s="218"/>
      <c r="F591" s="212"/>
      <c r="G591" s="215"/>
      <c r="H591" s="216"/>
      <c r="I591" s="216"/>
      <c r="J591" s="216"/>
      <c r="K591" s="216"/>
      <c r="L591" s="217"/>
    </row>
    <row r="592" ht="18.0" customHeight="1">
      <c r="A592" s="212"/>
      <c r="B592" s="212"/>
      <c r="C592" s="212"/>
      <c r="D592" s="212"/>
      <c r="E592" s="218"/>
      <c r="F592" s="212"/>
      <c r="G592" s="215"/>
      <c r="H592" s="216"/>
      <c r="I592" s="216"/>
      <c r="J592" s="216"/>
      <c r="K592" s="216"/>
      <c r="L592" s="217"/>
    </row>
    <row r="593" ht="18.0" customHeight="1">
      <c r="A593" s="212"/>
      <c r="B593" s="212"/>
      <c r="C593" s="212"/>
      <c r="D593" s="212"/>
      <c r="E593" s="218"/>
      <c r="F593" s="212"/>
      <c r="G593" s="215"/>
      <c r="H593" s="216"/>
      <c r="I593" s="216"/>
      <c r="J593" s="216"/>
      <c r="K593" s="216"/>
      <c r="L593" s="217"/>
    </row>
    <row r="594" ht="18.0" customHeight="1">
      <c r="A594" s="212"/>
      <c r="B594" s="212"/>
      <c r="C594" s="212"/>
      <c r="D594" s="212"/>
      <c r="E594" s="218"/>
      <c r="F594" s="212"/>
      <c r="G594" s="215"/>
      <c r="H594" s="216"/>
      <c r="I594" s="216"/>
      <c r="J594" s="216"/>
      <c r="K594" s="216"/>
      <c r="L594" s="217"/>
    </row>
    <row r="595" ht="18.0" customHeight="1">
      <c r="A595" s="212"/>
      <c r="B595" s="212"/>
      <c r="C595" s="212"/>
      <c r="D595" s="212"/>
      <c r="E595" s="218"/>
      <c r="F595" s="212"/>
      <c r="G595" s="215"/>
      <c r="H595" s="216"/>
      <c r="I595" s="216"/>
      <c r="J595" s="216"/>
      <c r="K595" s="216"/>
      <c r="L595" s="217"/>
    </row>
    <row r="596" ht="18.0" customHeight="1">
      <c r="A596" s="212"/>
      <c r="B596" s="212"/>
      <c r="C596" s="212"/>
      <c r="D596" s="212"/>
      <c r="E596" s="218"/>
      <c r="F596" s="212"/>
      <c r="G596" s="215"/>
      <c r="H596" s="216"/>
      <c r="I596" s="216"/>
      <c r="J596" s="216"/>
      <c r="K596" s="216"/>
      <c r="L596" s="217"/>
    </row>
    <row r="597" ht="18.0" customHeight="1">
      <c r="A597" s="212"/>
      <c r="B597" s="212"/>
      <c r="C597" s="212"/>
      <c r="D597" s="212"/>
      <c r="E597" s="218"/>
      <c r="F597" s="212"/>
      <c r="G597" s="215"/>
      <c r="H597" s="216"/>
      <c r="I597" s="216"/>
      <c r="J597" s="216"/>
      <c r="K597" s="216"/>
      <c r="L597" s="217"/>
    </row>
    <row r="598" ht="18.0" customHeight="1">
      <c r="A598" s="212"/>
      <c r="B598" s="212"/>
      <c r="C598" s="212"/>
      <c r="D598" s="212"/>
      <c r="E598" s="218"/>
      <c r="F598" s="212"/>
      <c r="G598" s="215"/>
      <c r="H598" s="216"/>
      <c r="I598" s="216"/>
      <c r="J598" s="216"/>
      <c r="K598" s="216"/>
      <c r="L598" s="217"/>
    </row>
    <row r="599" ht="18.0" customHeight="1">
      <c r="A599" s="212"/>
      <c r="B599" s="212"/>
      <c r="C599" s="212"/>
      <c r="D599" s="212"/>
      <c r="E599" s="218"/>
      <c r="F599" s="212"/>
      <c r="G599" s="215"/>
      <c r="H599" s="216"/>
      <c r="I599" s="216"/>
      <c r="J599" s="216"/>
      <c r="K599" s="216"/>
      <c r="L599" s="217"/>
    </row>
    <row r="600" ht="18.0" customHeight="1">
      <c r="A600" s="212"/>
      <c r="B600" s="212"/>
      <c r="C600" s="212"/>
      <c r="D600" s="212"/>
      <c r="E600" s="218"/>
      <c r="F600" s="212"/>
      <c r="G600" s="215"/>
      <c r="H600" s="216"/>
      <c r="I600" s="216"/>
      <c r="J600" s="216"/>
      <c r="K600" s="216"/>
      <c r="L600" s="217"/>
    </row>
    <row r="601" ht="18.0" customHeight="1">
      <c r="A601" s="212"/>
      <c r="B601" s="212"/>
      <c r="C601" s="212"/>
      <c r="D601" s="212"/>
      <c r="E601" s="218"/>
      <c r="F601" s="212"/>
      <c r="G601" s="215"/>
      <c r="H601" s="216"/>
      <c r="I601" s="216"/>
      <c r="J601" s="216"/>
      <c r="K601" s="216"/>
      <c r="L601" s="217"/>
    </row>
    <row r="602" ht="18.0" customHeight="1">
      <c r="A602" s="212"/>
      <c r="B602" s="212"/>
      <c r="C602" s="212"/>
      <c r="D602" s="212"/>
      <c r="E602" s="218"/>
      <c r="F602" s="212"/>
      <c r="G602" s="215"/>
      <c r="H602" s="216"/>
      <c r="I602" s="216"/>
      <c r="J602" s="216"/>
      <c r="K602" s="216"/>
      <c r="L602" s="217"/>
    </row>
    <row r="603" ht="18.0" customHeight="1">
      <c r="A603" s="212"/>
      <c r="B603" s="212"/>
      <c r="C603" s="212"/>
      <c r="D603" s="212"/>
      <c r="E603" s="218"/>
      <c r="F603" s="212"/>
      <c r="G603" s="215"/>
      <c r="H603" s="216"/>
      <c r="I603" s="216"/>
      <c r="J603" s="216"/>
      <c r="K603" s="216"/>
      <c r="L603" s="217"/>
    </row>
    <row r="604" ht="18.0" customHeight="1">
      <c r="A604" s="212"/>
      <c r="B604" s="212"/>
      <c r="C604" s="212"/>
      <c r="D604" s="212"/>
      <c r="E604" s="218"/>
      <c r="F604" s="212"/>
      <c r="G604" s="215"/>
      <c r="H604" s="216"/>
      <c r="I604" s="216"/>
      <c r="J604" s="216"/>
      <c r="K604" s="216"/>
      <c r="L604" s="217"/>
    </row>
    <row r="605" ht="18.0" customHeight="1">
      <c r="A605" s="212"/>
      <c r="B605" s="212"/>
      <c r="C605" s="212"/>
      <c r="D605" s="212"/>
      <c r="E605" s="218"/>
      <c r="F605" s="212"/>
      <c r="G605" s="215"/>
      <c r="H605" s="216"/>
      <c r="I605" s="216"/>
      <c r="J605" s="216"/>
      <c r="K605" s="216"/>
      <c r="L605" s="217"/>
    </row>
    <row r="606" ht="18.0" customHeight="1">
      <c r="A606" s="212"/>
      <c r="B606" s="212"/>
      <c r="C606" s="212"/>
      <c r="D606" s="212"/>
      <c r="E606" s="218"/>
      <c r="F606" s="212"/>
      <c r="G606" s="215"/>
      <c r="H606" s="216"/>
      <c r="I606" s="216"/>
      <c r="J606" s="216"/>
      <c r="K606" s="216"/>
      <c r="L606" s="217"/>
    </row>
    <row r="607" ht="18.0" customHeight="1">
      <c r="A607" s="212"/>
      <c r="B607" s="212"/>
      <c r="C607" s="212"/>
      <c r="D607" s="212"/>
      <c r="E607" s="218"/>
      <c r="F607" s="212"/>
      <c r="G607" s="215"/>
      <c r="H607" s="216"/>
      <c r="I607" s="216"/>
      <c r="J607" s="216"/>
      <c r="K607" s="216"/>
      <c r="L607" s="217"/>
    </row>
    <row r="608" ht="18.0" customHeight="1">
      <c r="A608" s="212"/>
      <c r="B608" s="212"/>
      <c r="C608" s="212"/>
      <c r="D608" s="212"/>
      <c r="E608" s="218"/>
      <c r="F608" s="212"/>
      <c r="G608" s="215"/>
      <c r="H608" s="216"/>
      <c r="I608" s="216"/>
      <c r="J608" s="216"/>
      <c r="K608" s="216"/>
      <c r="L608" s="217"/>
    </row>
    <row r="609" ht="18.0" customHeight="1">
      <c r="A609" s="212"/>
      <c r="B609" s="212"/>
      <c r="C609" s="212"/>
      <c r="D609" s="212"/>
      <c r="E609" s="218"/>
      <c r="F609" s="212"/>
      <c r="G609" s="215"/>
      <c r="H609" s="216"/>
      <c r="I609" s="216"/>
      <c r="J609" s="216"/>
      <c r="K609" s="216"/>
      <c r="L609" s="217"/>
    </row>
    <row r="610" ht="18.0" customHeight="1">
      <c r="A610" s="212"/>
      <c r="B610" s="212"/>
      <c r="C610" s="212"/>
      <c r="D610" s="212"/>
      <c r="E610" s="218"/>
      <c r="F610" s="212"/>
      <c r="G610" s="215"/>
      <c r="H610" s="216"/>
      <c r="I610" s="216"/>
      <c r="J610" s="216"/>
      <c r="K610" s="216"/>
      <c r="L610" s="217"/>
    </row>
    <row r="611" ht="18.0" customHeight="1">
      <c r="A611" s="212"/>
      <c r="B611" s="212"/>
      <c r="C611" s="212"/>
      <c r="D611" s="212"/>
      <c r="E611" s="218"/>
      <c r="F611" s="212"/>
      <c r="G611" s="215"/>
      <c r="H611" s="216"/>
      <c r="I611" s="216"/>
      <c r="J611" s="216"/>
      <c r="K611" s="216"/>
      <c r="L611" s="217"/>
    </row>
    <row r="612" ht="18.0" customHeight="1">
      <c r="A612" s="212"/>
      <c r="B612" s="212"/>
      <c r="C612" s="212"/>
      <c r="D612" s="212"/>
      <c r="E612" s="218"/>
      <c r="F612" s="212"/>
      <c r="G612" s="215"/>
      <c r="H612" s="216"/>
      <c r="I612" s="216"/>
      <c r="J612" s="216"/>
      <c r="K612" s="216"/>
      <c r="L612" s="217"/>
    </row>
    <row r="613" ht="18.0" customHeight="1">
      <c r="A613" s="212"/>
      <c r="B613" s="212"/>
      <c r="C613" s="212"/>
      <c r="D613" s="212"/>
      <c r="E613" s="218"/>
      <c r="F613" s="212"/>
      <c r="G613" s="215"/>
      <c r="H613" s="216"/>
      <c r="I613" s="216"/>
      <c r="J613" s="216"/>
      <c r="K613" s="216"/>
      <c r="L613" s="217"/>
    </row>
    <row r="614" ht="18.0" customHeight="1">
      <c r="A614" s="212"/>
      <c r="B614" s="212"/>
      <c r="C614" s="212"/>
      <c r="D614" s="212"/>
      <c r="E614" s="218"/>
      <c r="F614" s="212"/>
      <c r="G614" s="215"/>
      <c r="H614" s="216"/>
      <c r="I614" s="216"/>
      <c r="J614" s="216"/>
      <c r="K614" s="216"/>
      <c r="L614" s="217"/>
    </row>
    <row r="615" ht="18.0" customHeight="1">
      <c r="A615" s="212"/>
      <c r="B615" s="212"/>
      <c r="C615" s="212"/>
      <c r="D615" s="212"/>
      <c r="E615" s="218"/>
      <c r="F615" s="212"/>
      <c r="G615" s="215"/>
      <c r="H615" s="216"/>
      <c r="I615" s="216"/>
      <c r="J615" s="216"/>
      <c r="K615" s="216"/>
      <c r="L615" s="217"/>
    </row>
    <row r="616" ht="18.0" customHeight="1">
      <c r="A616" s="212"/>
      <c r="B616" s="212"/>
      <c r="C616" s="212"/>
      <c r="D616" s="212"/>
      <c r="E616" s="218"/>
      <c r="F616" s="212"/>
      <c r="G616" s="215"/>
      <c r="H616" s="216"/>
      <c r="I616" s="216"/>
      <c r="J616" s="216"/>
      <c r="K616" s="216"/>
      <c r="L616" s="217"/>
    </row>
    <row r="617" ht="18.0" customHeight="1">
      <c r="A617" s="212"/>
      <c r="B617" s="212"/>
      <c r="C617" s="212"/>
      <c r="D617" s="212"/>
      <c r="E617" s="218"/>
      <c r="F617" s="212"/>
      <c r="G617" s="215"/>
      <c r="H617" s="216"/>
      <c r="I617" s="216"/>
      <c r="J617" s="216"/>
      <c r="K617" s="216"/>
      <c r="L617" s="217"/>
    </row>
    <row r="618" ht="18.0" customHeight="1">
      <c r="A618" s="212"/>
      <c r="B618" s="212"/>
      <c r="C618" s="212"/>
      <c r="D618" s="212"/>
      <c r="E618" s="218"/>
      <c r="F618" s="212"/>
      <c r="G618" s="215"/>
      <c r="H618" s="216"/>
      <c r="I618" s="216"/>
      <c r="J618" s="216"/>
      <c r="K618" s="216"/>
      <c r="L618" s="217"/>
    </row>
    <row r="619" ht="18.0" customHeight="1">
      <c r="A619" s="212"/>
      <c r="B619" s="212"/>
      <c r="C619" s="212"/>
      <c r="D619" s="212"/>
      <c r="E619" s="218"/>
      <c r="F619" s="212"/>
      <c r="G619" s="215"/>
      <c r="H619" s="216"/>
      <c r="I619" s="216"/>
      <c r="J619" s="216"/>
      <c r="K619" s="216"/>
      <c r="L619" s="217"/>
    </row>
    <row r="620" ht="18.0" customHeight="1">
      <c r="A620" s="212"/>
      <c r="B620" s="212"/>
      <c r="C620" s="212"/>
      <c r="D620" s="212"/>
      <c r="E620" s="218"/>
      <c r="F620" s="212"/>
      <c r="G620" s="215"/>
      <c r="H620" s="216"/>
      <c r="I620" s="216"/>
      <c r="J620" s="216"/>
      <c r="K620" s="216"/>
      <c r="L620" s="217"/>
    </row>
    <row r="621" ht="18.0" customHeight="1">
      <c r="A621" s="212"/>
      <c r="B621" s="212"/>
      <c r="C621" s="212"/>
      <c r="D621" s="212"/>
      <c r="E621" s="218"/>
      <c r="F621" s="212"/>
      <c r="G621" s="215"/>
      <c r="H621" s="216"/>
      <c r="I621" s="216"/>
      <c r="J621" s="216"/>
      <c r="K621" s="216"/>
      <c r="L621" s="217"/>
    </row>
    <row r="622" ht="18.0" customHeight="1">
      <c r="A622" s="212"/>
      <c r="B622" s="212"/>
      <c r="C622" s="212"/>
      <c r="D622" s="212"/>
      <c r="E622" s="218"/>
      <c r="F622" s="212"/>
      <c r="G622" s="215"/>
      <c r="H622" s="216"/>
      <c r="I622" s="216"/>
      <c r="J622" s="216"/>
      <c r="K622" s="216"/>
      <c r="L622" s="217"/>
    </row>
    <row r="623" ht="18.0" customHeight="1">
      <c r="A623" s="212"/>
      <c r="B623" s="212"/>
      <c r="C623" s="212"/>
      <c r="D623" s="212"/>
      <c r="E623" s="218"/>
      <c r="F623" s="212"/>
      <c r="G623" s="215"/>
      <c r="H623" s="216"/>
      <c r="I623" s="216"/>
      <c r="J623" s="216"/>
      <c r="K623" s="216"/>
      <c r="L623" s="217"/>
    </row>
    <row r="624" ht="18.0" customHeight="1">
      <c r="A624" s="212"/>
      <c r="B624" s="212"/>
      <c r="C624" s="212"/>
      <c r="D624" s="212"/>
      <c r="E624" s="218"/>
      <c r="F624" s="212"/>
      <c r="G624" s="215"/>
      <c r="H624" s="216"/>
      <c r="I624" s="216"/>
      <c r="J624" s="216"/>
      <c r="K624" s="216"/>
      <c r="L624" s="217"/>
    </row>
    <row r="625" ht="18.0" customHeight="1">
      <c r="A625" s="212"/>
      <c r="B625" s="212"/>
      <c r="C625" s="212"/>
      <c r="D625" s="212"/>
      <c r="E625" s="218"/>
      <c r="F625" s="212"/>
      <c r="G625" s="215"/>
      <c r="H625" s="216"/>
      <c r="I625" s="216"/>
      <c r="J625" s="216"/>
      <c r="K625" s="216"/>
      <c r="L625" s="217"/>
    </row>
    <row r="626" ht="18.0" customHeight="1">
      <c r="A626" s="212"/>
      <c r="B626" s="212"/>
      <c r="C626" s="212"/>
      <c r="D626" s="212"/>
      <c r="E626" s="218"/>
      <c r="F626" s="212"/>
      <c r="G626" s="215"/>
      <c r="H626" s="216"/>
      <c r="I626" s="216"/>
      <c r="J626" s="216"/>
      <c r="K626" s="216"/>
      <c r="L626" s="217"/>
    </row>
    <row r="627" ht="18.0" customHeight="1">
      <c r="A627" s="212"/>
      <c r="B627" s="212"/>
      <c r="C627" s="212"/>
      <c r="D627" s="212"/>
      <c r="E627" s="218"/>
      <c r="F627" s="212"/>
      <c r="G627" s="215"/>
      <c r="H627" s="216"/>
      <c r="I627" s="216"/>
      <c r="J627" s="216"/>
      <c r="K627" s="216"/>
      <c r="L627" s="217"/>
    </row>
    <row r="628" ht="18.0" customHeight="1">
      <c r="A628" s="212"/>
      <c r="B628" s="212"/>
      <c r="C628" s="212"/>
      <c r="D628" s="212"/>
      <c r="E628" s="218"/>
      <c r="F628" s="212"/>
      <c r="G628" s="215"/>
      <c r="H628" s="216"/>
      <c r="I628" s="216"/>
      <c r="J628" s="216"/>
      <c r="K628" s="216"/>
      <c r="L628" s="217"/>
    </row>
    <row r="629" ht="18.0" customHeight="1">
      <c r="A629" s="212"/>
      <c r="B629" s="212"/>
      <c r="C629" s="212"/>
      <c r="D629" s="212"/>
      <c r="E629" s="218"/>
      <c r="F629" s="212"/>
      <c r="G629" s="215"/>
      <c r="H629" s="216"/>
      <c r="I629" s="216"/>
      <c r="J629" s="216"/>
      <c r="K629" s="216"/>
      <c r="L629" s="217"/>
    </row>
    <row r="630" ht="18.0" customHeight="1">
      <c r="A630" s="212"/>
      <c r="B630" s="212"/>
      <c r="C630" s="212"/>
      <c r="D630" s="212"/>
      <c r="E630" s="218"/>
      <c r="F630" s="212"/>
      <c r="G630" s="215"/>
      <c r="H630" s="216"/>
      <c r="I630" s="216"/>
      <c r="J630" s="216"/>
      <c r="K630" s="216"/>
      <c r="L630" s="217"/>
    </row>
    <row r="631" ht="18.0" customHeight="1">
      <c r="A631" s="212"/>
      <c r="B631" s="212"/>
      <c r="C631" s="212"/>
      <c r="D631" s="212"/>
      <c r="E631" s="218"/>
      <c r="F631" s="212"/>
      <c r="G631" s="215"/>
      <c r="H631" s="216"/>
      <c r="I631" s="216"/>
      <c r="J631" s="216"/>
      <c r="K631" s="216"/>
      <c r="L631" s="217"/>
    </row>
    <row r="632" ht="18.0" customHeight="1">
      <c r="A632" s="212"/>
      <c r="B632" s="212"/>
      <c r="C632" s="212"/>
      <c r="D632" s="212"/>
      <c r="E632" s="218"/>
      <c r="F632" s="212"/>
      <c r="G632" s="215"/>
      <c r="H632" s="216"/>
      <c r="I632" s="216"/>
      <c r="J632" s="216"/>
      <c r="K632" s="216"/>
      <c r="L632" s="217"/>
    </row>
    <row r="633" ht="18.0" customHeight="1">
      <c r="A633" s="212"/>
      <c r="B633" s="212"/>
      <c r="C633" s="212"/>
      <c r="D633" s="212"/>
      <c r="E633" s="218"/>
      <c r="F633" s="212"/>
      <c r="G633" s="215"/>
      <c r="H633" s="216"/>
      <c r="I633" s="216"/>
      <c r="J633" s="216"/>
      <c r="K633" s="216"/>
      <c r="L633" s="217"/>
    </row>
    <row r="634" ht="18.0" customHeight="1">
      <c r="A634" s="212"/>
      <c r="B634" s="212"/>
      <c r="C634" s="212"/>
      <c r="D634" s="212"/>
      <c r="E634" s="218"/>
      <c r="F634" s="212"/>
      <c r="G634" s="215"/>
      <c r="H634" s="216"/>
      <c r="I634" s="216"/>
      <c r="J634" s="216"/>
      <c r="K634" s="216"/>
      <c r="L634" s="217"/>
    </row>
    <row r="635" ht="18.0" customHeight="1">
      <c r="A635" s="212"/>
      <c r="B635" s="212"/>
      <c r="C635" s="212"/>
      <c r="D635" s="212"/>
      <c r="E635" s="218"/>
      <c r="F635" s="212"/>
      <c r="G635" s="215"/>
      <c r="H635" s="216"/>
      <c r="I635" s="216"/>
      <c r="J635" s="216"/>
      <c r="K635" s="216"/>
      <c r="L635" s="217"/>
    </row>
    <row r="636" ht="18.0" customHeight="1">
      <c r="A636" s="212"/>
      <c r="B636" s="212"/>
      <c r="C636" s="212"/>
      <c r="D636" s="212"/>
      <c r="E636" s="218"/>
      <c r="F636" s="212"/>
      <c r="G636" s="215"/>
      <c r="H636" s="216"/>
      <c r="I636" s="216"/>
      <c r="J636" s="216"/>
      <c r="K636" s="216"/>
      <c r="L636" s="217"/>
    </row>
    <row r="637" ht="18.0" customHeight="1">
      <c r="A637" s="212"/>
      <c r="B637" s="212"/>
      <c r="C637" s="212"/>
      <c r="D637" s="212"/>
      <c r="E637" s="218"/>
      <c r="F637" s="212"/>
      <c r="G637" s="215"/>
      <c r="H637" s="216"/>
      <c r="I637" s="216"/>
      <c r="J637" s="216"/>
      <c r="K637" s="216"/>
      <c r="L637" s="217"/>
    </row>
    <row r="638" ht="18.0" customHeight="1">
      <c r="A638" s="212"/>
      <c r="B638" s="212"/>
      <c r="C638" s="212"/>
      <c r="D638" s="212"/>
      <c r="E638" s="218"/>
      <c r="F638" s="212"/>
      <c r="G638" s="215"/>
      <c r="H638" s="216"/>
      <c r="I638" s="216"/>
      <c r="J638" s="216"/>
      <c r="K638" s="216"/>
      <c r="L638" s="217"/>
    </row>
    <row r="639" ht="18.0" customHeight="1">
      <c r="A639" s="212"/>
      <c r="B639" s="212"/>
      <c r="C639" s="212"/>
      <c r="D639" s="212"/>
      <c r="E639" s="218"/>
      <c r="F639" s="212"/>
      <c r="G639" s="215"/>
      <c r="H639" s="216"/>
      <c r="I639" s="216"/>
      <c r="J639" s="216"/>
      <c r="K639" s="216"/>
      <c r="L639" s="217"/>
    </row>
    <row r="640" ht="18.0" customHeight="1">
      <c r="A640" s="212"/>
      <c r="B640" s="212"/>
      <c r="C640" s="212"/>
      <c r="D640" s="212"/>
      <c r="E640" s="218"/>
      <c r="F640" s="212"/>
      <c r="G640" s="215"/>
      <c r="H640" s="216"/>
      <c r="I640" s="216"/>
      <c r="J640" s="216"/>
      <c r="K640" s="216"/>
      <c r="L640" s="217"/>
    </row>
    <row r="641" ht="18.0" customHeight="1">
      <c r="A641" s="212"/>
      <c r="B641" s="212"/>
      <c r="C641" s="212"/>
      <c r="D641" s="212"/>
      <c r="E641" s="218"/>
      <c r="F641" s="212"/>
      <c r="G641" s="215"/>
      <c r="H641" s="216"/>
      <c r="I641" s="216"/>
      <c r="J641" s="216"/>
      <c r="K641" s="216"/>
      <c r="L641" s="217"/>
    </row>
    <row r="642" ht="18.0" customHeight="1">
      <c r="A642" s="212"/>
      <c r="B642" s="212"/>
      <c r="C642" s="212"/>
      <c r="D642" s="212"/>
      <c r="E642" s="218"/>
      <c r="F642" s="212"/>
      <c r="G642" s="215"/>
      <c r="H642" s="216"/>
      <c r="I642" s="216"/>
      <c r="J642" s="216"/>
      <c r="K642" s="216"/>
      <c r="L642" s="217"/>
    </row>
    <row r="643" ht="18.0" customHeight="1">
      <c r="A643" s="212"/>
      <c r="B643" s="212"/>
      <c r="C643" s="212"/>
      <c r="D643" s="212"/>
      <c r="E643" s="218"/>
      <c r="F643" s="212"/>
      <c r="G643" s="215"/>
      <c r="H643" s="216"/>
      <c r="I643" s="216"/>
      <c r="J643" s="216"/>
      <c r="K643" s="216"/>
      <c r="L643" s="217"/>
    </row>
    <row r="644" ht="18.0" customHeight="1">
      <c r="A644" s="212"/>
      <c r="B644" s="212"/>
      <c r="C644" s="212"/>
      <c r="D644" s="212"/>
      <c r="E644" s="218"/>
      <c r="F644" s="212"/>
      <c r="G644" s="215"/>
      <c r="H644" s="216"/>
      <c r="I644" s="216"/>
      <c r="J644" s="216"/>
      <c r="K644" s="216"/>
      <c r="L644" s="217"/>
    </row>
    <row r="645" ht="18.0" customHeight="1">
      <c r="A645" s="212"/>
      <c r="B645" s="212"/>
      <c r="C645" s="212"/>
      <c r="D645" s="212"/>
      <c r="E645" s="218"/>
      <c r="F645" s="212"/>
      <c r="G645" s="215"/>
      <c r="H645" s="216"/>
      <c r="I645" s="216"/>
      <c r="J645" s="216"/>
      <c r="K645" s="216"/>
      <c r="L645" s="217"/>
    </row>
    <row r="646" ht="18.0" customHeight="1">
      <c r="A646" s="212"/>
      <c r="B646" s="212"/>
      <c r="C646" s="212"/>
      <c r="D646" s="212"/>
      <c r="E646" s="218"/>
      <c r="F646" s="212"/>
      <c r="G646" s="215"/>
      <c r="H646" s="216"/>
      <c r="I646" s="216"/>
      <c r="J646" s="216"/>
      <c r="K646" s="216"/>
      <c r="L646" s="217"/>
    </row>
    <row r="647" ht="18.0" customHeight="1">
      <c r="A647" s="212"/>
      <c r="B647" s="212"/>
      <c r="C647" s="212"/>
      <c r="D647" s="212"/>
      <c r="E647" s="218"/>
      <c r="F647" s="212"/>
      <c r="G647" s="215"/>
      <c r="H647" s="216"/>
      <c r="I647" s="216"/>
      <c r="J647" s="216"/>
      <c r="K647" s="216"/>
      <c r="L647" s="217"/>
    </row>
    <row r="648" ht="18.0" customHeight="1">
      <c r="A648" s="212"/>
      <c r="B648" s="212"/>
      <c r="C648" s="212"/>
      <c r="D648" s="212"/>
      <c r="E648" s="218"/>
      <c r="F648" s="212"/>
      <c r="G648" s="215"/>
      <c r="H648" s="216"/>
      <c r="I648" s="216"/>
      <c r="J648" s="216"/>
      <c r="K648" s="216"/>
      <c r="L648" s="217"/>
    </row>
    <row r="649" ht="18.0" customHeight="1">
      <c r="A649" s="212"/>
      <c r="B649" s="212"/>
      <c r="C649" s="212"/>
      <c r="D649" s="212"/>
      <c r="E649" s="218"/>
      <c r="F649" s="212"/>
      <c r="G649" s="215"/>
      <c r="H649" s="216"/>
      <c r="I649" s="216"/>
      <c r="J649" s="216"/>
      <c r="K649" s="216"/>
      <c r="L649" s="217"/>
    </row>
    <row r="650" ht="18.0" customHeight="1">
      <c r="A650" s="212"/>
      <c r="B650" s="212"/>
      <c r="C650" s="212"/>
      <c r="D650" s="212"/>
      <c r="E650" s="218"/>
      <c r="F650" s="212"/>
      <c r="G650" s="215"/>
      <c r="H650" s="216"/>
      <c r="I650" s="216"/>
      <c r="J650" s="216"/>
      <c r="K650" s="216"/>
      <c r="L650" s="217"/>
    </row>
    <row r="651" ht="18.0" customHeight="1">
      <c r="A651" s="212"/>
      <c r="B651" s="212"/>
      <c r="C651" s="212"/>
      <c r="D651" s="212"/>
      <c r="E651" s="218"/>
      <c r="F651" s="212"/>
      <c r="G651" s="215"/>
      <c r="H651" s="216"/>
      <c r="I651" s="216"/>
      <c r="J651" s="216"/>
      <c r="K651" s="216"/>
      <c r="L651" s="217"/>
    </row>
    <row r="652" ht="18.0" customHeight="1">
      <c r="A652" s="212"/>
      <c r="B652" s="212"/>
      <c r="C652" s="212"/>
      <c r="D652" s="212"/>
      <c r="E652" s="218"/>
      <c r="F652" s="212"/>
      <c r="G652" s="215"/>
      <c r="H652" s="216"/>
      <c r="I652" s="216"/>
      <c r="J652" s="216"/>
      <c r="K652" s="216"/>
      <c r="L652" s="217"/>
    </row>
    <row r="653" ht="18.0" customHeight="1">
      <c r="A653" s="212"/>
      <c r="B653" s="212"/>
      <c r="C653" s="212"/>
      <c r="D653" s="212"/>
      <c r="E653" s="218"/>
      <c r="F653" s="212"/>
      <c r="G653" s="215"/>
      <c r="H653" s="216"/>
      <c r="I653" s="216"/>
      <c r="J653" s="216"/>
      <c r="K653" s="216"/>
      <c r="L653" s="217"/>
    </row>
    <row r="654" ht="18.0" customHeight="1">
      <c r="A654" s="212"/>
      <c r="B654" s="212"/>
      <c r="C654" s="212"/>
      <c r="D654" s="212"/>
      <c r="E654" s="218"/>
      <c r="F654" s="212"/>
      <c r="G654" s="215"/>
      <c r="H654" s="216"/>
      <c r="I654" s="216"/>
      <c r="J654" s="216"/>
      <c r="K654" s="216"/>
      <c r="L654" s="217"/>
    </row>
    <row r="655" ht="18.0" customHeight="1">
      <c r="A655" s="212"/>
      <c r="B655" s="212"/>
      <c r="C655" s="212"/>
      <c r="D655" s="212"/>
      <c r="E655" s="218"/>
      <c r="F655" s="212"/>
      <c r="G655" s="215"/>
      <c r="H655" s="216"/>
      <c r="I655" s="216"/>
      <c r="J655" s="216"/>
      <c r="K655" s="216"/>
      <c r="L655" s="217"/>
    </row>
    <row r="656" ht="18.0" customHeight="1">
      <c r="A656" s="212"/>
      <c r="B656" s="212"/>
      <c r="C656" s="212"/>
      <c r="D656" s="212"/>
      <c r="E656" s="218"/>
      <c r="F656" s="212"/>
      <c r="G656" s="215"/>
      <c r="H656" s="216"/>
      <c r="I656" s="216"/>
      <c r="J656" s="216"/>
      <c r="K656" s="216"/>
      <c r="L656" s="217"/>
    </row>
    <row r="657" ht="18.0" customHeight="1">
      <c r="A657" s="212"/>
      <c r="B657" s="212"/>
      <c r="C657" s="212"/>
      <c r="D657" s="212"/>
      <c r="E657" s="218"/>
      <c r="F657" s="212"/>
      <c r="G657" s="215"/>
      <c r="H657" s="216"/>
      <c r="I657" s="216"/>
      <c r="J657" s="216"/>
      <c r="K657" s="216"/>
      <c r="L657" s="217"/>
    </row>
    <row r="658" ht="18.0" customHeight="1">
      <c r="A658" s="212"/>
      <c r="B658" s="212"/>
      <c r="C658" s="212"/>
      <c r="D658" s="212"/>
      <c r="E658" s="218"/>
      <c r="F658" s="212"/>
      <c r="G658" s="215"/>
      <c r="H658" s="216"/>
      <c r="I658" s="216"/>
      <c r="J658" s="216"/>
      <c r="K658" s="216"/>
      <c r="L658" s="217"/>
    </row>
    <row r="659" ht="18.0" customHeight="1">
      <c r="A659" s="212"/>
      <c r="B659" s="212"/>
      <c r="C659" s="212"/>
      <c r="D659" s="212"/>
      <c r="E659" s="218"/>
      <c r="F659" s="212"/>
      <c r="G659" s="215"/>
      <c r="H659" s="216"/>
      <c r="I659" s="216"/>
      <c r="J659" s="216"/>
      <c r="K659" s="216"/>
      <c r="L659" s="217"/>
    </row>
    <row r="660" ht="18.0" customHeight="1">
      <c r="A660" s="212"/>
      <c r="B660" s="212"/>
      <c r="C660" s="212"/>
      <c r="D660" s="212"/>
      <c r="E660" s="218"/>
      <c r="F660" s="212"/>
      <c r="G660" s="215"/>
      <c r="H660" s="216"/>
      <c r="I660" s="216"/>
      <c r="J660" s="216"/>
      <c r="K660" s="216"/>
      <c r="L660" s="217"/>
    </row>
    <row r="661" ht="18.0" customHeight="1">
      <c r="A661" s="212"/>
      <c r="B661" s="212"/>
      <c r="C661" s="212"/>
      <c r="D661" s="212"/>
      <c r="E661" s="218"/>
      <c r="F661" s="212"/>
      <c r="G661" s="215"/>
      <c r="H661" s="216"/>
      <c r="I661" s="216"/>
      <c r="J661" s="216"/>
      <c r="K661" s="216"/>
      <c r="L661" s="217"/>
    </row>
    <row r="662" ht="18.0" customHeight="1">
      <c r="A662" s="212"/>
      <c r="B662" s="212"/>
      <c r="C662" s="212"/>
      <c r="D662" s="212"/>
      <c r="E662" s="218"/>
      <c r="F662" s="212"/>
      <c r="G662" s="215"/>
      <c r="H662" s="216"/>
      <c r="I662" s="216"/>
      <c r="J662" s="216"/>
      <c r="K662" s="216"/>
      <c r="L662" s="217"/>
    </row>
    <row r="663" ht="18.0" customHeight="1">
      <c r="A663" s="212"/>
      <c r="B663" s="212"/>
      <c r="C663" s="212"/>
      <c r="D663" s="212"/>
      <c r="E663" s="218"/>
      <c r="F663" s="212"/>
      <c r="G663" s="215"/>
      <c r="H663" s="216"/>
      <c r="I663" s="216"/>
      <c r="J663" s="216"/>
      <c r="K663" s="216"/>
      <c r="L663" s="217"/>
    </row>
    <row r="664" ht="18.0" customHeight="1">
      <c r="A664" s="212"/>
      <c r="B664" s="212"/>
      <c r="C664" s="212"/>
      <c r="D664" s="212"/>
      <c r="E664" s="218"/>
      <c r="F664" s="212"/>
      <c r="G664" s="215"/>
      <c r="H664" s="216"/>
      <c r="I664" s="216"/>
      <c r="J664" s="216"/>
      <c r="K664" s="216"/>
      <c r="L664" s="217"/>
    </row>
    <row r="665" ht="18.0" customHeight="1">
      <c r="A665" s="212"/>
      <c r="B665" s="212"/>
      <c r="C665" s="212"/>
      <c r="D665" s="212"/>
      <c r="E665" s="218"/>
      <c r="F665" s="212"/>
      <c r="G665" s="215"/>
      <c r="H665" s="216"/>
      <c r="I665" s="216"/>
      <c r="J665" s="216"/>
      <c r="K665" s="216"/>
      <c r="L665" s="217"/>
    </row>
    <row r="666" ht="18.0" customHeight="1">
      <c r="A666" s="212"/>
      <c r="B666" s="212"/>
      <c r="C666" s="212"/>
      <c r="D666" s="212"/>
      <c r="E666" s="218"/>
      <c r="F666" s="212"/>
      <c r="G666" s="215"/>
      <c r="H666" s="216"/>
      <c r="I666" s="216"/>
      <c r="J666" s="216"/>
      <c r="K666" s="216"/>
      <c r="L666" s="217"/>
    </row>
    <row r="667" ht="18.0" customHeight="1">
      <c r="A667" s="212"/>
      <c r="B667" s="212"/>
      <c r="C667" s="212"/>
      <c r="D667" s="212"/>
      <c r="E667" s="218"/>
      <c r="F667" s="212"/>
      <c r="G667" s="215"/>
      <c r="H667" s="216"/>
      <c r="I667" s="216"/>
      <c r="J667" s="216"/>
      <c r="K667" s="216"/>
      <c r="L667" s="217"/>
    </row>
    <row r="668" ht="18.0" customHeight="1">
      <c r="A668" s="212"/>
      <c r="B668" s="212"/>
      <c r="C668" s="212"/>
      <c r="D668" s="212"/>
      <c r="E668" s="218"/>
      <c r="F668" s="212"/>
      <c r="G668" s="215"/>
      <c r="H668" s="216"/>
      <c r="I668" s="216"/>
      <c r="J668" s="216"/>
      <c r="K668" s="216"/>
      <c r="L668" s="217"/>
    </row>
    <row r="669" ht="18.0" customHeight="1">
      <c r="A669" s="212"/>
      <c r="B669" s="212"/>
      <c r="C669" s="212"/>
      <c r="D669" s="212"/>
      <c r="E669" s="218"/>
      <c r="F669" s="212"/>
      <c r="G669" s="215"/>
      <c r="H669" s="216"/>
      <c r="I669" s="216"/>
      <c r="J669" s="216"/>
      <c r="K669" s="216"/>
      <c r="L669" s="217"/>
    </row>
    <row r="670" ht="18.0" customHeight="1">
      <c r="A670" s="212"/>
      <c r="B670" s="212"/>
      <c r="C670" s="212"/>
      <c r="D670" s="212"/>
      <c r="E670" s="218"/>
      <c r="F670" s="212"/>
      <c r="G670" s="215"/>
      <c r="H670" s="216"/>
      <c r="I670" s="216"/>
      <c r="J670" s="216"/>
      <c r="K670" s="216"/>
      <c r="L670" s="217"/>
    </row>
    <row r="671" ht="18.0" customHeight="1">
      <c r="A671" s="212"/>
      <c r="B671" s="212"/>
      <c r="C671" s="212"/>
      <c r="D671" s="212"/>
      <c r="E671" s="218"/>
      <c r="F671" s="212"/>
      <c r="G671" s="215"/>
      <c r="H671" s="216"/>
      <c r="I671" s="216"/>
      <c r="J671" s="216"/>
      <c r="K671" s="216"/>
      <c r="L671" s="217"/>
    </row>
    <row r="672" ht="18.0" customHeight="1">
      <c r="A672" s="212"/>
      <c r="B672" s="212"/>
      <c r="C672" s="212"/>
      <c r="D672" s="212"/>
      <c r="E672" s="218"/>
      <c r="F672" s="212"/>
      <c r="G672" s="215"/>
      <c r="H672" s="216"/>
      <c r="I672" s="216"/>
      <c r="J672" s="216"/>
      <c r="K672" s="216"/>
      <c r="L672" s="217"/>
    </row>
    <row r="673" ht="18.0" customHeight="1">
      <c r="A673" s="212"/>
      <c r="B673" s="212"/>
      <c r="C673" s="212"/>
      <c r="D673" s="212"/>
      <c r="E673" s="218"/>
      <c r="F673" s="212"/>
      <c r="G673" s="215"/>
      <c r="H673" s="216"/>
      <c r="I673" s="216"/>
      <c r="J673" s="216"/>
      <c r="K673" s="216"/>
      <c r="L673" s="217"/>
    </row>
    <row r="674" ht="18.0" customHeight="1">
      <c r="A674" s="212"/>
      <c r="B674" s="212"/>
      <c r="C674" s="212"/>
      <c r="D674" s="212"/>
      <c r="E674" s="218"/>
      <c r="F674" s="212"/>
      <c r="G674" s="215"/>
      <c r="H674" s="216"/>
      <c r="I674" s="216"/>
      <c r="J674" s="216"/>
      <c r="K674" s="216"/>
      <c r="L674" s="217"/>
    </row>
    <row r="675" ht="18.0" customHeight="1">
      <c r="A675" s="212"/>
      <c r="B675" s="212"/>
      <c r="C675" s="212"/>
      <c r="D675" s="212"/>
      <c r="E675" s="218"/>
      <c r="F675" s="212"/>
      <c r="G675" s="215"/>
      <c r="H675" s="216"/>
      <c r="I675" s="216"/>
      <c r="J675" s="216"/>
      <c r="K675" s="216"/>
      <c r="L675" s="217"/>
    </row>
    <row r="676" ht="18.0" customHeight="1">
      <c r="A676" s="212"/>
      <c r="B676" s="212"/>
      <c r="C676" s="212"/>
      <c r="D676" s="212"/>
      <c r="E676" s="218"/>
      <c r="F676" s="212"/>
      <c r="G676" s="215"/>
      <c r="H676" s="216"/>
      <c r="I676" s="216"/>
      <c r="J676" s="216"/>
      <c r="K676" s="216"/>
      <c r="L676" s="217"/>
    </row>
    <row r="677" ht="18.0" customHeight="1">
      <c r="A677" s="212"/>
      <c r="B677" s="212"/>
      <c r="C677" s="212"/>
      <c r="D677" s="212"/>
      <c r="E677" s="218"/>
      <c r="F677" s="212"/>
      <c r="G677" s="215"/>
      <c r="H677" s="216"/>
      <c r="I677" s="216"/>
      <c r="J677" s="216"/>
      <c r="K677" s="216"/>
      <c r="L677" s="217"/>
    </row>
    <row r="678" ht="18.0" customHeight="1">
      <c r="A678" s="212"/>
      <c r="B678" s="212"/>
      <c r="C678" s="212"/>
      <c r="D678" s="212"/>
      <c r="E678" s="218"/>
      <c r="F678" s="212"/>
      <c r="G678" s="215"/>
      <c r="H678" s="216"/>
      <c r="I678" s="216"/>
      <c r="J678" s="216"/>
      <c r="K678" s="216"/>
      <c r="L678" s="217"/>
    </row>
    <row r="679" ht="18.0" customHeight="1">
      <c r="A679" s="212"/>
      <c r="B679" s="212"/>
      <c r="C679" s="212"/>
      <c r="D679" s="212"/>
      <c r="E679" s="218"/>
      <c r="F679" s="212"/>
      <c r="G679" s="215"/>
      <c r="H679" s="216"/>
      <c r="I679" s="216"/>
      <c r="J679" s="216"/>
      <c r="K679" s="216"/>
      <c r="L679" s="217"/>
    </row>
    <row r="680" ht="18.0" customHeight="1">
      <c r="A680" s="212"/>
      <c r="B680" s="212"/>
      <c r="C680" s="212"/>
      <c r="D680" s="212"/>
      <c r="E680" s="218"/>
      <c r="F680" s="212"/>
      <c r="G680" s="215"/>
      <c r="H680" s="216"/>
      <c r="I680" s="216"/>
      <c r="J680" s="216"/>
      <c r="K680" s="216"/>
      <c r="L680" s="217"/>
    </row>
    <row r="681" ht="18.0" customHeight="1">
      <c r="A681" s="212"/>
      <c r="B681" s="212"/>
      <c r="C681" s="212"/>
      <c r="D681" s="212"/>
      <c r="E681" s="218"/>
      <c r="F681" s="212"/>
      <c r="G681" s="215"/>
      <c r="H681" s="216"/>
      <c r="I681" s="216"/>
      <c r="J681" s="216"/>
      <c r="K681" s="216"/>
      <c r="L681" s="217"/>
    </row>
    <row r="682" ht="18.0" customHeight="1">
      <c r="A682" s="212"/>
      <c r="B682" s="212"/>
      <c r="C682" s="212"/>
      <c r="D682" s="212"/>
      <c r="E682" s="218"/>
      <c r="F682" s="212"/>
      <c r="G682" s="215"/>
      <c r="H682" s="216"/>
      <c r="I682" s="216"/>
      <c r="J682" s="216"/>
      <c r="K682" s="216"/>
      <c r="L682" s="217"/>
    </row>
    <row r="683" ht="18.0" customHeight="1">
      <c r="A683" s="212"/>
      <c r="B683" s="212"/>
      <c r="C683" s="212"/>
      <c r="D683" s="212"/>
      <c r="E683" s="218"/>
      <c r="F683" s="212"/>
      <c r="G683" s="215"/>
      <c r="H683" s="216"/>
      <c r="I683" s="216"/>
      <c r="J683" s="216"/>
      <c r="K683" s="216"/>
      <c r="L683" s="217"/>
    </row>
    <row r="684" ht="18.0" customHeight="1">
      <c r="A684" s="212"/>
      <c r="B684" s="212"/>
      <c r="C684" s="212"/>
      <c r="D684" s="212"/>
      <c r="E684" s="218"/>
      <c r="F684" s="212"/>
      <c r="G684" s="215"/>
      <c r="H684" s="216"/>
      <c r="I684" s="216"/>
      <c r="J684" s="216"/>
      <c r="K684" s="216"/>
      <c r="L684" s="217"/>
    </row>
    <row r="685" ht="18.0" customHeight="1">
      <c r="A685" s="212"/>
      <c r="B685" s="212"/>
      <c r="C685" s="212"/>
      <c r="D685" s="212"/>
      <c r="E685" s="218"/>
      <c r="F685" s="212"/>
      <c r="G685" s="215"/>
      <c r="H685" s="216"/>
      <c r="I685" s="216"/>
      <c r="J685" s="216"/>
      <c r="K685" s="216"/>
      <c r="L685" s="217"/>
    </row>
    <row r="686" ht="18.0" customHeight="1">
      <c r="A686" s="212"/>
      <c r="B686" s="212"/>
      <c r="C686" s="212"/>
      <c r="D686" s="212"/>
      <c r="E686" s="218"/>
      <c r="F686" s="212"/>
      <c r="G686" s="215"/>
      <c r="H686" s="216"/>
      <c r="I686" s="216"/>
      <c r="J686" s="216"/>
      <c r="K686" s="216"/>
      <c r="L686" s="217"/>
    </row>
    <row r="687" ht="18.0" customHeight="1">
      <c r="A687" s="212"/>
      <c r="B687" s="212"/>
      <c r="C687" s="212"/>
      <c r="D687" s="212"/>
      <c r="E687" s="218"/>
      <c r="F687" s="212"/>
      <c r="G687" s="215"/>
      <c r="H687" s="216"/>
      <c r="I687" s="216"/>
      <c r="J687" s="216"/>
      <c r="K687" s="216"/>
      <c r="L687" s="217"/>
    </row>
    <row r="688" ht="18.0" customHeight="1">
      <c r="A688" s="212"/>
      <c r="B688" s="212"/>
      <c r="C688" s="212"/>
      <c r="D688" s="212"/>
      <c r="E688" s="218"/>
      <c r="F688" s="212"/>
      <c r="G688" s="215"/>
      <c r="H688" s="216"/>
      <c r="I688" s="216"/>
      <c r="J688" s="216"/>
      <c r="K688" s="216"/>
      <c r="L688" s="217"/>
    </row>
    <row r="689" ht="18.0" customHeight="1">
      <c r="A689" s="212"/>
      <c r="B689" s="212"/>
      <c r="C689" s="212"/>
      <c r="D689" s="212"/>
      <c r="E689" s="218"/>
      <c r="F689" s="212"/>
      <c r="G689" s="215"/>
      <c r="H689" s="216"/>
      <c r="I689" s="216"/>
      <c r="J689" s="216"/>
      <c r="K689" s="216"/>
      <c r="L689" s="217"/>
    </row>
    <row r="690" ht="18.0" customHeight="1">
      <c r="A690" s="212"/>
      <c r="B690" s="212"/>
      <c r="C690" s="212"/>
      <c r="D690" s="212"/>
      <c r="E690" s="218"/>
      <c r="F690" s="212"/>
      <c r="G690" s="215"/>
      <c r="H690" s="216"/>
      <c r="I690" s="216"/>
      <c r="J690" s="216"/>
      <c r="K690" s="216"/>
      <c r="L690" s="217"/>
    </row>
    <row r="691" ht="18.0" customHeight="1">
      <c r="A691" s="212"/>
      <c r="B691" s="212"/>
      <c r="C691" s="212"/>
      <c r="D691" s="212"/>
      <c r="E691" s="218"/>
      <c r="F691" s="212"/>
      <c r="G691" s="215"/>
      <c r="H691" s="216"/>
      <c r="I691" s="216"/>
      <c r="J691" s="216"/>
      <c r="K691" s="216"/>
      <c r="L691" s="217"/>
    </row>
    <row r="692" ht="18.0" customHeight="1">
      <c r="A692" s="212"/>
      <c r="B692" s="212"/>
      <c r="C692" s="212"/>
      <c r="D692" s="212"/>
      <c r="E692" s="218"/>
      <c r="F692" s="212"/>
      <c r="G692" s="215"/>
      <c r="H692" s="216"/>
      <c r="I692" s="216"/>
      <c r="J692" s="216"/>
      <c r="K692" s="216"/>
      <c r="L692" s="217"/>
    </row>
    <row r="693" ht="18.0" customHeight="1">
      <c r="A693" s="212"/>
      <c r="B693" s="212"/>
      <c r="C693" s="212"/>
      <c r="D693" s="212"/>
      <c r="E693" s="218"/>
      <c r="F693" s="212"/>
      <c r="G693" s="215"/>
      <c r="H693" s="216"/>
      <c r="I693" s="216"/>
      <c r="J693" s="216"/>
      <c r="K693" s="216"/>
      <c r="L693" s="217"/>
    </row>
    <row r="694" ht="18.0" customHeight="1">
      <c r="A694" s="212"/>
      <c r="B694" s="212"/>
      <c r="C694" s="212"/>
      <c r="D694" s="212"/>
      <c r="E694" s="218"/>
      <c r="F694" s="212"/>
      <c r="G694" s="215"/>
      <c r="H694" s="216"/>
      <c r="I694" s="216"/>
      <c r="J694" s="216"/>
      <c r="K694" s="216"/>
      <c r="L694" s="217"/>
    </row>
    <row r="695" ht="18.0" customHeight="1">
      <c r="A695" s="212"/>
      <c r="B695" s="212"/>
      <c r="C695" s="212"/>
      <c r="D695" s="212"/>
      <c r="E695" s="218"/>
      <c r="F695" s="212"/>
      <c r="G695" s="215"/>
      <c r="H695" s="216"/>
      <c r="I695" s="216"/>
      <c r="J695" s="216"/>
      <c r="K695" s="216"/>
      <c r="L695" s="217"/>
    </row>
    <row r="696" ht="18.0" customHeight="1">
      <c r="A696" s="212"/>
      <c r="B696" s="212"/>
      <c r="C696" s="212"/>
      <c r="D696" s="212"/>
      <c r="E696" s="218"/>
      <c r="F696" s="212"/>
      <c r="G696" s="215"/>
      <c r="H696" s="216"/>
      <c r="I696" s="216"/>
      <c r="J696" s="216"/>
      <c r="K696" s="216"/>
      <c r="L696" s="217"/>
    </row>
    <row r="697" ht="18.0" customHeight="1">
      <c r="A697" s="212"/>
      <c r="B697" s="212"/>
      <c r="C697" s="212"/>
      <c r="D697" s="212"/>
      <c r="E697" s="218"/>
      <c r="F697" s="212"/>
      <c r="G697" s="215"/>
      <c r="H697" s="216"/>
      <c r="I697" s="216"/>
      <c r="J697" s="216"/>
      <c r="K697" s="216"/>
      <c r="L697" s="217"/>
    </row>
    <row r="698" ht="18.0" customHeight="1">
      <c r="A698" s="212"/>
      <c r="B698" s="212"/>
      <c r="C698" s="212"/>
      <c r="D698" s="212"/>
      <c r="E698" s="218"/>
      <c r="F698" s="212"/>
      <c r="G698" s="215"/>
      <c r="H698" s="216"/>
      <c r="I698" s="216"/>
      <c r="J698" s="216"/>
      <c r="K698" s="216"/>
      <c r="L698" s="217"/>
    </row>
    <row r="699" ht="18.0" customHeight="1">
      <c r="A699" s="212"/>
      <c r="B699" s="212"/>
      <c r="C699" s="212"/>
      <c r="D699" s="212"/>
      <c r="E699" s="218"/>
      <c r="F699" s="212"/>
      <c r="G699" s="215"/>
      <c r="H699" s="216"/>
      <c r="I699" s="216"/>
      <c r="J699" s="216"/>
      <c r="K699" s="216"/>
      <c r="L699" s="217"/>
    </row>
    <row r="700" ht="18.0" customHeight="1">
      <c r="A700" s="212"/>
      <c r="B700" s="212"/>
      <c r="C700" s="212"/>
      <c r="D700" s="212"/>
      <c r="E700" s="218"/>
      <c r="F700" s="212"/>
      <c r="G700" s="215"/>
      <c r="H700" s="216"/>
      <c r="I700" s="216"/>
      <c r="J700" s="216"/>
      <c r="K700" s="216"/>
      <c r="L700" s="217"/>
    </row>
    <row r="701" ht="18.0" customHeight="1">
      <c r="A701" s="212"/>
      <c r="B701" s="212"/>
      <c r="C701" s="212"/>
      <c r="D701" s="212"/>
      <c r="E701" s="218"/>
      <c r="F701" s="212"/>
      <c r="G701" s="215"/>
      <c r="H701" s="216"/>
      <c r="I701" s="216"/>
      <c r="J701" s="216"/>
      <c r="K701" s="216"/>
      <c r="L701" s="217"/>
    </row>
    <row r="702" ht="18.0" customHeight="1">
      <c r="A702" s="212"/>
      <c r="B702" s="212"/>
      <c r="C702" s="212"/>
      <c r="D702" s="212"/>
      <c r="E702" s="218"/>
      <c r="F702" s="212"/>
      <c r="G702" s="215"/>
      <c r="H702" s="216"/>
      <c r="I702" s="216"/>
      <c r="J702" s="216"/>
      <c r="K702" s="216"/>
      <c r="L702" s="217"/>
    </row>
    <row r="703" ht="18.0" customHeight="1">
      <c r="A703" s="212"/>
      <c r="B703" s="212"/>
      <c r="C703" s="212"/>
      <c r="D703" s="212"/>
      <c r="E703" s="218"/>
      <c r="F703" s="212"/>
      <c r="G703" s="215"/>
      <c r="H703" s="216"/>
      <c r="I703" s="216"/>
      <c r="J703" s="216"/>
      <c r="K703" s="216"/>
      <c r="L703" s="217"/>
    </row>
    <row r="704" ht="18.0" customHeight="1">
      <c r="A704" s="212"/>
      <c r="B704" s="212"/>
      <c r="C704" s="212"/>
      <c r="D704" s="212"/>
      <c r="E704" s="218"/>
      <c r="F704" s="212"/>
      <c r="G704" s="215"/>
      <c r="H704" s="216"/>
      <c r="I704" s="216"/>
      <c r="J704" s="216"/>
      <c r="K704" s="216"/>
      <c r="L704" s="217"/>
    </row>
    <row r="705" ht="18.0" customHeight="1">
      <c r="A705" s="212"/>
      <c r="B705" s="212"/>
      <c r="C705" s="212"/>
      <c r="D705" s="212"/>
      <c r="E705" s="218"/>
      <c r="F705" s="212"/>
      <c r="G705" s="215"/>
      <c r="H705" s="216"/>
      <c r="I705" s="216"/>
      <c r="J705" s="216"/>
      <c r="K705" s="216"/>
      <c r="L705" s="217"/>
    </row>
    <row r="706" ht="18.0" customHeight="1">
      <c r="A706" s="212"/>
      <c r="B706" s="212"/>
      <c r="C706" s="212"/>
      <c r="D706" s="212"/>
      <c r="E706" s="218"/>
      <c r="F706" s="212"/>
      <c r="G706" s="215"/>
      <c r="H706" s="216"/>
      <c r="I706" s="216"/>
      <c r="J706" s="216"/>
      <c r="K706" s="216"/>
      <c r="L706" s="217"/>
    </row>
    <row r="707" ht="18.0" customHeight="1">
      <c r="A707" s="212"/>
      <c r="B707" s="212"/>
      <c r="C707" s="212"/>
      <c r="D707" s="212"/>
      <c r="E707" s="218"/>
      <c r="F707" s="212"/>
      <c r="G707" s="215"/>
      <c r="H707" s="216"/>
      <c r="I707" s="216"/>
      <c r="J707" s="216"/>
      <c r="K707" s="216"/>
      <c r="L707" s="217"/>
    </row>
    <row r="708" ht="18.0" customHeight="1">
      <c r="A708" s="212"/>
      <c r="B708" s="212"/>
      <c r="C708" s="212"/>
      <c r="D708" s="212"/>
      <c r="E708" s="218"/>
      <c r="F708" s="212"/>
      <c r="G708" s="215"/>
      <c r="H708" s="216"/>
      <c r="I708" s="216"/>
      <c r="J708" s="216"/>
      <c r="K708" s="216"/>
      <c r="L708" s="217"/>
    </row>
    <row r="709" ht="18.0" customHeight="1">
      <c r="A709" s="212"/>
      <c r="B709" s="212"/>
      <c r="C709" s="212"/>
      <c r="D709" s="212"/>
      <c r="E709" s="218"/>
      <c r="F709" s="212"/>
      <c r="G709" s="215"/>
      <c r="H709" s="216"/>
      <c r="I709" s="216"/>
      <c r="J709" s="216"/>
      <c r="K709" s="216"/>
      <c r="L709" s="217"/>
    </row>
    <row r="710" ht="18.0" customHeight="1">
      <c r="A710" s="212"/>
      <c r="B710" s="212"/>
      <c r="C710" s="212"/>
      <c r="D710" s="212"/>
      <c r="E710" s="218"/>
      <c r="F710" s="212"/>
      <c r="G710" s="215"/>
      <c r="H710" s="216"/>
      <c r="I710" s="216"/>
      <c r="J710" s="216"/>
      <c r="K710" s="216"/>
      <c r="L710" s="217"/>
    </row>
    <row r="711" ht="18.0" customHeight="1">
      <c r="A711" s="212"/>
      <c r="B711" s="212"/>
      <c r="C711" s="212"/>
      <c r="D711" s="212"/>
      <c r="E711" s="218"/>
      <c r="F711" s="212"/>
      <c r="G711" s="215"/>
      <c r="H711" s="216"/>
      <c r="I711" s="216"/>
      <c r="J711" s="216"/>
      <c r="K711" s="216"/>
      <c r="L711" s="217"/>
    </row>
    <row r="712" ht="18.0" customHeight="1">
      <c r="A712" s="212"/>
      <c r="B712" s="212"/>
      <c r="C712" s="212"/>
      <c r="D712" s="212"/>
      <c r="E712" s="218"/>
      <c r="F712" s="212"/>
      <c r="G712" s="215"/>
      <c r="H712" s="216"/>
      <c r="I712" s="216"/>
      <c r="J712" s="216"/>
      <c r="K712" s="216"/>
      <c r="L712" s="217"/>
    </row>
    <row r="713" ht="18.0" customHeight="1">
      <c r="A713" s="212"/>
      <c r="B713" s="212"/>
      <c r="C713" s="212"/>
      <c r="D713" s="212"/>
      <c r="E713" s="218"/>
      <c r="F713" s="212"/>
      <c r="G713" s="215"/>
      <c r="H713" s="216"/>
      <c r="I713" s="216"/>
      <c r="J713" s="216"/>
      <c r="K713" s="216"/>
      <c r="L713" s="217"/>
    </row>
    <row r="714" ht="18.0" customHeight="1">
      <c r="A714" s="212"/>
      <c r="B714" s="212"/>
      <c r="C714" s="212"/>
      <c r="D714" s="212"/>
      <c r="E714" s="218"/>
      <c r="F714" s="212"/>
      <c r="G714" s="215"/>
      <c r="H714" s="216"/>
      <c r="I714" s="216"/>
      <c r="J714" s="216"/>
      <c r="K714" s="216"/>
      <c r="L714" s="217"/>
    </row>
    <row r="715" ht="18.0" customHeight="1">
      <c r="A715" s="212"/>
      <c r="B715" s="212"/>
      <c r="C715" s="212"/>
      <c r="D715" s="212"/>
      <c r="E715" s="218"/>
      <c r="F715" s="212"/>
      <c r="G715" s="215"/>
      <c r="H715" s="216"/>
      <c r="I715" s="216"/>
      <c r="J715" s="216"/>
      <c r="K715" s="216"/>
      <c r="L715" s="217"/>
    </row>
    <row r="716" ht="18.0" customHeight="1">
      <c r="A716" s="212"/>
      <c r="B716" s="212"/>
      <c r="C716" s="212"/>
      <c r="D716" s="212"/>
      <c r="E716" s="218"/>
      <c r="F716" s="212"/>
      <c r="G716" s="215"/>
      <c r="H716" s="216"/>
      <c r="I716" s="216"/>
      <c r="J716" s="216"/>
      <c r="K716" s="216"/>
      <c r="L716" s="217"/>
    </row>
    <row r="717" ht="18.0" customHeight="1">
      <c r="A717" s="212"/>
      <c r="B717" s="212"/>
      <c r="C717" s="212"/>
      <c r="D717" s="212"/>
      <c r="E717" s="218"/>
      <c r="F717" s="212"/>
      <c r="G717" s="215"/>
      <c r="H717" s="216"/>
      <c r="I717" s="216"/>
      <c r="J717" s="216"/>
      <c r="K717" s="216"/>
      <c r="L717" s="217"/>
    </row>
    <row r="718" ht="18.0" customHeight="1">
      <c r="A718" s="212"/>
      <c r="B718" s="212"/>
      <c r="C718" s="212"/>
      <c r="D718" s="212"/>
      <c r="E718" s="218"/>
      <c r="F718" s="212"/>
      <c r="G718" s="215"/>
      <c r="H718" s="216"/>
      <c r="I718" s="216"/>
      <c r="J718" s="216"/>
      <c r="K718" s="216"/>
      <c r="L718" s="217"/>
    </row>
    <row r="719" ht="18.0" customHeight="1">
      <c r="A719" s="212"/>
      <c r="B719" s="212"/>
      <c r="C719" s="212"/>
      <c r="D719" s="212"/>
      <c r="E719" s="218"/>
      <c r="F719" s="212"/>
      <c r="G719" s="215"/>
      <c r="H719" s="216"/>
      <c r="I719" s="216"/>
      <c r="J719" s="216"/>
      <c r="K719" s="216"/>
      <c r="L719" s="217"/>
    </row>
    <row r="720" ht="18.0" customHeight="1">
      <c r="A720" s="212"/>
      <c r="B720" s="212"/>
      <c r="C720" s="212"/>
      <c r="D720" s="212"/>
      <c r="E720" s="218"/>
      <c r="F720" s="212"/>
      <c r="G720" s="215"/>
      <c r="H720" s="216"/>
      <c r="I720" s="216"/>
      <c r="J720" s="216"/>
      <c r="K720" s="216"/>
      <c r="L720" s="217"/>
    </row>
    <row r="721" ht="18.0" customHeight="1">
      <c r="A721" s="212"/>
      <c r="B721" s="212"/>
      <c r="C721" s="212"/>
      <c r="D721" s="212"/>
      <c r="E721" s="218"/>
      <c r="F721" s="212"/>
      <c r="G721" s="215"/>
      <c r="H721" s="216"/>
      <c r="I721" s="216"/>
      <c r="J721" s="216"/>
      <c r="K721" s="216"/>
      <c r="L721" s="217"/>
    </row>
    <row r="722" ht="18.0" customHeight="1">
      <c r="A722" s="212"/>
      <c r="B722" s="212"/>
      <c r="C722" s="212"/>
      <c r="D722" s="212"/>
      <c r="E722" s="218"/>
      <c r="F722" s="212"/>
      <c r="G722" s="215"/>
      <c r="H722" s="216"/>
      <c r="I722" s="216"/>
      <c r="J722" s="216"/>
      <c r="K722" s="216"/>
      <c r="L722" s="217"/>
    </row>
    <row r="723" ht="18.0" customHeight="1">
      <c r="A723" s="212"/>
      <c r="B723" s="212"/>
      <c r="C723" s="212"/>
      <c r="D723" s="212"/>
      <c r="E723" s="218"/>
      <c r="F723" s="212"/>
      <c r="G723" s="215"/>
      <c r="H723" s="216"/>
      <c r="I723" s="216"/>
      <c r="J723" s="216"/>
      <c r="K723" s="216"/>
      <c r="L723" s="217"/>
    </row>
    <row r="724" ht="18.0" customHeight="1">
      <c r="A724" s="212"/>
      <c r="B724" s="212"/>
      <c r="C724" s="212"/>
      <c r="D724" s="212"/>
      <c r="E724" s="218"/>
      <c r="F724" s="212"/>
      <c r="G724" s="215"/>
      <c r="H724" s="216"/>
      <c r="I724" s="216"/>
      <c r="J724" s="216"/>
      <c r="K724" s="216"/>
      <c r="L724" s="217"/>
    </row>
    <row r="725" ht="18.0" customHeight="1">
      <c r="A725" s="212"/>
      <c r="B725" s="212"/>
      <c r="C725" s="212"/>
      <c r="D725" s="212"/>
      <c r="E725" s="218"/>
      <c r="F725" s="212"/>
      <c r="G725" s="215"/>
      <c r="H725" s="216"/>
      <c r="I725" s="216"/>
      <c r="J725" s="216"/>
      <c r="K725" s="216"/>
      <c r="L725" s="217"/>
    </row>
    <row r="726" ht="18.0" customHeight="1">
      <c r="A726" s="212"/>
      <c r="B726" s="212"/>
      <c r="C726" s="212"/>
      <c r="D726" s="212"/>
      <c r="E726" s="218"/>
      <c r="F726" s="212"/>
      <c r="G726" s="215"/>
      <c r="H726" s="216"/>
      <c r="I726" s="216"/>
      <c r="J726" s="216"/>
      <c r="K726" s="216"/>
      <c r="L726" s="217"/>
    </row>
    <row r="727" ht="18.0" customHeight="1">
      <c r="A727" s="212"/>
      <c r="B727" s="212"/>
      <c r="C727" s="212"/>
      <c r="D727" s="212"/>
      <c r="E727" s="218"/>
      <c r="F727" s="212"/>
      <c r="G727" s="215"/>
      <c r="H727" s="216"/>
      <c r="I727" s="216"/>
      <c r="J727" s="216"/>
      <c r="K727" s="216"/>
      <c r="L727" s="217"/>
    </row>
    <row r="728" ht="18.0" customHeight="1">
      <c r="A728" s="212"/>
      <c r="B728" s="212"/>
      <c r="C728" s="212"/>
      <c r="D728" s="212"/>
      <c r="E728" s="218"/>
      <c r="F728" s="212"/>
      <c r="G728" s="215"/>
      <c r="H728" s="216"/>
      <c r="I728" s="216"/>
      <c r="J728" s="216"/>
      <c r="K728" s="216"/>
      <c r="L728" s="217"/>
    </row>
    <row r="729" ht="18.0" customHeight="1">
      <c r="A729" s="212"/>
      <c r="B729" s="212"/>
      <c r="C729" s="212"/>
      <c r="D729" s="212"/>
      <c r="E729" s="218"/>
      <c r="F729" s="212"/>
      <c r="G729" s="215"/>
      <c r="H729" s="216"/>
      <c r="I729" s="216"/>
      <c r="J729" s="216"/>
      <c r="K729" s="216"/>
      <c r="L729" s="217"/>
    </row>
    <row r="730" ht="18.0" customHeight="1">
      <c r="A730" s="212"/>
      <c r="B730" s="212"/>
      <c r="C730" s="212"/>
      <c r="D730" s="212"/>
      <c r="E730" s="218"/>
      <c r="F730" s="212"/>
      <c r="G730" s="215"/>
      <c r="H730" s="216"/>
      <c r="I730" s="216"/>
      <c r="J730" s="216"/>
      <c r="K730" s="216"/>
      <c r="L730" s="217"/>
    </row>
    <row r="731" ht="18.0" customHeight="1">
      <c r="A731" s="212"/>
      <c r="B731" s="212"/>
      <c r="C731" s="212"/>
      <c r="D731" s="212"/>
      <c r="E731" s="218"/>
      <c r="F731" s="212"/>
      <c r="G731" s="215"/>
      <c r="H731" s="216"/>
      <c r="I731" s="216"/>
      <c r="J731" s="216"/>
      <c r="K731" s="216"/>
      <c r="L731" s="217"/>
    </row>
    <row r="732" ht="18.0" customHeight="1">
      <c r="A732" s="212"/>
      <c r="B732" s="212"/>
      <c r="C732" s="212"/>
      <c r="D732" s="212"/>
      <c r="E732" s="218"/>
      <c r="F732" s="212"/>
      <c r="G732" s="215"/>
      <c r="H732" s="216"/>
      <c r="I732" s="216"/>
      <c r="J732" s="216"/>
      <c r="K732" s="216"/>
      <c r="L732" s="217"/>
    </row>
    <row r="733" ht="18.0" customHeight="1">
      <c r="A733" s="212"/>
      <c r="B733" s="212"/>
      <c r="C733" s="212"/>
      <c r="D733" s="212"/>
      <c r="E733" s="218"/>
      <c r="F733" s="212"/>
      <c r="G733" s="215"/>
      <c r="H733" s="216"/>
      <c r="I733" s="216"/>
      <c r="J733" s="216"/>
      <c r="K733" s="216"/>
      <c r="L733" s="217"/>
    </row>
    <row r="734" ht="18.0" customHeight="1">
      <c r="A734" s="212"/>
      <c r="B734" s="212"/>
      <c r="C734" s="212"/>
      <c r="D734" s="212"/>
      <c r="E734" s="218"/>
      <c r="F734" s="212"/>
      <c r="G734" s="215"/>
      <c r="H734" s="216"/>
      <c r="I734" s="216"/>
      <c r="J734" s="216"/>
      <c r="K734" s="216"/>
      <c r="L734" s="217"/>
    </row>
    <row r="735" ht="18.0" customHeight="1">
      <c r="A735" s="212"/>
      <c r="B735" s="212"/>
      <c r="C735" s="212"/>
      <c r="D735" s="212"/>
      <c r="E735" s="218"/>
      <c r="F735" s="212"/>
      <c r="G735" s="215"/>
      <c r="H735" s="216"/>
      <c r="I735" s="216"/>
      <c r="J735" s="216"/>
      <c r="K735" s="216"/>
      <c r="L735" s="217"/>
    </row>
    <row r="736" ht="15.75" customHeight="1">
      <c r="A736" s="227"/>
    </row>
    <row r="737" ht="15.75" customHeight="1">
      <c r="A737" s="227"/>
    </row>
    <row r="738" ht="15.75" customHeight="1">
      <c r="A738" s="227"/>
    </row>
    <row r="739" ht="15.75" customHeight="1">
      <c r="A739" s="227"/>
    </row>
    <row r="740" ht="15.75" customHeight="1">
      <c r="A740" s="227"/>
    </row>
    <row r="741" ht="15.75" customHeight="1">
      <c r="A741" s="227"/>
    </row>
    <row r="742" ht="15.75" customHeight="1">
      <c r="A742" s="227"/>
    </row>
    <row r="743" ht="15.75" customHeight="1">
      <c r="A743" s="227"/>
    </row>
    <row r="744" ht="15.75" customHeight="1">
      <c r="A744" s="227"/>
    </row>
    <row r="745" ht="15.75" customHeight="1">
      <c r="A745" s="227"/>
    </row>
    <row r="746" ht="15.75" customHeight="1">
      <c r="A746" s="227"/>
    </row>
    <row r="747" ht="15.75" customHeight="1">
      <c r="A747" s="227"/>
    </row>
    <row r="748" ht="15.75" customHeight="1">
      <c r="A748" s="227"/>
    </row>
    <row r="749" ht="15.75" customHeight="1">
      <c r="A749" s="227"/>
    </row>
    <row r="750" ht="15.75" customHeight="1">
      <c r="A750" s="227"/>
    </row>
    <row r="751" ht="15.75" customHeight="1">
      <c r="A751" s="227"/>
    </row>
    <row r="752" ht="15.75" customHeight="1">
      <c r="A752" s="227"/>
    </row>
    <row r="753" ht="15.75" customHeight="1">
      <c r="A753" s="227"/>
    </row>
    <row r="754" ht="15.75" customHeight="1">
      <c r="A754" s="227"/>
    </row>
    <row r="755" ht="15.75" customHeight="1">
      <c r="A755" s="227"/>
    </row>
    <row r="756" ht="15.75" customHeight="1">
      <c r="A756" s="227"/>
    </row>
    <row r="757" ht="15.75" customHeight="1">
      <c r="A757" s="227"/>
    </row>
    <row r="758" ht="15.75" customHeight="1">
      <c r="A758" s="227"/>
    </row>
    <row r="759" ht="15.75" customHeight="1">
      <c r="A759" s="227"/>
    </row>
    <row r="760" ht="15.75" customHeight="1">
      <c r="A760" s="227"/>
    </row>
    <row r="761" ht="15.75" customHeight="1">
      <c r="A761" s="227"/>
    </row>
    <row r="762" ht="15.75" customHeight="1">
      <c r="A762" s="227"/>
    </row>
    <row r="763" ht="15.75" customHeight="1">
      <c r="A763" s="227"/>
    </row>
    <row r="764" ht="15.75" customHeight="1">
      <c r="A764" s="227"/>
    </row>
    <row r="765" ht="15.75" customHeight="1">
      <c r="A765" s="227"/>
    </row>
    <row r="766" ht="15.75" customHeight="1">
      <c r="A766" s="227"/>
    </row>
    <row r="767" ht="15.75" customHeight="1">
      <c r="A767" s="227"/>
    </row>
    <row r="768" ht="15.75" customHeight="1">
      <c r="A768" s="227"/>
    </row>
    <row r="769" ht="15.75" customHeight="1">
      <c r="A769" s="227"/>
    </row>
    <row r="770" ht="15.75" customHeight="1">
      <c r="A770" s="227"/>
    </row>
    <row r="771" ht="15.75" customHeight="1">
      <c r="A771" s="227"/>
    </row>
    <row r="772" ht="15.75" customHeight="1">
      <c r="A772" s="227"/>
    </row>
    <row r="773" ht="15.75" customHeight="1">
      <c r="A773" s="227"/>
    </row>
    <row r="774" ht="15.75" customHeight="1">
      <c r="A774" s="227"/>
    </row>
    <row r="775" ht="15.75" customHeight="1">
      <c r="A775" s="227"/>
    </row>
    <row r="776" ht="15.75" customHeight="1">
      <c r="A776" s="227"/>
    </row>
    <row r="777" ht="15.75" customHeight="1">
      <c r="A777" s="227"/>
    </row>
    <row r="778" ht="15.75" customHeight="1">
      <c r="A778" s="227"/>
    </row>
    <row r="779" ht="15.75" customHeight="1">
      <c r="A779" s="227"/>
    </row>
    <row r="780" ht="15.75" customHeight="1">
      <c r="A780" s="227"/>
    </row>
    <row r="781" ht="15.75" customHeight="1">
      <c r="A781" s="227"/>
    </row>
    <row r="782" ht="15.75" customHeight="1">
      <c r="A782" s="227"/>
    </row>
    <row r="783" ht="15.75" customHeight="1">
      <c r="A783" s="227"/>
    </row>
    <row r="784" ht="15.75" customHeight="1">
      <c r="A784" s="227"/>
    </row>
    <row r="785" ht="15.75" customHeight="1">
      <c r="A785" s="227"/>
    </row>
    <row r="786" ht="15.75" customHeight="1">
      <c r="A786" s="227"/>
    </row>
    <row r="787" ht="15.75" customHeight="1">
      <c r="A787" s="227"/>
    </row>
    <row r="788" ht="15.75" customHeight="1">
      <c r="A788" s="227"/>
    </row>
    <row r="789" ht="15.75" customHeight="1">
      <c r="A789" s="227"/>
    </row>
    <row r="790" ht="15.75" customHeight="1">
      <c r="A790" s="227"/>
    </row>
    <row r="791" ht="15.75" customHeight="1">
      <c r="A791" s="227"/>
    </row>
    <row r="792" ht="15.75" customHeight="1">
      <c r="A792" s="227"/>
    </row>
    <row r="793" ht="15.75" customHeight="1">
      <c r="A793" s="227"/>
    </row>
    <row r="794" ht="15.75" customHeight="1">
      <c r="A794" s="227"/>
    </row>
    <row r="795" ht="15.75" customHeight="1">
      <c r="A795" s="227"/>
    </row>
    <row r="796" ht="15.75" customHeight="1">
      <c r="A796" s="227"/>
    </row>
    <row r="797" ht="15.75" customHeight="1">
      <c r="A797" s="227"/>
    </row>
    <row r="798" ht="15.75" customHeight="1">
      <c r="A798" s="227"/>
    </row>
    <row r="799" ht="15.75" customHeight="1">
      <c r="A799" s="227"/>
    </row>
    <row r="800" ht="15.75" customHeight="1">
      <c r="A800" s="227"/>
    </row>
    <row r="801" ht="15.75" customHeight="1">
      <c r="A801" s="227"/>
    </row>
    <row r="802" ht="15.75" customHeight="1">
      <c r="A802" s="227"/>
    </row>
    <row r="803" ht="15.75" customHeight="1">
      <c r="A803" s="227"/>
    </row>
    <row r="804" ht="15.75" customHeight="1">
      <c r="A804" s="227"/>
    </row>
    <row r="805" ht="15.75" customHeight="1">
      <c r="A805" s="227"/>
    </row>
    <row r="806" ht="15.75" customHeight="1">
      <c r="A806" s="227"/>
    </row>
    <row r="807" ht="15.75" customHeight="1">
      <c r="A807" s="227"/>
    </row>
    <row r="808" ht="15.75" customHeight="1">
      <c r="A808" s="227"/>
    </row>
    <row r="809" ht="15.75" customHeight="1">
      <c r="A809" s="227"/>
    </row>
    <row r="810" ht="15.75" customHeight="1">
      <c r="A810" s="227"/>
    </row>
    <row r="811" ht="15.75" customHeight="1">
      <c r="A811" s="227"/>
    </row>
    <row r="812" ht="15.75" customHeight="1">
      <c r="A812" s="227"/>
    </row>
    <row r="813" ht="15.75" customHeight="1">
      <c r="A813" s="227"/>
    </row>
    <row r="814" ht="15.75" customHeight="1">
      <c r="A814" s="227"/>
    </row>
    <row r="815" ht="15.75" customHeight="1">
      <c r="A815" s="227"/>
    </row>
    <row r="816" ht="15.75" customHeight="1">
      <c r="A816" s="227"/>
    </row>
    <row r="817" ht="15.75" customHeight="1">
      <c r="A817" s="227"/>
    </row>
    <row r="818" ht="15.75" customHeight="1">
      <c r="A818" s="227"/>
    </row>
    <row r="819" ht="15.75" customHeight="1">
      <c r="A819" s="227"/>
    </row>
    <row r="820" ht="15.75" customHeight="1">
      <c r="A820" s="227"/>
    </row>
    <row r="821" ht="15.75" customHeight="1">
      <c r="A821" s="227"/>
    </row>
    <row r="822" ht="15.75" customHeight="1">
      <c r="A822" s="227"/>
    </row>
    <row r="823" ht="15.75" customHeight="1">
      <c r="A823" s="227"/>
    </row>
    <row r="824" ht="15.75" customHeight="1">
      <c r="A824" s="227"/>
    </row>
    <row r="825" ht="15.75" customHeight="1">
      <c r="A825" s="227"/>
    </row>
    <row r="826" ht="15.75" customHeight="1">
      <c r="A826" s="227"/>
    </row>
    <row r="827" ht="15.75" customHeight="1">
      <c r="A827" s="227"/>
    </row>
    <row r="828" ht="15.75" customHeight="1">
      <c r="A828" s="227"/>
    </row>
    <row r="829" ht="15.75" customHeight="1">
      <c r="A829" s="227"/>
    </row>
    <row r="830" ht="15.75" customHeight="1">
      <c r="A830" s="227"/>
    </row>
    <row r="831" ht="15.75" customHeight="1">
      <c r="A831" s="227"/>
    </row>
    <row r="832" ht="15.75" customHeight="1">
      <c r="A832" s="227"/>
    </row>
    <row r="833" ht="15.75" customHeight="1">
      <c r="A833" s="227"/>
    </row>
    <row r="834" ht="15.75" customHeight="1">
      <c r="A834" s="227"/>
    </row>
    <row r="835" ht="15.75" customHeight="1">
      <c r="A835" s="227"/>
    </row>
    <row r="836" ht="15.75" customHeight="1">
      <c r="A836" s="227"/>
    </row>
    <row r="837" ht="15.75" customHeight="1">
      <c r="A837" s="227"/>
    </row>
    <row r="838" ht="15.75" customHeight="1">
      <c r="A838" s="227"/>
    </row>
    <row r="839" ht="15.75" customHeight="1">
      <c r="A839" s="227"/>
    </row>
    <row r="840" ht="15.75" customHeight="1">
      <c r="A840" s="227"/>
    </row>
    <row r="841" ht="15.75" customHeight="1">
      <c r="A841" s="227"/>
    </row>
    <row r="842" ht="15.75" customHeight="1">
      <c r="A842" s="227"/>
    </row>
    <row r="843" ht="15.75" customHeight="1">
      <c r="A843" s="227"/>
    </row>
    <row r="844" ht="15.75" customHeight="1">
      <c r="A844" s="227"/>
    </row>
    <row r="845" ht="15.75" customHeight="1">
      <c r="A845" s="227"/>
    </row>
    <row r="846" ht="15.75" customHeight="1">
      <c r="A846" s="227"/>
    </row>
    <row r="847" ht="15.75" customHeight="1">
      <c r="A847" s="227"/>
    </row>
    <row r="848" ht="15.75" customHeight="1">
      <c r="A848" s="227"/>
    </row>
    <row r="849" ht="15.75" customHeight="1">
      <c r="A849" s="227"/>
    </row>
    <row r="850" ht="15.75" customHeight="1">
      <c r="A850" s="227"/>
    </row>
    <row r="851" ht="15.75" customHeight="1">
      <c r="A851" s="227"/>
    </row>
    <row r="852" ht="15.75" customHeight="1">
      <c r="A852" s="227"/>
    </row>
    <row r="853" ht="15.75" customHeight="1">
      <c r="A853" s="227"/>
    </row>
    <row r="854" ht="15.75" customHeight="1">
      <c r="A854" s="227"/>
    </row>
    <row r="855" ht="15.75" customHeight="1">
      <c r="A855" s="227"/>
    </row>
    <row r="856" ht="15.75" customHeight="1">
      <c r="A856" s="227"/>
    </row>
    <row r="857" ht="15.75" customHeight="1">
      <c r="A857" s="227"/>
    </row>
    <row r="858" ht="15.75" customHeight="1">
      <c r="A858" s="227"/>
    </row>
    <row r="859" ht="15.75" customHeight="1">
      <c r="A859" s="227"/>
    </row>
    <row r="860" ht="15.75" customHeight="1">
      <c r="A860" s="227"/>
    </row>
    <row r="861" ht="15.75" customHeight="1">
      <c r="A861" s="227"/>
    </row>
    <row r="862" ht="15.75" customHeight="1">
      <c r="A862" s="227"/>
    </row>
    <row r="863" ht="15.75" customHeight="1">
      <c r="A863" s="227"/>
    </row>
    <row r="864" ht="15.75" customHeight="1">
      <c r="A864" s="227"/>
    </row>
    <row r="865" ht="15.75" customHeight="1">
      <c r="A865" s="227"/>
    </row>
    <row r="866" ht="15.75" customHeight="1">
      <c r="A866" s="227"/>
    </row>
    <row r="867" ht="15.75" customHeight="1">
      <c r="A867" s="227"/>
    </row>
    <row r="868" ht="15.75" customHeight="1">
      <c r="A868" s="227"/>
    </row>
    <row r="869" ht="15.75" customHeight="1">
      <c r="A869" s="227"/>
    </row>
    <row r="870" ht="15.75" customHeight="1">
      <c r="A870" s="227"/>
    </row>
    <row r="871" ht="15.75" customHeight="1">
      <c r="A871" s="227"/>
    </row>
    <row r="872" ht="15.75" customHeight="1">
      <c r="A872" s="227"/>
    </row>
    <row r="873" ht="15.75" customHeight="1">
      <c r="A873" s="227"/>
    </row>
    <row r="874" ht="15.75" customHeight="1">
      <c r="A874" s="227"/>
    </row>
    <row r="875" ht="15.75" customHeight="1">
      <c r="A875" s="227"/>
    </row>
    <row r="876" ht="15.75" customHeight="1">
      <c r="A876" s="227"/>
    </row>
    <row r="877" ht="15.75" customHeight="1">
      <c r="A877" s="227"/>
    </row>
    <row r="878" ht="15.75" customHeight="1">
      <c r="A878" s="227"/>
    </row>
    <row r="879" ht="15.75" customHeight="1">
      <c r="A879" s="227"/>
    </row>
    <row r="880" ht="15.75" customHeight="1">
      <c r="A880" s="227"/>
    </row>
    <row r="881" ht="15.75" customHeight="1">
      <c r="A881" s="227"/>
    </row>
    <row r="882" ht="15.75" customHeight="1">
      <c r="A882" s="227"/>
    </row>
    <row r="883" ht="15.75" customHeight="1">
      <c r="A883" s="227"/>
    </row>
    <row r="884" ht="15.75" customHeight="1">
      <c r="A884" s="227"/>
    </row>
    <row r="885" ht="15.75" customHeight="1">
      <c r="A885" s="227"/>
    </row>
    <row r="886" ht="15.75" customHeight="1">
      <c r="A886" s="227"/>
    </row>
    <row r="887" ht="15.75" customHeight="1">
      <c r="A887" s="227"/>
    </row>
    <row r="888" ht="15.75" customHeight="1">
      <c r="A888" s="227"/>
    </row>
    <row r="889" ht="15.75" customHeight="1">
      <c r="A889" s="227"/>
    </row>
    <row r="890" ht="15.75" customHeight="1">
      <c r="A890" s="227"/>
    </row>
    <row r="891" ht="15.75" customHeight="1">
      <c r="A891" s="227"/>
    </row>
    <row r="892" ht="15.75" customHeight="1">
      <c r="A892" s="227"/>
    </row>
    <row r="893" ht="15.75" customHeight="1">
      <c r="A893" s="227"/>
    </row>
    <row r="894" ht="15.75" customHeight="1">
      <c r="A894" s="227"/>
    </row>
    <row r="895" ht="15.75" customHeight="1">
      <c r="A895" s="227"/>
    </row>
    <row r="896" ht="15.75" customHeight="1">
      <c r="A896" s="227"/>
    </row>
    <row r="897" ht="15.75" customHeight="1">
      <c r="A897" s="227"/>
    </row>
    <row r="898" ht="15.75" customHeight="1">
      <c r="A898" s="227"/>
    </row>
    <row r="899" ht="15.75" customHeight="1">
      <c r="A899" s="227"/>
    </row>
    <row r="900" ht="15.75" customHeight="1">
      <c r="A900" s="227"/>
    </row>
    <row r="901" ht="15.75" customHeight="1">
      <c r="A901" s="227"/>
    </row>
    <row r="902" ht="15.75" customHeight="1">
      <c r="A902" s="227"/>
    </row>
    <row r="903" ht="15.75" customHeight="1">
      <c r="A903" s="227"/>
    </row>
    <row r="904" ht="15.75" customHeight="1">
      <c r="A904" s="227"/>
    </row>
    <row r="905" ht="15.75" customHeight="1">
      <c r="A905" s="227"/>
    </row>
    <row r="906" ht="15.75" customHeight="1">
      <c r="A906" s="227"/>
    </row>
    <row r="907" ht="15.75" customHeight="1">
      <c r="A907" s="227"/>
    </row>
    <row r="908" ht="15.75" customHeight="1">
      <c r="A908" s="227"/>
    </row>
    <row r="909" ht="15.75" customHeight="1">
      <c r="A909" s="227"/>
    </row>
    <row r="910" ht="15.75" customHeight="1">
      <c r="A910" s="227"/>
    </row>
    <row r="911" ht="15.75" customHeight="1">
      <c r="A911" s="227"/>
    </row>
    <row r="912" ht="15.75" customHeight="1">
      <c r="A912" s="227"/>
    </row>
    <row r="913" ht="15.75" customHeight="1">
      <c r="A913" s="227"/>
    </row>
    <row r="914" ht="15.75" customHeight="1">
      <c r="A914" s="227"/>
    </row>
    <row r="915" ht="15.75" customHeight="1">
      <c r="A915" s="227"/>
    </row>
    <row r="916" ht="15.75" customHeight="1">
      <c r="A916" s="227"/>
    </row>
    <row r="917" ht="15.75" customHeight="1">
      <c r="A917" s="227"/>
    </row>
    <row r="918" ht="15.75" customHeight="1">
      <c r="A918" s="227"/>
    </row>
    <row r="919" ht="15.75" customHeight="1">
      <c r="A919" s="227"/>
    </row>
    <row r="920" ht="15.75" customHeight="1">
      <c r="A920" s="227"/>
    </row>
    <row r="921" ht="15.75" customHeight="1">
      <c r="A921" s="227"/>
    </row>
    <row r="922" ht="15.75" customHeight="1">
      <c r="A922" s="227"/>
    </row>
    <row r="923" ht="15.75" customHeight="1">
      <c r="A923" s="227"/>
    </row>
    <row r="924" ht="15.75" customHeight="1">
      <c r="A924" s="227"/>
    </row>
    <row r="925" ht="15.75" customHeight="1">
      <c r="A925" s="227"/>
    </row>
    <row r="926" ht="15.75" customHeight="1">
      <c r="A926" s="227"/>
    </row>
    <row r="927" ht="15.75" customHeight="1">
      <c r="A927" s="227"/>
    </row>
    <row r="928" ht="15.75" customHeight="1">
      <c r="A928" s="227"/>
    </row>
    <row r="929" ht="15.75" customHeight="1">
      <c r="A929" s="227"/>
    </row>
    <row r="930" ht="15.75" customHeight="1">
      <c r="A930" s="227"/>
    </row>
    <row r="931" ht="15.75" customHeight="1">
      <c r="A931" s="227"/>
    </row>
    <row r="932" ht="15.75" customHeight="1">
      <c r="A932" s="227"/>
    </row>
    <row r="933" ht="15.75" customHeight="1">
      <c r="A933" s="227"/>
    </row>
    <row r="934" ht="15.75" customHeight="1">
      <c r="A934" s="227"/>
    </row>
    <row r="935" ht="15.75" customHeight="1">
      <c r="A935" s="227"/>
    </row>
    <row r="936" ht="15.75" customHeight="1">
      <c r="A936" s="227"/>
    </row>
    <row r="937" ht="15.75" customHeight="1">
      <c r="A937" s="227"/>
    </row>
    <row r="938" ht="15.75" customHeight="1">
      <c r="A938" s="227"/>
    </row>
    <row r="939" ht="15.75" customHeight="1">
      <c r="A939" s="227"/>
    </row>
    <row r="940" ht="15.75" customHeight="1">
      <c r="A940" s="227"/>
    </row>
    <row r="941" ht="15.75" customHeight="1">
      <c r="A941" s="227"/>
    </row>
    <row r="942" ht="15.75" customHeight="1">
      <c r="A942" s="227"/>
    </row>
    <row r="943" ht="15.75" customHeight="1">
      <c r="A943" s="227"/>
    </row>
    <row r="944" ht="15.75" customHeight="1">
      <c r="A944" s="227"/>
    </row>
    <row r="945" ht="15.75" customHeight="1">
      <c r="A945" s="227"/>
    </row>
    <row r="946" ht="15.75" customHeight="1">
      <c r="A946" s="227"/>
    </row>
    <row r="947" ht="15.75" customHeight="1">
      <c r="A947" s="227"/>
    </row>
    <row r="948" ht="15.75" customHeight="1">
      <c r="A948" s="227"/>
    </row>
    <row r="949" ht="15.75" customHeight="1">
      <c r="A949" s="227"/>
    </row>
    <row r="950" ht="15.75" customHeight="1">
      <c r="A950" s="227"/>
    </row>
    <row r="951" ht="15.75" customHeight="1">
      <c r="A951" s="227"/>
    </row>
    <row r="952" ht="15.75" customHeight="1">
      <c r="A952" s="227"/>
    </row>
    <row r="953" ht="15.75" customHeight="1">
      <c r="A953" s="227"/>
    </row>
    <row r="954" ht="15.75" customHeight="1">
      <c r="A954" s="227"/>
    </row>
    <row r="955" ht="15.75" customHeight="1">
      <c r="A955" s="227"/>
    </row>
    <row r="956" ht="15.75" customHeight="1">
      <c r="A956" s="227"/>
    </row>
    <row r="957" ht="15.75" customHeight="1">
      <c r="A957" s="227"/>
    </row>
    <row r="958" ht="15.75" customHeight="1">
      <c r="A958" s="227"/>
    </row>
    <row r="959" ht="15.75" customHeight="1">
      <c r="A959" s="227"/>
    </row>
    <row r="960" ht="15.75" customHeight="1">
      <c r="A960" s="227"/>
    </row>
    <row r="961" ht="15.75" customHeight="1">
      <c r="A961" s="227"/>
    </row>
    <row r="962" ht="15.75" customHeight="1">
      <c r="A962" s="227"/>
    </row>
    <row r="963" ht="15.75" customHeight="1">
      <c r="A963" s="227"/>
    </row>
    <row r="964" ht="15.75" customHeight="1">
      <c r="A964" s="227"/>
    </row>
    <row r="965" ht="15.75" customHeight="1">
      <c r="A965" s="227"/>
    </row>
    <row r="966" ht="15.75" customHeight="1">
      <c r="A966" s="227"/>
    </row>
    <row r="967" ht="15.75" customHeight="1">
      <c r="A967" s="227"/>
    </row>
    <row r="968" ht="15.75" customHeight="1">
      <c r="A968" s="227"/>
    </row>
    <row r="969" ht="15.75" customHeight="1">
      <c r="A969" s="227"/>
    </row>
    <row r="970" ht="15.75" customHeight="1">
      <c r="A970" s="227"/>
    </row>
    <row r="971" ht="15.75" customHeight="1">
      <c r="A971" s="227"/>
    </row>
    <row r="972" ht="15.75" customHeight="1">
      <c r="A972" s="227"/>
    </row>
    <row r="973" ht="15.75" customHeight="1">
      <c r="A973" s="227"/>
    </row>
    <row r="974" ht="15.75" customHeight="1">
      <c r="A974" s="227"/>
    </row>
    <row r="975" ht="15.75" customHeight="1">
      <c r="A975" s="227"/>
    </row>
    <row r="976" ht="15.75" customHeight="1">
      <c r="A976" s="227"/>
    </row>
    <row r="977" ht="15.75" customHeight="1">
      <c r="A977" s="227"/>
    </row>
    <row r="978" ht="15.75" customHeight="1">
      <c r="A978" s="227"/>
    </row>
    <row r="979" ht="15.75" customHeight="1">
      <c r="A979" s="227"/>
    </row>
    <row r="980" ht="15.75" customHeight="1">
      <c r="A980" s="227"/>
    </row>
    <row r="981" ht="15.75" customHeight="1">
      <c r="A981" s="227"/>
    </row>
    <row r="982" ht="15.75" customHeight="1">
      <c r="A982" s="227"/>
    </row>
    <row r="983" ht="15.75" customHeight="1">
      <c r="A983" s="227"/>
    </row>
    <row r="984" ht="15.75" customHeight="1">
      <c r="A984" s="227"/>
    </row>
    <row r="985" ht="15.75" customHeight="1">
      <c r="A985" s="227"/>
    </row>
    <row r="986" ht="15.75" customHeight="1">
      <c r="A986" s="227"/>
    </row>
    <row r="987" ht="15.75" customHeight="1">
      <c r="A987" s="227"/>
    </row>
    <row r="988" ht="15.75" customHeight="1">
      <c r="A988" s="227"/>
    </row>
    <row r="989" ht="15.75" customHeight="1">
      <c r="A989" s="227"/>
    </row>
    <row r="990" ht="15.75" customHeight="1">
      <c r="A990" s="227"/>
    </row>
    <row r="991" ht="15.75" customHeight="1">
      <c r="A991" s="227"/>
    </row>
    <row r="992" ht="15.75" customHeight="1">
      <c r="A992" s="227"/>
    </row>
    <row r="993" ht="15.75" customHeight="1">
      <c r="A993" s="227"/>
    </row>
    <row r="994" ht="15.75" customHeight="1">
      <c r="A994" s="227"/>
    </row>
    <row r="995" ht="15.75" customHeight="1">
      <c r="A995" s="227"/>
    </row>
    <row r="996" ht="15.75" customHeight="1">
      <c r="A996" s="227"/>
    </row>
    <row r="997" ht="15.75" customHeight="1">
      <c r="A997" s="227"/>
    </row>
    <row r="998" ht="15.75" customHeight="1">
      <c r="A998" s="227"/>
    </row>
    <row r="999" ht="15.75" customHeight="1">
      <c r="A999" s="227"/>
    </row>
    <row r="1000" ht="15.75" customHeight="1">
      <c r="A1000" s="227"/>
    </row>
  </sheetData>
  <customSheetViews>
    <customSheetView guid="{CA8058A5-E5A9-4307-A0D8-DC9C33FDA8DC}" filter="1" showAutoFilter="1">
      <autoFilter ref="$A$4:$H$547"/>
    </customSheetView>
  </customSheetViews>
  <conditionalFormatting sqref="A1:A1000">
    <cfRule type="containsText" dxfId="4" priority="1" operator="containsText" text="POR DEFINIR">
      <formula>NOT(ISERROR(SEARCH(("POR DEFINIR"),(A1))))</formula>
    </cfRule>
  </conditionalFormatting>
  <conditionalFormatting sqref="A4:A122 A126:A245 A249:A368 A372:A491 A495:A614 A618:A1000 A741:A1000 A864:A1000 A987:A1000">
    <cfRule type="expression" dxfId="5" priority="2">
      <formula>($H4:$H1770)=0</formula>
    </cfRule>
  </conditionalFormatting>
  <conditionalFormatting sqref="B5:B1000">
    <cfRule type="containsText" dxfId="17" priority="3" operator="containsText" text="GESTION">
      <formula>NOT(ISERROR(SEARCH(("GESTION"),(B5))))</formula>
    </cfRule>
  </conditionalFormatting>
  <conditionalFormatting sqref="C5:C1000 D5:D7">
    <cfRule type="containsText" dxfId="18" priority="4" operator="containsText" text="DERECHO FUNCIONARIO">
      <formula>NOT(ISERROR(SEARCH(("DERECHO FUNCIONARIO"),(C5))))</formula>
    </cfRule>
  </conditionalFormatting>
  <conditionalFormatting sqref="B5:B1000">
    <cfRule type="containsText" dxfId="19" priority="5" operator="containsText" text="REUNION">
      <formula>NOT(ISERROR(SEARCH(("REUNION"),(B5))))</formula>
    </cfRule>
  </conditionalFormatting>
  <conditionalFormatting sqref="B5:B1000">
    <cfRule type="expression" dxfId="20" priority="6">
      <formula>AND(($A$5:A1770)&lt;&gt;"",COUNTIF($H$5:$H1770,$H5)&gt;1)</formula>
    </cfRule>
  </conditionalFormatting>
  <conditionalFormatting sqref="A5:K1000">
    <cfRule type="expression" dxfId="21" priority="7">
      <formula>COUNTIF($H$5:$H1770,$H5)&gt;1</formula>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06666"/>
    <outlinePr summaryBelow="0" summaryRight="0"/>
  </sheetPr>
  <sheetViews>
    <sheetView showGridLines="0"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0"/>
  <cols>
    <col customWidth="1" min="1" max="1" width="9.88"/>
    <col customWidth="1" min="2" max="2" width="32.25"/>
    <col customWidth="1" min="3" max="3" width="9.13"/>
    <col customWidth="1" min="4" max="4" width="22.25"/>
    <col customWidth="1" min="5" max="5" width="45.5"/>
    <col customWidth="1" min="6" max="6" width="12.0"/>
    <col customWidth="1" min="7" max="8" width="9.63"/>
    <col customWidth="1" min="9" max="9" width="14.25"/>
    <col customWidth="1" min="10" max="10" width="10.0"/>
  </cols>
  <sheetData>
    <row r="1" ht="38.25" customHeight="1">
      <c r="A1" s="228"/>
      <c r="B1" s="229">
        <f>IFERROR(__xludf.DUMMYFUNCTION("COUNTUNIQUE(B3:B235)"),21.0)</f>
        <v>21</v>
      </c>
      <c r="C1" s="228"/>
      <c r="D1" s="228"/>
      <c r="E1" s="230"/>
      <c r="F1" s="230"/>
      <c r="G1" s="231">
        <f>COUNTA(G3:G235)</f>
        <v>49</v>
      </c>
      <c r="H1" s="232">
        <f>SUM(H3:H235)</f>
        <v>157.75</v>
      </c>
      <c r="I1" s="233" t="str">
        <f>IFERROR(__xludf.DUMMYFUNCTION("CONCATENATE(""repetidos = "",COUNTA(G3:G235)-COUNTUNIQUE(I3:I235))"),"repetidos = 2")</f>
        <v>repetidos = 2</v>
      </c>
      <c r="J1" s="233" t="str">
        <f>CONCATENATE("NO VIGENTE = ",COUNTIF(J3:J235,"NO VIGENTE"))</f>
        <v>NO VIGENTE = 0</v>
      </c>
    </row>
    <row r="2" ht="38.25" customHeight="1">
      <c r="A2" s="177" t="s">
        <v>72</v>
      </c>
      <c r="B2" s="177" t="s">
        <v>56</v>
      </c>
      <c r="C2" s="204" t="s">
        <v>140</v>
      </c>
      <c r="D2" s="204" t="s">
        <v>141</v>
      </c>
      <c r="E2" s="206" t="s">
        <v>142</v>
      </c>
      <c r="F2" s="206" t="s">
        <v>143</v>
      </c>
      <c r="G2" s="234" t="s">
        <v>144</v>
      </c>
      <c r="H2" s="208" t="s">
        <v>145</v>
      </c>
      <c r="I2" s="208" t="s">
        <v>146</v>
      </c>
      <c r="J2" s="209" t="s">
        <v>148</v>
      </c>
    </row>
    <row r="3" ht="21.0" customHeight="1">
      <c r="A3" s="235"/>
      <c r="B3" s="236"/>
      <c r="C3" s="237"/>
      <c r="D3" s="237"/>
      <c r="E3" s="237"/>
      <c r="F3" s="238"/>
      <c r="G3" s="239"/>
      <c r="H3" s="240"/>
      <c r="I3" s="216"/>
      <c r="J3" s="216"/>
    </row>
    <row r="4" ht="21.0" customHeight="1">
      <c r="A4" s="235"/>
      <c r="B4" s="235"/>
      <c r="C4" s="237"/>
      <c r="D4" s="237"/>
      <c r="E4" s="237"/>
      <c r="F4" s="238"/>
      <c r="G4" s="239"/>
      <c r="H4" s="240"/>
      <c r="I4" s="216"/>
      <c r="J4" s="216"/>
    </row>
    <row r="5" ht="21.0" customHeight="1">
      <c r="A5" s="235"/>
      <c r="B5" s="235"/>
      <c r="C5" s="237"/>
      <c r="D5" s="237"/>
      <c r="E5" s="237"/>
      <c r="F5" s="238"/>
      <c r="G5" s="239"/>
      <c r="H5" s="240"/>
      <c r="I5" s="216"/>
      <c r="J5" s="216"/>
    </row>
    <row r="6" ht="21.0" customHeight="1">
      <c r="A6" s="235"/>
      <c r="B6" s="235"/>
      <c r="C6" s="237"/>
      <c r="D6" s="237"/>
      <c r="E6" s="237"/>
      <c r="F6" s="238"/>
      <c r="G6" s="239"/>
      <c r="H6" s="240"/>
      <c r="I6" s="216"/>
      <c r="J6" s="216"/>
    </row>
    <row r="7" ht="21.0" customHeight="1">
      <c r="A7" s="235"/>
      <c r="B7" s="241"/>
      <c r="C7" s="237"/>
      <c r="D7" s="237"/>
      <c r="E7" s="237"/>
      <c r="F7" s="238"/>
      <c r="G7" s="239"/>
      <c r="H7" s="240"/>
      <c r="I7" s="216"/>
      <c r="J7" s="216"/>
    </row>
    <row r="8" ht="21.0" customHeight="1">
      <c r="A8" s="235"/>
      <c r="B8" s="235"/>
      <c r="C8" s="237"/>
      <c r="D8" s="237"/>
      <c r="E8" s="237"/>
      <c r="F8" s="238"/>
      <c r="G8" s="239"/>
      <c r="H8" s="240"/>
      <c r="I8" s="216"/>
      <c r="J8" s="216"/>
    </row>
    <row r="9" ht="21.0" customHeight="1">
      <c r="A9" s="235" t="s">
        <v>149</v>
      </c>
      <c r="B9" s="235" t="s">
        <v>95</v>
      </c>
      <c r="C9" s="235" t="s">
        <v>20</v>
      </c>
      <c r="D9" s="235" t="s">
        <v>150</v>
      </c>
      <c r="E9" s="235" t="s">
        <v>151</v>
      </c>
      <c r="F9" s="242">
        <v>11.0</v>
      </c>
      <c r="G9" s="239" t="s">
        <v>152</v>
      </c>
      <c r="H9" s="240">
        <f t="shared" ref="H9:H16" si="1">IFERROR(SUMIF(G9,"Independiente",F9),0)*1</f>
        <v>11</v>
      </c>
      <c r="I9" s="216" t="str">
        <f t="shared" ref="I9:I16" si="2">CONCATENATE(B9,C9,D9,E9)</f>
        <v>SORAYA CRUCES DIAZGESTIONMAISFCENCARGAD@ SALUD FAMILIAR</v>
      </c>
      <c r="J9" s="216"/>
    </row>
    <row r="10" ht="21.0" customHeight="1">
      <c r="A10" s="235" t="s">
        <v>153</v>
      </c>
      <c r="B10" s="235" t="s">
        <v>95</v>
      </c>
      <c r="C10" s="235" t="s">
        <v>20</v>
      </c>
      <c r="D10" s="235" t="s">
        <v>154</v>
      </c>
      <c r="E10" s="235" t="s">
        <v>155</v>
      </c>
      <c r="F10" s="242">
        <v>1.0</v>
      </c>
      <c r="G10" s="239" t="s">
        <v>152</v>
      </c>
      <c r="H10" s="240">
        <f t="shared" si="1"/>
        <v>1</v>
      </c>
      <c r="I10" s="216" t="str">
        <f t="shared" si="2"/>
        <v>SORAYA CRUCES DIAZGESTIONPROGRAMA - TRANSVERSALENCARGADO  PROGRAMA (1 HRS)</v>
      </c>
      <c r="J10" s="216"/>
    </row>
    <row r="11" ht="21.0" customHeight="1">
      <c r="A11" s="235" t="s">
        <v>156</v>
      </c>
      <c r="B11" s="235" t="s">
        <v>95</v>
      </c>
      <c r="C11" s="235" t="s">
        <v>20</v>
      </c>
      <c r="D11" s="235" t="s">
        <v>154</v>
      </c>
      <c r="E11" s="235" t="s">
        <v>157</v>
      </c>
      <c r="F11" s="242">
        <v>2.0</v>
      </c>
      <c r="G11" s="239" t="s">
        <v>152</v>
      </c>
      <c r="H11" s="240">
        <f t="shared" si="1"/>
        <v>2</v>
      </c>
      <c r="I11" s="216" t="str">
        <f t="shared" si="2"/>
        <v>SORAYA CRUCES DIAZGESTIONPROGRAMA - TRANSVERSALCONTRALOR SALUD SEXUAL Y REPRODUCTIVA (2 HRS)</v>
      </c>
      <c r="J11" s="216"/>
    </row>
    <row r="12" ht="21.0" customHeight="1">
      <c r="A12" s="235" t="s">
        <v>158</v>
      </c>
      <c r="B12" s="243" t="s">
        <v>95</v>
      </c>
      <c r="C12" s="235" t="s">
        <v>20</v>
      </c>
      <c r="D12" s="235" t="s">
        <v>154</v>
      </c>
      <c r="E12" s="235" t="s">
        <v>155</v>
      </c>
      <c r="F12" s="242">
        <v>1.0</v>
      </c>
      <c r="G12" s="239" t="s">
        <v>152</v>
      </c>
      <c r="H12" s="240">
        <f t="shared" si="1"/>
        <v>1</v>
      </c>
      <c r="I12" s="216" t="str">
        <f t="shared" si="2"/>
        <v>SORAYA CRUCES DIAZGESTIONPROGRAMA - TRANSVERSALENCARGADO  PROGRAMA (1 HRS)</v>
      </c>
      <c r="J12" s="216"/>
    </row>
    <row r="13" ht="21.0" customHeight="1">
      <c r="A13" s="235" t="s">
        <v>159</v>
      </c>
      <c r="B13" s="235" t="s">
        <v>129</v>
      </c>
      <c r="C13" s="235" t="s">
        <v>20</v>
      </c>
      <c r="D13" s="235" t="s">
        <v>160</v>
      </c>
      <c r="E13" s="235" t="s">
        <v>161</v>
      </c>
      <c r="F13" s="242">
        <v>33.0</v>
      </c>
      <c r="G13" s="239" t="s">
        <v>152</v>
      </c>
      <c r="H13" s="240">
        <f t="shared" si="1"/>
        <v>33</v>
      </c>
      <c r="I13" s="216" t="str">
        <f t="shared" si="2"/>
        <v>VANESSA ESPINOZA ESPINOZAGESTIONCOMUNIDADENCARGAD@ GESTOR COMUNITARIO (33 HORAS)</v>
      </c>
      <c r="J13" s="216"/>
    </row>
    <row r="14" ht="21.0" customHeight="1">
      <c r="A14" s="235" t="s">
        <v>162</v>
      </c>
      <c r="B14" s="235" t="s">
        <v>101</v>
      </c>
      <c r="C14" s="235" t="s">
        <v>20</v>
      </c>
      <c r="D14" s="235" t="s">
        <v>154</v>
      </c>
      <c r="E14" s="235" t="s">
        <v>155</v>
      </c>
      <c r="F14" s="242">
        <v>1.0</v>
      </c>
      <c r="G14" s="239" t="s">
        <v>152</v>
      </c>
      <c r="H14" s="240">
        <f t="shared" si="1"/>
        <v>1</v>
      </c>
      <c r="I14" s="216" t="str">
        <f t="shared" si="2"/>
        <v>ALEJANDRO REYES MURILLOGESTIONPROGRAMA - TRANSVERSALENCARGADO  PROGRAMA (1 HRS)</v>
      </c>
      <c r="J14" s="216"/>
    </row>
    <row r="15" ht="21.0" customHeight="1">
      <c r="A15" s="235" t="s">
        <v>163</v>
      </c>
      <c r="B15" s="235" t="s">
        <v>101</v>
      </c>
      <c r="C15" s="235" t="s">
        <v>20</v>
      </c>
      <c r="D15" s="235" t="s">
        <v>154</v>
      </c>
      <c r="E15" s="235" t="s">
        <v>164</v>
      </c>
      <c r="F15" s="242">
        <v>5.0</v>
      </c>
      <c r="G15" s="239" t="s">
        <v>152</v>
      </c>
      <c r="H15" s="240">
        <f t="shared" si="1"/>
        <v>5</v>
      </c>
      <c r="I15" s="216" t="str">
        <f t="shared" si="2"/>
        <v>ALEJANDRO REYES MURILLOGESTIONPROGRAMA - TRANSVERSALENCARGAD@ PROGRAMA ADULTO Y ADULTO MAYOR (PSCV) (5 HRS)</v>
      </c>
      <c r="J15" s="216"/>
    </row>
    <row r="16" ht="21.0" customHeight="1">
      <c r="A16" s="235" t="s">
        <v>165</v>
      </c>
      <c r="B16" s="235" t="s">
        <v>86</v>
      </c>
      <c r="C16" s="235" t="s">
        <v>20</v>
      </c>
      <c r="D16" s="235" t="s">
        <v>154</v>
      </c>
      <c r="E16" s="235" t="s">
        <v>155</v>
      </c>
      <c r="F16" s="242">
        <v>1.0</v>
      </c>
      <c r="G16" s="244" t="s">
        <v>152</v>
      </c>
      <c r="H16" s="240">
        <f t="shared" si="1"/>
        <v>1</v>
      </c>
      <c r="I16" s="216" t="str">
        <f t="shared" si="2"/>
        <v>GERARDO VALENCIA BERMUDEZGESTIONPROGRAMA - TRANSVERSALENCARGADO  PROGRAMA (1 HRS)</v>
      </c>
      <c r="J16" s="216"/>
    </row>
    <row r="17" ht="21.0" customHeight="1">
      <c r="A17" s="235"/>
      <c r="B17" s="243"/>
      <c r="C17" s="235"/>
      <c r="D17" s="235"/>
      <c r="E17" s="235"/>
      <c r="F17" s="242"/>
      <c r="G17" s="239"/>
      <c r="H17" s="240"/>
      <c r="I17" s="216"/>
      <c r="J17" s="216"/>
    </row>
    <row r="18" ht="21.0" customHeight="1">
      <c r="A18" s="235" t="s">
        <v>166</v>
      </c>
      <c r="B18" s="235" t="s">
        <v>86</v>
      </c>
      <c r="C18" s="235" t="s">
        <v>20</v>
      </c>
      <c r="D18" s="235" t="s">
        <v>167</v>
      </c>
      <c r="E18" s="235" t="s">
        <v>168</v>
      </c>
      <c r="F18" s="242">
        <v>0.25</v>
      </c>
      <c r="G18" s="239" t="s">
        <v>152</v>
      </c>
      <c r="H18" s="240">
        <f>IFERROR(SUMIF(G18,"Independiente",F18),0)*1</f>
        <v>0.25</v>
      </c>
      <c r="I18" s="216" t="str">
        <f>CONCATENATE(B18,C18,D18,E18)</f>
        <v>GERARDO VALENCIA BERMUDEZGESTIONSALUD PUBLICAREFERENTE TBC - MEDICO (15 MIN)</v>
      </c>
      <c r="J18" s="216"/>
    </row>
    <row r="19" ht="21.0" customHeight="1">
      <c r="A19" s="235"/>
      <c r="B19" s="235"/>
      <c r="C19" s="235"/>
      <c r="D19" s="235"/>
      <c r="E19" s="235"/>
      <c r="F19" s="242"/>
      <c r="G19" s="239"/>
      <c r="H19" s="240"/>
      <c r="I19" s="216"/>
      <c r="J19" s="216"/>
    </row>
    <row r="20" ht="21.0" customHeight="1">
      <c r="A20" s="235" t="s">
        <v>169</v>
      </c>
      <c r="B20" s="241" t="s">
        <v>86</v>
      </c>
      <c r="C20" s="235" t="s">
        <v>20</v>
      </c>
      <c r="D20" s="235" t="s">
        <v>170</v>
      </c>
      <c r="E20" s="235" t="s">
        <v>171</v>
      </c>
      <c r="F20" s="242">
        <v>0.9</v>
      </c>
      <c r="G20" s="239" t="s">
        <v>152</v>
      </c>
      <c r="H20" s="240">
        <f>IFERROR(SUMIF(G20,"Independiente",F20),0)*1</f>
        <v>0.9</v>
      </c>
      <c r="I20" s="216" t="str">
        <f>CONCATENATE(B20,C20,D20,E20)</f>
        <v>GERARDO VALENCIA BERMUDEZGESTIONTECNICO - ADMNISTRATIVOESTADISTICA MENSUAL COMPLETA (4 HRS × 12 VECES)</v>
      </c>
      <c r="J20" s="216"/>
    </row>
    <row r="21" ht="21.0" customHeight="1">
      <c r="A21" s="235"/>
      <c r="B21" s="235"/>
      <c r="C21" s="235"/>
      <c r="D21" s="235"/>
      <c r="E21" s="235"/>
      <c r="F21" s="242"/>
      <c r="G21" s="239"/>
      <c r="H21" s="240"/>
      <c r="I21" s="216"/>
      <c r="J21" s="216"/>
    </row>
    <row r="22" ht="21.0" customHeight="1">
      <c r="A22" s="235"/>
      <c r="B22" s="235"/>
      <c r="C22" s="235"/>
      <c r="D22" s="235"/>
      <c r="E22" s="235"/>
      <c r="F22" s="242"/>
      <c r="G22" s="239"/>
      <c r="H22" s="240"/>
      <c r="I22" s="216"/>
      <c r="J22" s="216"/>
    </row>
    <row r="23" ht="21.0" customHeight="1">
      <c r="A23" s="235" t="s">
        <v>172</v>
      </c>
      <c r="B23" s="235" t="s">
        <v>101</v>
      </c>
      <c r="C23" s="235" t="s">
        <v>20</v>
      </c>
      <c r="D23" s="235" t="s">
        <v>170</v>
      </c>
      <c r="E23" s="235" t="s">
        <v>173</v>
      </c>
      <c r="F23" s="242">
        <v>2.0</v>
      </c>
      <c r="G23" s="239" t="s">
        <v>152</v>
      </c>
      <c r="H23" s="240">
        <f>IFERROR(SUMIF(G23,"Independiente",F23),0)*1</f>
        <v>2</v>
      </c>
      <c r="I23" s="216" t="str">
        <f>CONCATENATE(B23,C23,D23,E23)</f>
        <v>ALEJANDRO REYES MURILLOGESTIONTECNICO - ADMNISTRATIVOESTADISTICA MENSUAL (1 DIA)</v>
      </c>
      <c r="J23" s="216"/>
    </row>
    <row r="24" ht="21.0" customHeight="1">
      <c r="A24" s="235"/>
      <c r="B24" s="235"/>
      <c r="C24" s="235"/>
      <c r="D24" s="235"/>
      <c r="E24" s="235"/>
      <c r="F24" s="242"/>
      <c r="G24" s="239"/>
      <c r="H24" s="240"/>
      <c r="I24" s="216"/>
      <c r="J24" s="216"/>
    </row>
    <row r="25" ht="21.0" customHeight="1">
      <c r="A25" s="235"/>
      <c r="B25" s="235"/>
      <c r="C25" s="235"/>
      <c r="D25" s="235"/>
      <c r="E25" s="235"/>
      <c r="F25" s="242"/>
      <c r="G25" s="239"/>
      <c r="H25" s="240"/>
      <c r="I25" s="216"/>
      <c r="J25" s="216"/>
    </row>
    <row r="26" ht="21.0" customHeight="1">
      <c r="A26" s="235" t="s">
        <v>174</v>
      </c>
      <c r="B26" s="235" t="s">
        <v>88</v>
      </c>
      <c r="C26" s="235" t="s">
        <v>20</v>
      </c>
      <c r="D26" s="235" t="s">
        <v>170</v>
      </c>
      <c r="E26" s="235" t="s">
        <v>171</v>
      </c>
      <c r="F26" s="242">
        <v>0.9</v>
      </c>
      <c r="G26" s="239" t="s">
        <v>152</v>
      </c>
      <c r="H26" s="240">
        <f t="shared" ref="H26:H29" si="3">IFERROR(SUMIF(G26,"Independiente",F26),0)*1</f>
        <v>0.9</v>
      </c>
      <c r="I26" s="216" t="str">
        <f t="shared" ref="I26:I29" si="4">CONCATENATE(B26,C26,D26,E26)</f>
        <v>CONSTANZA PALMA MONTEROGESTIONTECNICO - ADMNISTRATIVOESTADISTICA MENSUAL COMPLETA (4 HRS × 12 VECES)</v>
      </c>
      <c r="J26" s="216"/>
    </row>
    <row r="27" ht="21.0" customHeight="1">
      <c r="A27" s="235" t="s">
        <v>175</v>
      </c>
      <c r="B27" s="235" t="s">
        <v>176</v>
      </c>
      <c r="C27" s="235" t="s">
        <v>20</v>
      </c>
      <c r="D27" s="235" t="s">
        <v>170</v>
      </c>
      <c r="E27" s="235" t="s">
        <v>177</v>
      </c>
      <c r="F27" s="242">
        <v>2.0</v>
      </c>
      <c r="G27" s="239" t="s">
        <v>152</v>
      </c>
      <c r="H27" s="240">
        <f t="shared" si="3"/>
        <v>2</v>
      </c>
      <c r="I27" s="216" t="str">
        <f t="shared" si="4"/>
        <v>CRISTOBAL VELASQUEZ VASQUEZGESTIONTECNICO - ADMNISTRATIVOESTADISTICA MENSUAL</v>
      </c>
      <c r="J27" s="216"/>
    </row>
    <row r="28" ht="21.0" customHeight="1">
      <c r="A28" s="235" t="s">
        <v>178</v>
      </c>
      <c r="B28" s="235" t="s">
        <v>118</v>
      </c>
      <c r="C28" s="235" t="s">
        <v>20</v>
      </c>
      <c r="D28" s="235" t="s">
        <v>170</v>
      </c>
      <c r="E28" s="235" t="s">
        <v>171</v>
      </c>
      <c r="F28" s="242">
        <v>0.9</v>
      </c>
      <c r="G28" s="239" t="s">
        <v>152</v>
      </c>
      <c r="H28" s="240">
        <f t="shared" si="3"/>
        <v>0.9</v>
      </c>
      <c r="I28" s="216" t="str">
        <f t="shared" si="4"/>
        <v>CLAUDIO PINTO VILLALOBOSGESTIONTECNICO - ADMNISTRATIVOESTADISTICA MENSUAL COMPLETA (4 HRS × 12 VECES)</v>
      </c>
      <c r="J28" s="216"/>
    </row>
    <row r="29" ht="21.0" customHeight="1">
      <c r="A29" s="245" t="s">
        <v>179</v>
      </c>
      <c r="B29" s="235" t="s">
        <v>91</v>
      </c>
      <c r="C29" s="235" t="s">
        <v>20</v>
      </c>
      <c r="D29" s="235" t="s">
        <v>170</v>
      </c>
      <c r="E29" s="235" t="s">
        <v>171</v>
      </c>
      <c r="F29" s="242">
        <v>0.9</v>
      </c>
      <c r="G29" s="239" t="s">
        <v>152</v>
      </c>
      <c r="H29" s="240">
        <f t="shared" si="3"/>
        <v>0.9</v>
      </c>
      <c r="I29" s="216" t="str">
        <f t="shared" si="4"/>
        <v>EDGAR CARVAJAL TORRESGESTIONTECNICO - ADMNISTRATIVOESTADISTICA MENSUAL COMPLETA (4 HRS × 12 VECES)</v>
      </c>
      <c r="J29" s="216"/>
    </row>
    <row r="30" ht="21.0" customHeight="1">
      <c r="A30" s="235"/>
      <c r="B30" s="235"/>
      <c r="C30" s="235"/>
      <c r="D30" s="235"/>
      <c r="E30" s="235"/>
      <c r="F30" s="242"/>
      <c r="G30" s="239"/>
      <c r="H30" s="240"/>
      <c r="I30" s="216"/>
      <c r="J30" s="216"/>
    </row>
    <row r="31" ht="21.0" customHeight="1">
      <c r="A31" s="235" t="s">
        <v>180</v>
      </c>
      <c r="B31" s="235" t="s">
        <v>120</v>
      </c>
      <c r="C31" s="235" t="s">
        <v>20</v>
      </c>
      <c r="D31" s="235" t="s">
        <v>170</v>
      </c>
      <c r="E31" s="235" t="s">
        <v>171</v>
      </c>
      <c r="F31" s="242">
        <v>0.9</v>
      </c>
      <c r="G31" s="239" t="s">
        <v>152</v>
      </c>
      <c r="H31" s="240">
        <f t="shared" ref="H31:H36" si="5">IFERROR(SUMIF(G31,"Independiente",F31),0)*1</f>
        <v>0.9</v>
      </c>
      <c r="I31" s="216" t="str">
        <f t="shared" ref="I31:I36" si="6">CONCATENATE(B31,C31,D31,E31)</f>
        <v>ELIZABETH ZARATE ROJASGESTIONTECNICO - ADMNISTRATIVOESTADISTICA MENSUAL COMPLETA (4 HRS × 12 VECES)</v>
      </c>
      <c r="J31" s="216"/>
    </row>
    <row r="32" ht="21.0" customHeight="1">
      <c r="A32" s="235" t="s">
        <v>181</v>
      </c>
      <c r="B32" s="235" t="s">
        <v>98</v>
      </c>
      <c r="C32" s="235" t="s">
        <v>20</v>
      </c>
      <c r="D32" s="235" t="s">
        <v>170</v>
      </c>
      <c r="E32" s="235" t="s">
        <v>171</v>
      </c>
      <c r="F32" s="242">
        <v>0.9</v>
      </c>
      <c r="G32" s="239" t="s">
        <v>152</v>
      </c>
      <c r="H32" s="240">
        <f t="shared" si="5"/>
        <v>0.9</v>
      </c>
      <c r="I32" s="216" t="str">
        <f t="shared" si="6"/>
        <v>FANNY QUINTANILLA CORDEROGESTIONTECNICO - ADMNISTRATIVOESTADISTICA MENSUAL COMPLETA (4 HRS × 12 VECES)</v>
      </c>
      <c r="J32" s="216"/>
    </row>
    <row r="33" ht="21.0" customHeight="1">
      <c r="A33" s="235" t="s">
        <v>182</v>
      </c>
      <c r="B33" s="235" t="s">
        <v>103</v>
      </c>
      <c r="C33" s="235" t="s">
        <v>20</v>
      </c>
      <c r="D33" s="235" t="s">
        <v>170</v>
      </c>
      <c r="E33" s="235" t="s">
        <v>173</v>
      </c>
      <c r="F33" s="242">
        <v>2.0</v>
      </c>
      <c r="G33" s="239" t="s">
        <v>152</v>
      </c>
      <c r="H33" s="240">
        <f t="shared" si="5"/>
        <v>2</v>
      </c>
      <c r="I33" s="216" t="str">
        <f t="shared" si="6"/>
        <v>JAIME REYES TOROGESTIONTECNICO - ADMNISTRATIVOESTADISTICA MENSUAL (1 DIA)</v>
      </c>
      <c r="J33" s="216"/>
    </row>
    <row r="34" ht="21.0" customHeight="1">
      <c r="A34" s="235" t="s">
        <v>183</v>
      </c>
      <c r="B34" s="235" t="s">
        <v>115</v>
      </c>
      <c r="C34" s="235" t="s">
        <v>20</v>
      </c>
      <c r="D34" s="235" t="s">
        <v>170</v>
      </c>
      <c r="E34" s="235" t="s">
        <v>171</v>
      </c>
      <c r="F34" s="242">
        <v>0.9</v>
      </c>
      <c r="G34" s="239" t="s">
        <v>152</v>
      </c>
      <c r="H34" s="240">
        <f t="shared" si="5"/>
        <v>0.9</v>
      </c>
      <c r="I34" s="216" t="str">
        <f t="shared" si="6"/>
        <v>MARCELA JAQUE LIZAMAGESTIONTECNICO - ADMNISTRATIVOESTADISTICA MENSUAL COMPLETA (4 HRS × 12 VECES)</v>
      </c>
      <c r="J34" s="216"/>
    </row>
    <row r="35" ht="21.0" customHeight="1">
      <c r="A35" s="235" t="s">
        <v>184</v>
      </c>
      <c r="B35" s="235" t="s">
        <v>126</v>
      </c>
      <c r="C35" s="235" t="s">
        <v>20</v>
      </c>
      <c r="D35" s="235" t="s">
        <v>170</v>
      </c>
      <c r="E35" s="235" t="s">
        <v>173</v>
      </c>
      <c r="F35" s="242">
        <v>2.0</v>
      </c>
      <c r="G35" s="239" t="s">
        <v>152</v>
      </c>
      <c r="H35" s="240">
        <f t="shared" si="5"/>
        <v>2</v>
      </c>
      <c r="I35" s="216" t="str">
        <f t="shared" si="6"/>
        <v>VALERIA NUÑEZ QUINCHELGESTIONTECNICO - ADMNISTRATIVOESTADISTICA MENSUAL (1 DIA)</v>
      </c>
      <c r="J35" s="216"/>
    </row>
    <row r="36" ht="21.0" customHeight="1">
      <c r="A36" s="235" t="s">
        <v>185</v>
      </c>
      <c r="B36" s="235" t="s">
        <v>112</v>
      </c>
      <c r="C36" s="235" t="s">
        <v>20</v>
      </c>
      <c r="D36" s="235" t="s">
        <v>170</v>
      </c>
      <c r="E36" s="235" t="s">
        <v>173</v>
      </c>
      <c r="F36" s="242">
        <v>2.0</v>
      </c>
      <c r="G36" s="239" t="s">
        <v>152</v>
      </c>
      <c r="H36" s="240">
        <f t="shared" si="5"/>
        <v>2</v>
      </c>
      <c r="I36" s="216" t="str">
        <f t="shared" si="6"/>
        <v>LUIS GONZALEZ SEPULVEDAGESTIONTECNICO - ADMNISTRATIVOESTADISTICA MENSUAL (1 DIA)</v>
      </c>
      <c r="J36" s="216"/>
    </row>
    <row r="37" ht="21.0" customHeight="1">
      <c r="A37" s="235"/>
      <c r="B37" s="235"/>
      <c r="C37" s="235"/>
      <c r="D37" s="235"/>
      <c r="E37" s="235"/>
      <c r="F37" s="242"/>
      <c r="G37" s="239"/>
      <c r="H37" s="240"/>
      <c r="I37" s="216"/>
      <c r="J37" s="216"/>
    </row>
    <row r="38" ht="21.0" customHeight="1">
      <c r="A38" s="235" t="s">
        <v>186</v>
      </c>
      <c r="B38" s="235" t="s">
        <v>98</v>
      </c>
      <c r="C38" s="235" t="s">
        <v>20</v>
      </c>
      <c r="D38" s="235" t="s">
        <v>154</v>
      </c>
      <c r="E38" s="235" t="s">
        <v>155</v>
      </c>
      <c r="F38" s="242">
        <v>1.0</v>
      </c>
      <c r="G38" s="239" t="s">
        <v>152</v>
      </c>
      <c r="H38" s="240">
        <f t="shared" ref="H38:H235" si="7">IFERROR(SUMIF(G38,"Independiente",F38),0)*1</f>
        <v>1</v>
      </c>
      <c r="I38" s="216" t="str">
        <f t="shared" ref="I38:I235" si="8">CONCATENATE(B38,C38,D38,E38)</f>
        <v>FANNY QUINTANILLA CORDEROGESTIONPROGRAMA - TRANSVERSALENCARGADO  PROGRAMA (1 HRS)</v>
      </c>
      <c r="J38" s="216"/>
    </row>
    <row r="39" ht="21.0" customHeight="1">
      <c r="A39" s="235" t="s">
        <v>187</v>
      </c>
      <c r="B39" s="235" t="s">
        <v>131</v>
      </c>
      <c r="C39" s="235" t="s">
        <v>20</v>
      </c>
      <c r="D39" s="235" t="s">
        <v>170</v>
      </c>
      <c r="E39" s="235" t="s">
        <v>173</v>
      </c>
      <c r="F39" s="242">
        <v>2.0</v>
      </c>
      <c r="G39" s="239" t="s">
        <v>152</v>
      </c>
      <c r="H39" s="240">
        <f t="shared" si="7"/>
        <v>2</v>
      </c>
      <c r="I39" s="216" t="str">
        <f t="shared" si="8"/>
        <v>MYRRHA ANDAUR MARTINEZGESTIONTECNICO - ADMNISTRATIVOESTADISTICA MENSUAL (1 DIA)</v>
      </c>
      <c r="J39" s="216"/>
    </row>
    <row r="40" ht="21.0" customHeight="1">
      <c r="A40" s="235" t="s">
        <v>188</v>
      </c>
      <c r="B40" s="235" t="s">
        <v>98</v>
      </c>
      <c r="C40" s="235" t="s">
        <v>20</v>
      </c>
      <c r="D40" s="235" t="s">
        <v>154</v>
      </c>
      <c r="E40" s="235" t="s">
        <v>189</v>
      </c>
      <c r="F40" s="242">
        <v>2.0</v>
      </c>
      <c r="G40" s="239" t="s">
        <v>152</v>
      </c>
      <c r="H40" s="240">
        <f t="shared" si="7"/>
        <v>2</v>
      </c>
      <c r="I40" s="216" t="str">
        <f t="shared" si="8"/>
        <v>FANNY QUINTANILLA CORDEROGESTIONPROGRAMA - TRANSVERSALENCARGAD@ PROGRAMA DEPENDENCIA SEVERA Y CPNO  (2 HORAS)</v>
      </c>
      <c r="J40" s="216"/>
    </row>
    <row r="41" ht="21.0" customHeight="1">
      <c r="A41" s="235" t="s">
        <v>190</v>
      </c>
      <c r="B41" s="235" t="s">
        <v>135</v>
      </c>
      <c r="C41" s="235" t="s">
        <v>20</v>
      </c>
      <c r="D41" s="235" t="s">
        <v>154</v>
      </c>
      <c r="E41" s="235" t="s">
        <v>191</v>
      </c>
      <c r="F41" s="242">
        <v>3.0</v>
      </c>
      <c r="G41" s="239" t="s">
        <v>152</v>
      </c>
      <c r="H41" s="240">
        <f t="shared" si="7"/>
        <v>3</v>
      </c>
      <c r="I41" s="216" t="str">
        <f t="shared" si="8"/>
        <v>CAROL AMBO AMPUEROGESTIONPROGRAMA - TRANSVERSALENCARGADO  PROGRAMA (3 HRS)</v>
      </c>
      <c r="J41" s="216"/>
    </row>
    <row r="42" ht="21.0" customHeight="1">
      <c r="A42" s="235" t="s">
        <v>192</v>
      </c>
      <c r="B42" s="241" t="s">
        <v>135</v>
      </c>
      <c r="C42" s="241" t="s">
        <v>20</v>
      </c>
      <c r="D42" s="241" t="s">
        <v>167</v>
      </c>
      <c r="E42" s="241" t="s">
        <v>193</v>
      </c>
      <c r="F42" s="246">
        <v>2.0</v>
      </c>
      <c r="G42" s="247" t="s">
        <v>152</v>
      </c>
      <c r="H42" s="240">
        <f t="shared" si="7"/>
        <v>2</v>
      </c>
      <c r="I42" s="216" t="str">
        <f t="shared" si="8"/>
        <v>CAROL AMBO AMPUEROGESTIONSALUD PUBLICAENCARGAD@ PROGRAMA TBC (2 HRS)</v>
      </c>
      <c r="J42" s="216"/>
    </row>
    <row r="43" ht="21.0" customHeight="1">
      <c r="A43" s="235" t="s">
        <v>194</v>
      </c>
      <c r="B43" s="241" t="s">
        <v>135</v>
      </c>
      <c r="C43" s="241" t="s">
        <v>20</v>
      </c>
      <c r="D43" s="241" t="s">
        <v>167</v>
      </c>
      <c r="E43" s="241" t="s">
        <v>195</v>
      </c>
      <c r="F43" s="246">
        <v>2.0</v>
      </c>
      <c r="G43" s="247" t="s">
        <v>152</v>
      </c>
      <c r="H43" s="240">
        <f t="shared" si="7"/>
        <v>2</v>
      </c>
      <c r="I43" s="216" t="str">
        <f t="shared" si="8"/>
        <v>CAROL AMBO AMPUEROGESTIONSALUD PUBLICAENCARGAD@ IAAS (2 HRS)</v>
      </c>
      <c r="J43" s="216"/>
    </row>
    <row r="44" ht="21.0" customHeight="1">
      <c r="A44" s="235" t="s">
        <v>196</v>
      </c>
      <c r="B44" s="235" t="s">
        <v>135</v>
      </c>
      <c r="C44" s="235" t="s">
        <v>20</v>
      </c>
      <c r="D44" s="235" t="s">
        <v>167</v>
      </c>
      <c r="E44" s="235" t="s">
        <v>197</v>
      </c>
      <c r="F44" s="242">
        <v>2.0</v>
      </c>
      <c r="G44" s="239" t="s">
        <v>152</v>
      </c>
      <c r="H44" s="240">
        <f t="shared" si="7"/>
        <v>2</v>
      </c>
      <c r="I44" s="216" t="str">
        <f t="shared" si="8"/>
        <v>CAROL AMBO AMPUEROGESTIONSALUD PUBLICAENCARGAD@ EPIDEMIOLOGIA  2 (2 HRS)</v>
      </c>
      <c r="J44" s="216"/>
    </row>
    <row r="45" ht="21.0" customHeight="1">
      <c r="A45" s="235" t="s">
        <v>198</v>
      </c>
      <c r="B45" s="235" t="s">
        <v>135</v>
      </c>
      <c r="C45" s="235" t="s">
        <v>20</v>
      </c>
      <c r="D45" s="235" t="s">
        <v>170</v>
      </c>
      <c r="E45" s="235" t="s">
        <v>199</v>
      </c>
      <c r="F45" s="242">
        <v>2.0</v>
      </c>
      <c r="G45" s="239" t="s">
        <v>152</v>
      </c>
      <c r="H45" s="240">
        <f t="shared" si="7"/>
        <v>2</v>
      </c>
      <c r="I45" s="216" t="str">
        <f t="shared" si="8"/>
        <v>CAROL AMBO AMPUEROGESTIONTECNICO - ADMNISTRATIVOENCARGADO TOMA DE MUESTRA (2 HRS)</v>
      </c>
      <c r="J45" s="216"/>
    </row>
    <row r="46" ht="21.0" customHeight="1">
      <c r="A46" s="235" t="s">
        <v>200</v>
      </c>
      <c r="B46" s="235" t="s">
        <v>135</v>
      </c>
      <c r="C46" s="235" t="s">
        <v>20</v>
      </c>
      <c r="D46" s="235" t="s">
        <v>154</v>
      </c>
      <c r="E46" s="235" t="s">
        <v>191</v>
      </c>
      <c r="F46" s="242">
        <v>3.0</v>
      </c>
      <c r="G46" s="239" t="s">
        <v>152</v>
      </c>
      <c r="H46" s="240">
        <f t="shared" si="7"/>
        <v>3</v>
      </c>
      <c r="I46" s="216" t="str">
        <f t="shared" si="8"/>
        <v>CAROL AMBO AMPUEROGESTIONPROGRAMA - TRANSVERSALENCARGADO  PROGRAMA (3 HRS)</v>
      </c>
      <c r="J46" s="216"/>
    </row>
    <row r="47" ht="21.0" customHeight="1">
      <c r="A47" s="235" t="s">
        <v>201</v>
      </c>
      <c r="B47" s="235" t="s">
        <v>135</v>
      </c>
      <c r="C47" s="235" t="s">
        <v>20</v>
      </c>
      <c r="D47" s="235" t="s">
        <v>154</v>
      </c>
      <c r="E47" s="235" t="s">
        <v>202</v>
      </c>
      <c r="F47" s="242">
        <v>3.0</v>
      </c>
      <c r="G47" s="239" t="s">
        <v>152</v>
      </c>
      <c r="H47" s="240">
        <f t="shared" si="7"/>
        <v>3</v>
      </c>
      <c r="I47" s="216" t="str">
        <f t="shared" si="8"/>
        <v>CAROL AMBO AMPUEROGESTIONPROGRAMA - TRANSVERSALENCARGAD@ PROGRAMA ADULTO Y ADULTO MAYOR (PSCV) (3 HRS)</v>
      </c>
      <c r="J47" s="216"/>
    </row>
    <row r="48" ht="21.0" customHeight="1">
      <c r="A48" s="235" t="s">
        <v>203</v>
      </c>
      <c r="B48" s="235" t="s">
        <v>135</v>
      </c>
      <c r="C48" s="235" t="s">
        <v>20</v>
      </c>
      <c r="D48" s="235" t="s">
        <v>167</v>
      </c>
      <c r="E48" s="235" t="s">
        <v>204</v>
      </c>
      <c r="F48" s="242">
        <v>2.0</v>
      </c>
      <c r="G48" s="239" t="s">
        <v>152</v>
      </c>
      <c r="H48" s="240">
        <f t="shared" si="7"/>
        <v>2</v>
      </c>
      <c r="I48" s="216" t="str">
        <f t="shared" si="8"/>
        <v>CAROL AMBO AMPUEROGESTIONSALUD PUBLICAENCARGAD@ NANEAS (2 HRS)</v>
      </c>
      <c r="J48" s="216"/>
    </row>
    <row r="49" ht="21.0" customHeight="1">
      <c r="A49" s="235" t="s">
        <v>205</v>
      </c>
      <c r="B49" s="235" t="s">
        <v>138</v>
      </c>
      <c r="C49" s="235" t="s">
        <v>20</v>
      </c>
      <c r="D49" s="235" t="s">
        <v>170</v>
      </c>
      <c r="E49" s="235" t="s">
        <v>206</v>
      </c>
      <c r="F49" s="242">
        <v>22.0</v>
      </c>
      <c r="G49" s="239" t="s">
        <v>152</v>
      </c>
      <c r="H49" s="240">
        <f t="shared" si="7"/>
        <v>22</v>
      </c>
      <c r="I49" s="216" t="str">
        <f t="shared" si="8"/>
        <v>PAULA ABARCA MORALESGESTIONTECNICO - ADMNISTRATIVOENCARGAD@ CECOSF</v>
      </c>
      <c r="J49" s="216"/>
    </row>
    <row r="50" ht="21.0" customHeight="1">
      <c r="A50" s="235" t="s">
        <v>207</v>
      </c>
      <c r="B50" s="235" t="s">
        <v>138</v>
      </c>
      <c r="C50" s="235" t="s">
        <v>20</v>
      </c>
      <c r="D50" s="235" t="s">
        <v>170</v>
      </c>
      <c r="E50" s="235" t="s">
        <v>208</v>
      </c>
      <c r="F50" s="242">
        <v>2.0</v>
      </c>
      <c r="G50" s="239" t="s">
        <v>209</v>
      </c>
      <c r="H50" s="240">
        <f t="shared" si="7"/>
        <v>0</v>
      </c>
      <c r="I50" s="216" t="str">
        <f t="shared" si="8"/>
        <v>PAULA ABARCA MORALESGESTIONTECNICO - ADMNISTRATIVOENCARGAD@ PROGRAMACION (2 HRS)</v>
      </c>
      <c r="J50" s="216"/>
    </row>
    <row r="51" ht="21.0" customHeight="1">
      <c r="A51" s="235" t="s">
        <v>210</v>
      </c>
      <c r="B51" s="235" t="s">
        <v>138</v>
      </c>
      <c r="C51" s="235" t="s">
        <v>20</v>
      </c>
      <c r="D51" s="235" t="s">
        <v>211</v>
      </c>
      <c r="E51" s="235" t="s">
        <v>212</v>
      </c>
      <c r="F51" s="242">
        <v>5.0</v>
      </c>
      <c r="G51" s="239" t="s">
        <v>209</v>
      </c>
      <c r="H51" s="240">
        <f t="shared" si="7"/>
        <v>0</v>
      </c>
      <c r="I51" s="216" t="str">
        <f t="shared" si="8"/>
        <v>PAULA ABARCA MORALESGESTIONDERECHOS Y DEBERESENCARGAD@ OIRS (5 HORAS)</v>
      </c>
      <c r="J51" s="216"/>
    </row>
    <row r="52" ht="21.0" customHeight="1">
      <c r="A52" s="235" t="s">
        <v>213</v>
      </c>
      <c r="B52" s="235" t="s">
        <v>138</v>
      </c>
      <c r="C52" s="235" t="s">
        <v>20</v>
      </c>
      <c r="D52" s="235" t="s">
        <v>167</v>
      </c>
      <c r="E52" s="235" t="s">
        <v>214</v>
      </c>
      <c r="F52" s="242">
        <v>5.0</v>
      </c>
      <c r="G52" s="239" t="s">
        <v>209</v>
      </c>
      <c r="H52" s="240">
        <f t="shared" si="7"/>
        <v>0</v>
      </c>
      <c r="I52" s="216" t="str">
        <f t="shared" si="8"/>
        <v>PAULA ABARCA MORALESGESTIONSALUD PUBLICAENCARGAD@ PPAA (PNAC-PACAM) (5 HRS)</v>
      </c>
      <c r="J52" s="216"/>
    </row>
    <row r="53" ht="21.0" customHeight="1">
      <c r="A53" s="235" t="s">
        <v>215</v>
      </c>
      <c r="B53" s="235" t="s">
        <v>133</v>
      </c>
      <c r="C53" s="235" t="s">
        <v>20</v>
      </c>
      <c r="D53" s="235" t="s">
        <v>211</v>
      </c>
      <c r="E53" s="235" t="s">
        <v>216</v>
      </c>
      <c r="F53" s="242">
        <v>1.0</v>
      </c>
      <c r="G53" s="239" t="s">
        <v>209</v>
      </c>
      <c r="H53" s="240">
        <f t="shared" si="7"/>
        <v>0</v>
      </c>
      <c r="I53" s="216" t="str">
        <f t="shared" si="8"/>
        <v>PAULINA DIAZ MEDINAGESTIONDERECHOS Y DEBERESENCARGAD@ MIGRANTES (1 HR)</v>
      </c>
      <c r="J53" s="216"/>
    </row>
    <row r="54" ht="21.0" customHeight="1">
      <c r="A54" s="235" t="s">
        <v>217</v>
      </c>
      <c r="B54" s="235" t="s">
        <v>133</v>
      </c>
      <c r="C54" s="235" t="s">
        <v>20</v>
      </c>
      <c r="D54" s="235" t="s">
        <v>160</v>
      </c>
      <c r="E54" s="235" t="s">
        <v>218</v>
      </c>
      <c r="F54" s="242">
        <v>22.0</v>
      </c>
      <c r="G54" s="239" t="s">
        <v>152</v>
      </c>
      <c r="H54" s="240">
        <f t="shared" si="7"/>
        <v>22</v>
      </c>
      <c r="I54" s="216" t="str">
        <f t="shared" si="8"/>
        <v>PAULINA DIAZ MEDINAGESTIONCOMUNIDADENCARGAD@ PARTICIPACION Y PROMOCION  (22 HORAS)</v>
      </c>
      <c r="J54" s="216"/>
    </row>
    <row r="55" ht="21.0" customHeight="1">
      <c r="A55" s="235" t="s">
        <v>219</v>
      </c>
      <c r="B55" s="235" t="s">
        <v>88</v>
      </c>
      <c r="C55" s="235" t="s">
        <v>20</v>
      </c>
      <c r="D55" s="235" t="s">
        <v>150</v>
      </c>
      <c r="E55" s="235" t="s">
        <v>220</v>
      </c>
      <c r="F55" s="242">
        <v>3.0</v>
      </c>
      <c r="G55" s="239" t="s">
        <v>152</v>
      </c>
      <c r="H55" s="240">
        <f t="shared" si="7"/>
        <v>3</v>
      </c>
      <c r="I55" s="216" t="str">
        <f t="shared" si="8"/>
        <v>CONSTANZA PALMA MONTEROGESTIONMAISFCENCARGAD@ ECICEP (3 HRS)</v>
      </c>
      <c r="J55" s="216"/>
    </row>
    <row r="56" ht="21.0" customHeight="1">
      <c r="A56" s="235" t="s">
        <v>221</v>
      </c>
      <c r="B56" s="235" t="s">
        <v>98</v>
      </c>
      <c r="C56" s="235" t="s">
        <v>20</v>
      </c>
      <c r="D56" s="235" t="s">
        <v>170</v>
      </c>
      <c r="E56" s="235" t="s">
        <v>222</v>
      </c>
      <c r="F56" s="242">
        <v>1.25</v>
      </c>
      <c r="G56" s="239" t="s">
        <v>152</v>
      </c>
      <c r="H56" s="240">
        <f t="shared" si="7"/>
        <v>1.25</v>
      </c>
      <c r="I56" s="216" t="str">
        <f t="shared" si="8"/>
        <v>FANNY QUINTANILLA CORDEROGESTIONTECNICO - ADMNISTRATIVOESTADISTICA TRIMESTRAL (2 DIAS)</v>
      </c>
      <c r="J56" s="216"/>
    </row>
    <row r="57" ht="21.0" customHeight="1">
      <c r="A57" s="235" t="s">
        <v>223</v>
      </c>
      <c r="B57" s="235" t="s">
        <v>135</v>
      </c>
      <c r="C57" s="235" t="s">
        <v>20</v>
      </c>
      <c r="D57" s="235" t="s">
        <v>170</v>
      </c>
      <c r="E57" s="235" t="s">
        <v>173</v>
      </c>
      <c r="F57" s="242">
        <v>2.0</v>
      </c>
      <c r="G57" s="239" t="s">
        <v>152</v>
      </c>
      <c r="H57" s="240">
        <f t="shared" si="7"/>
        <v>2</v>
      </c>
      <c r="I57" s="216" t="str">
        <f t="shared" si="8"/>
        <v>CAROL AMBO AMPUEROGESTIONTECNICO - ADMNISTRATIVOESTADISTICA MENSUAL (1 DIA)</v>
      </c>
      <c r="J57" s="216"/>
    </row>
    <row r="58" ht="21.0" customHeight="1">
      <c r="A58" s="235" t="s">
        <v>224</v>
      </c>
      <c r="B58" s="235" t="s">
        <v>135</v>
      </c>
      <c r="C58" s="235" t="s">
        <v>20</v>
      </c>
      <c r="D58" s="235" t="s">
        <v>170</v>
      </c>
      <c r="E58" s="235" t="s">
        <v>222</v>
      </c>
      <c r="F58" s="242">
        <v>1.25</v>
      </c>
      <c r="G58" s="239" t="s">
        <v>152</v>
      </c>
      <c r="H58" s="240">
        <f t="shared" si="7"/>
        <v>1.25</v>
      </c>
      <c r="I58" s="216" t="str">
        <f t="shared" si="8"/>
        <v>CAROL AMBO AMPUEROGESTIONTECNICO - ADMNISTRATIVOESTADISTICA TRIMESTRAL (2 DIAS)</v>
      </c>
      <c r="J58" s="216"/>
    </row>
    <row r="59" ht="21.0" customHeight="1">
      <c r="A59" s="235" t="s">
        <v>225</v>
      </c>
      <c r="B59" s="235" t="s">
        <v>129</v>
      </c>
      <c r="C59" s="235" t="s">
        <v>20</v>
      </c>
      <c r="D59" s="235" t="s">
        <v>170</v>
      </c>
      <c r="E59" s="235" t="s">
        <v>171</v>
      </c>
      <c r="F59" s="242">
        <v>0.9</v>
      </c>
      <c r="G59" s="239" t="s">
        <v>152</v>
      </c>
      <c r="H59" s="240">
        <f t="shared" si="7"/>
        <v>0.9</v>
      </c>
      <c r="I59" s="216" t="str">
        <f t="shared" si="8"/>
        <v>VANESSA ESPINOZA ESPINOZAGESTIONTECNICO - ADMNISTRATIVOESTADISTICA MENSUAL COMPLETA (4 HRS × 12 VECES)</v>
      </c>
      <c r="J59" s="216"/>
    </row>
    <row r="60" ht="21.0" customHeight="1">
      <c r="A60" s="235" t="s">
        <v>226</v>
      </c>
      <c r="B60" s="235" t="s">
        <v>95</v>
      </c>
      <c r="C60" s="235" t="s">
        <v>20</v>
      </c>
      <c r="D60" s="235" t="s">
        <v>170</v>
      </c>
      <c r="E60" s="235" t="s">
        <v>173</v>
      </c>
      <c r="F60" s="242">
        <v>2.0</v>
      </c>
      <c r="G60" s="239" t="s">
        <v>152</v>
      </c>
      <c r="H60" s="240">
        <f t="shared" si="7"/>
        <v>2</v>
      </c>
      <c r="I60" s="216" t="str">
        <f t="shared" si="8"/>
        <v>SORAYA CRUCES DIAZGESTIONTECNICO - ADMNISTRATIVOESTADISTICA MENSUAL (1 DIA)</v>
      </c>
      <c r="J60" s="216"/>
    </row>
    <row r="61" ht="21.0" customHeight="1">
      <c r="A61" s="235" t="s">
        <v>227</v>
      </c>
      <c r="B61" s="235" t="s">
        <v>138</v>
      </c>
      <c r="C61" s="235" t="s">
        <v>20</v>
      </c>
      <c r="D61" s="235" t="s">
        <v>170</v>
      </c>
      <c r="E61" s="235" t="s">
        <v>173</v>
      </c>
      <c r="F61" s="242">
        <v>2.0</v>
      </c>
      <c r="G61" s="239" t="s">
        <v>152</v>
      </c>
      <c r="H61" s="240">
        <f t="shared" si="7"/>
        <v>2</v>
      </c>
      <c r="I61" s="216" t="str">
        <f t="shared" si="8"/>
        <v>PAULA ABARCA MORALESGESTIONTECNICO - ADMNISTRATIVOESTADISTICA MENSUAL (1 DIA)</v>
      </c>
      <c r="J61" s="216"/>
    </row>
    <row r="62" ht="21.0" customHeight="1">
      <c r="A62" s="235" t="s">
        <v>228</v>
      </c>
      <c r="B62" s="235" t="s">
        <v>133</v>
      </c>
      <c r="C62" s="235" t="s">
        <v>20</v>
      </c>
      <c r="D62" s="235" t="s">
        <v>170</v>
      </c>
      <c r="E62" s="235" t="s">
        <v>171</v>
      </c>
      <c r="F62" s="242">
        <v>0.9</v>
      </c>
      <c r="G62" s="239" t="s">
        <v>152</v>
      </c>
      <c r="H62" s="240">
        <f t="shared" si="7"/>
        <v>0.9</v>
      </c>
      <c r="I62" s="216" t="str">
        <f t="shared" si="8"/>
        <v>PAULINA DIAZ MEDINAGESTIONTECNICO - ADMNISTRATIVOESTADISTICA MENSUAL COMPLETA (4 HRS × 12 VECES)</v>
      </c>
      <c r="J62" s="216"/>
    </row>
    <row r="63" ht="21.0" customHeight="1">
      <c r="A63" s="235" t="s">
        <v>229</v>
      </c>
      <c r="B63" s="235" t="s">
        <v>107</v>
      </c>
      <c r="C63" s="235" t="s">
        <v>20</v>
      </c>
      <c r="D63" s="235" t="s">
        <v>170</v>
      </c>
      <c r="E63" s="235" t="s">
        <v>171</v>
      </c>
      <c r="F63" s="242">
        <v>0.9</v>
      </c>
      <c r="G63" s="239" t="s">
        <v>152</v>
      </c>
      <c r="H63" s="240">
        <f t="shared" si="7"/>
        <v>0.9</v>
      </c>
      <c r="I63" s="216" t="str">
        <f t="shared" si="8"/>
        <v>KARINA MONTANARESGESTIONTECNICO - ADMNISTRATIVOESTADISTICA MENSUAL COMPLETA (4 HRS × 12 VECES)</v>
      </c>
      <c r="J63" s="216"/>
    </row>
    <row r="64" ht="21.0" customHeight="1">
      <c r="A64" s="245" t="s">
        <v>230</v>
      </c>
      <c r="B64" s="235" t="s">
        <v>110</v>
      </c>
      <c r="C64" s="235" t="s">
        <v>20</v>
      </c>
      <c r="D64" s="235" t="s">
        <v>170</v>
      </c>
      <c r="E64" s="235" t="s">
        <v>173</v>
      </c>
      <c r="F64" s="242">
        <v>2.0</v>
      </c>
      <c r="G64" s="239" t="s">
        <v>152</v>
      </c>
      <c r="H64" s="240">
        <f t="shared" si="7"/>
        <v>2</v>
      </c>
      <c r="I64" s="216" t="str">
        <f t="shared" si="8"/>
        <v>DANIELA ROJAS GAMBOAGESTIONTECNICO - ADMNISTRATIVOESTADISTICA MENSUAL (1 DIA)</v>
      </c>
      <c r="J64" s="216"/>
    </row>
    <row r="65" ht="21.0" customHeight="1">
      <c r="A65" s="235" t="s">
        <v>231</v>
      </c>
      <c r="B65" s="235" t="s">
        <v>123</v>
      </c>
      <c r="C65" s="235" t="s">
        <v>20</v>
      </c>
      <c r="D65" s="235" t="s">
        <v>170</v>
      </c>
      <c r="E65" s="235" t="s">
        <v>173</v>
      </c>
      <c r="F65" s="242">
        <v>2.0</v>
      </c>
      <c r="G65" s="239" t="s">
        <v>152</v>
      </c>
      <c r="H65" s="240">
        <f t="shared" si="7"/>
        <v>2</v>
      </c>
      <c r="I65" s="216" t="str">
        <f t="shared" si="8"/>
        <v>ANGELA ZUÑIGA MUGAGESTIONTECNICO - ADMNISTRATIVOESTADISTICA MENSUAL (1 DIA)</v>
      </c>
      <c r="J65" s="216"/>
    </row>
    <row r="66" ht="21.0" customHeight="1">
      <c r="A66" s="212"/>
      <c r="B66" s="212"/>
      <c r="C66" s="212"/>
      <c r="D66" s="212"/>
      <c r="E66" s="212"/>
      <c r="F66" s="226"/>
      <c r="G66" s="248"/>
      <c r="H66" s="240">
        <f t="shared" si="7"/>
        <v>0</v>
      </c>
      <c r="I66" s="216" t="str">
        <f t="shared" si="8"/>
        <v/>
      </c>
      <c r="J66" s="216" t="str">
        <f t="array" ref="J66">IFERROR(IF(B66&lt;&gt;"",XLOOKUP(B66,FUNC!E:E,#REF!,"NO VIGENTE"),""),"")</f>
        <v/>
      </c>
    </row>
    <row r="67" ht="21.0" customHeight="1">
      <c r="A67" s="212"/>
      <c r="B67" s="212"/>
      <c r="C67" s="212"/>
      <c r="D67" s="212"/>
      <c r="E67" s="212"/>
      <c r="F67" s="226"/>
      <c r="G67" s="248"/>
      <c r="H67" s="240">
        <f t="shared" si="7"/>
        <v>0</v>
      </c>
      <c r="I67" s="216" t="str">
        <f t="shared" si="8"/>
        <v/>
      </c>
      <c r="J67" s="216" t="str">
        <f t="array" ref="J67">IFERROR(IF(B67&lt;&gt;"",XLOOKUP(B67,FUNC!E:E,#REF!,"NO VIGENTE"),""),"")</f>
        <v/>
      </c>
    </row>
    <row r="68" ht="21.0" customHeight="1">
      <c r="A68" s="212"/>
      <c r="B68" s="212"/>
      <c r="C68" s="212"/>
      <c r="D68" s="212"/>
      <c r="E68" s="212"/>
      <c r="F68" s="226"/>
      <c r="G68" s="248"/>
      <c r="H68" s="240">
        <f t="shared" si="7"/>
        <v>0</v>
      </c>
      <c r="I68" s="216" t="str">
        <f t="shared" si="8"/>
        <v/>
      </c>
      <c r="J68" s="216" t="str">
        <f t="array" ref="J68">IFERROR(IF(B68&lt;&gt;"",XLOOKUP(B68,FUNC!E:E,#REF!,"NO VIGENTE"),""),"")</f>
        <v/>
      </c>
    </row>
    <row r="69" ht="21.0" customHeight="1">
      <c r="A69" s="212"/>
      <c r="B69" s="212"/>
      <c r="C69" s="212"/>
      <c r="D69" s="212"/>
      <c r="E69" s="212"/>
      <c r="F69" s="226"/>
      <c r="G69" s="248"/>
      <c r="H69" s="240">
        <f t="shared" si="7"/>
        <v>0</v>
      </c>
      <c r="I69" s="216" t="str">
        <f t="shared" si="8"/>
        <v/>
      </c>
      <c r="J69" s="216" t="str">
        <f t="array" ref="J69">IFERROR(IF(B69&lt;&gt;"",XLOOKUP(B69,FUNC!E:E,#REF!,"NO VIGENTE"),""),"")</f>
        <v/>
      </c>
    </row>
    <row r="70" ht="21.0" customHeight="1">
      <c r="A70" s="212"/>
      <c r="B70" s="212"/>
      <c r="C70" s="212"/>
      <c r="D70" s="212"/>
      <c r="E70" s="212"/>
      <c r="F70" s="226"/>
      <c r="G70" s="248"/>
      <c r="H70" s="240">
        <f t="shared" si="7"/>
        <v>0</v>
      </c>
      <c r="I70" s="216" t="str">
        <f t="shared" si="8"/>
        <v/>
      </c>
      <c r="J70" s="216" t="str">
        <f t="array" ref="J70">IFERROR(IF(B70&lt;&gt;"",XLOOKUP(B70,FUNC!E:E,#REF!,"NO VIGENTE"),""),"")</f>
        <v/>
      </c>
    </row>
    <row r="71" ht="21.0" customHeight="1">
      <c r="A71" s="212"/>
      <c r="B71" s="212"/>
      <c r="C71" s="212"/>
      <c r="D71" s="212"/>
      <c r="E71" s="212"/>
      <c r="F71" s="226"/>
      <c r="G71" s="248"/>
      <c r="H71" s="240">
        <f t="shared" si="7"/>
        <v>0</v>
      </c>
      <c r="I71" s="216" t="str">
        <f t="shared" si="8"/>
        <v/>
      </c>
      <c r="J71" s="216" t="str">
        <f t="array" ref="J71">IFERROR(IF(B71&lt;&gt;"",XLOOKUP(B71,FUNC!E:E,#REF!,"NO VIGENTE"),""),"")</f>
        <v/>
      </c>
    </row>
    <row r="72" ht="21.0" customHeight="1">
      <c r="A72" s="212"/>
      <c r="B72" s="212"/>
      <c r="C72" s="212"/>
      <c r="D72" s="212"/>
      <c r="E72" s="212"/>
      <c r="F72" s="226"/>
      <c r="G72" s="248"/>
      <c r="H72" s="240">
        <f t="shared" si="7"/>
        <v>0</v>
      </c>
      <c r="I72" s="216" t="str">
        <f t="shared" si="8"/>
        <v/>
      </c>
      <c r="J72" s="216" t="str">
        <f t="array" ref="J72">IFERROR(IF(B72&lt;&gt;"",XLOOKUP(B72,FUNC!E:E,#REF!,"NO VIGENTE"),""),"")</f>
        <v/>
      </c>
    </row>
    <row r="73" ht="21.0" customHeight="1">
      <c r="A73" s="212"/>
      <c r="B73" s="212"/>
      <c r="C73" s="212"/>
      <c r="D73" s="212"/>
      <c r="E73" s="212"/>
      <c r="F73" s="226"/>
      <c r="G73" s="248"/>
      <c r="H73" s="240">
        <f t="shared" si="7"/>
        <v>0</v>
      </c>
      <c r="I73" s="216" t="str">
        <f t="shared" si="8"/>
        <v/>
      </c>
      <c r="J73" s="216" t="str">
        <f t="array" ref="J73">IFERROR(IF(B73&lt;&gt;"",XLOOKUP(B73,FUNC!E:E,#REF!,"NO VIGENTE"),""),"")</f>
        <v/>
      </c>
    </row>
    <row r="74" ht="21.0" customHeight="1">
      <c r="A74" s="212"/>
      <c r="B74" s="212"/>
      <c r="C74" s="212"/>
      <c r="D74" s="212"/>
      <c r="E74" s="212"/>
      <c r="F74" s="226"/>
      <c r="G74" s="248"/>
      <c r="H74" s="240">
        <f t="shared" si="7"/>
        <v>0</v>
      </c>
      <c r="I74" s="216" t="str">
        <f t="shared" si="8"/>
        <v/>
      </c>
      <c r="J74" s="216" t="str">
        <f t="array" ref="J74">IFERROR(IF(B74&lt;&gt;"",XLOOKUP(B74,FUNC!E:E,#REF!,"NO VIGENTE"),""),"")</f>
        <v/>
      </c>
    </row>
    <row r="75" ht="21.0" customHeight="1">
      <c r="A75" s="212"/>
      <c r="B75" s="212"/>
      <c r="C75" s="212"/>
      <c r="D75" s="212"/>
      <c r="E75" s="212"/>
      <c r="F75" s="226"/>
      <c r="G75" s="248"/>
      <c r="H75" s="240">
        <f t="shared" si="7"/>
        <v>0</v>
      </c>
      <c r="I75" s="216" t="str">
        <f t="shared" si="8"/>
        <v/>
      </c>
      <c r="J75" s="216" t="str">
        <f t="array" ref="J75">IFERROR(IF(B75&lt;&gt;"",XLOOKUP(B75,FUNC!E:E,#REF!,"NO VIGENTE"),""),"")</f>
        <v/>
      </c>
    </row>
    <row r="76" ht="21.0" customHeight="1">
      <c r="A76" s="212"/>
      <c r="B76" s="53"/>
      <c r="C76" s="212"/>
      <c r="D76" s="212"/>
      <c r="E76" s="212"/>
      <c r="F76" s="226"/>
      <c r="G76" s="248"/>
      <c r="H76" s="240">
        <f t="shared" si="7"/>
        <v>0</v>
      </c>
      <c r="I76" s="216" t="str">
        <f t="shared" si="8"/>
        <v/>
      </c>
      <c r="J76" s="216" t="str">
        <f t="array" ref="J76">IFERROR(IF(B76&lt;&gt;"",XLOOKUP(B76,FUNC!E:E,#REF!,"NO VIGENTE"),""),"")</f>
        <v/>
      </c>
    </row>
    <row r="77" ht="21.0" customHeight="1">
      <c r="A77" s="212"/>
      <c r="B77" s="212"/>
      <c r="C77" s="212"/>
      <c r="D77" s="212"/>
      <c r="E77" s="212"/>
      <c r="F77" s="226"/>
      <c r="G77" s="248"/>
      <c r="H77" s="240">
        <f t="shared" si="7"/>
        <v>0</v>
      </c>
      <c r="I77" s="216" t="str">
        <f t="shared" si="8"/>
        <v/>
      </c>
      <c r="J77" s="216" t="str">
        <f t="array" ref="J77">IFERROR(IF(B77&lt;&gt;"",XLOOKUP(B77,FUNC!E:E,#REF!,"NO VIGENTE"),""),"")</f>
        <v/>
      </c>
    </row>
    <row r="78" ht="21.0" customHeight="1">
      <c r="A78" s="212"/>
      <c r="B78" s="212"/>
      <c r="C78" s="212"/>
      <c r="D78" s="212"/>
      <c r="E78" s="212"/>
      <c r="F78" s="226"/>
      <c r="G78" s="248"/>
      <c r="H78" s="240">
        <f t="shared" si="7"/>
        <v>0</v>
      </c>
      <c r="I78" s="216" t="str">
        <f t="shared" si="8"/>
        <v/>
      </c>
      <c r="J78" s="216" t="str">
        <f t="array" ref="J78">IFERROR(IF(B78&lt;&gt;"",XLOOKUP(B78,FUNC!E:E,#REF!,"NO VIGENTE"),""),"")</f>
        <v/>
      </c>
    </row>
    <row r="79" ht="21.0" customHeight="1">
      <c r="A79" s="212"/>
      <c r="B79" s="249"/>
      <c r="C79" s="212"/>
      <c r="D79" s="212"/>
      <c r="E79" s="212"/>
      <c r="F79" s="226"/>
      <c r="G79" s="248"/>
      <c r="H79" s="240">
        <f t="shared" si="7"/>
        <v>0</v>
      </c>
      <c r="I79" s="216" t="str">
        <f t="shared" si="8"/>
        <v/>
      </c>
      <c r="J79" s="216" t="str">
        <f t="array" ref="J79">IFERROR(IF(B79&lt;&gt;"",XLOOKUP(B79,FUNC!E:E,#REF!,"NO VIGENTE"),""),"")</f>
        <v/>
      </c>
    </row>
    <row r="80" ht="21.0" customHeight="1">
      <c r="A80" s="212"/>
      <c r="B80" s="212"/>
      <c r="C80" s="212"/>
      <c r="D80" s="212"/>
      <c r="E80" s="212"/>
      <c r="F80" s="226"/>
      <c r="G80" s="248"/>
      <c r="H80" s="240">
        <f t="shared" si="7"/>
        <v>0</v>
      </c>
      <c r="I80" s="216" t="str">
        <f t="shared" si="8"/>
        <v/>
      </c>
      <c r="J80" s="216" t="str">
        <f t="array" ref="J80">IFERROR(IF(B80&lt;&gt;"",XLOOKUP(B80,FUNC!E:E,#REF!,"NO VIGENTE"),""),"")</f>
        <v/>
      </c>
    </row>
    <row r="81" ht="21.0" customHeight="1">
      <c r="A81" s="212"/>
      <c r="B81" s="212"/>
      <c r="C81" s="212"/>
      <c r="D81" s="212"/>
      <c r="E81" s="212"/>
      <c r="F81" s="226"/>
      <c r="G81" s="248"/>
      <c r="H81" s="240">
        <f t="shared" si="7"/>
        <v>0</v>
      </c>
      <c r="I81" s="216" t="str">
        <f t="shared" si="8"/>
        <v/>
      </c>
      <c r="J81" s="216" t="str">
        <f t="array" ref="J81">IFERROR(IF(B81&lt;&gt;"",XLOOKUP(B81,FUNC!E:E,#REF!,"NO VIGENTE"),""),"")</f>
        <v/>
      </c>
    </row>
    <row r="82" ht="21.0" customHeight="1">
      <c r="A82" s="212"/>
      <c r="B82" s="212"/>
      <c r="C82" s="212"/>
      <c r="D82" s="212"/>
      <c r="E82" s="212"/>
      <c r="F82" s="226"/>
      <c r="G82" s="248"/>
      <c r="H82" s="240">
        <f t="shared" si="7"/>
        <v>0</v>
      </c>
      <c r="I82" s="216" t="str">
        <f t="shared" si="8"/>
        <v/>
      </c>
      <c r="J82" s="216" t="str">
        <f t="array" ref="J82">IFERROR(IF(B82&lt;&gt;"",XLOOKUP(B82,FUNC!E:E,#REF!,"NO VIGENTE"),""),"")</f>
        <v/>
      </c>
    </row>
    <row r="83" ht="21.0" customHeight="1">
      <c r="A83" s="212"/>
      <c r="B83" s="212"/>
      <c r="C83" s="212"/>
      <c r="D83" s="212"/>
      <c r="E83" s="212"/>
      <c r="F83" s="226"/>
      <c r="G83" s="248"/>
      <c r="H83" s="240">
        <f t="shared" si="7"/>
        <v>0</v>
      </c>
      <c r="I83" s="216" t="str">
        <f t="shared" si="8"/>
        <v/>
      </c>
      <c r="J83" s="216" t="str">
        <f t="array" ref="J83">IFERROR(IF(B83&lt;&gt;"",XLOOKUP(B83,FUNC!E:E,#REF!,"NO VIGENTE"),""),"")</f>
        <v/>
      </c>
    </row>
    <row r="84" ht="21.0" customHeight="1">
      <c r="A84" s="212"/>
      <c r="B84" s="212"/>
      <c r="C84" s="212"/>
      <c r="D84" s="212"/>
      <c r="E84" s="212"/>
      <c r="F84" s="226"/>
      <c r="G84" s="248"/>
      <c r="H84" s="240">
        <f t="shared" si="7"/>
        <v>0</v>
      </c>
      <c r="I84" s="216" t="str">
        <f t="shared" si="8"/>
        <v/>
      </c>
      <c r="J84" s="216" t="str">
        <f t="array" ref="J84">IFERROR(IF(B84&lt;&gt;"",XLOOKUP(B84,FUNC!E:E,#REF!,"NO VIGENTE"),""),"")</f>
        <v/>
      </c>
    </row>
    <row r="85" ht="21.0" customHeight="1">
      <c r="A85" s="212"/>
      <c r="B85" s="212"/>
      <c r="C85" s="212"/>
      <c r="D85" s="212"/>
      <c r="E85" s="212"/>
      <c r="F85" s="226"/>
      <c r="G85" s="248"/>
      <c r="H85" s="240">
        <f t="shared" si="7"/>
        <v>0</v>
      </c>
      <c r="I85" s="216" t="str">
        <f t="shared" si="8"/>
        <v/>
      </c>
      <c r="J85" s="216" t="str">
        <f t="array" ref="J85">IFERROR(IF(B85&lt;&gt;"",XLOOKUP(B85,FUNC!E:E,#REF!,"NO VIGENTE"),""),"")</f>
        <v/>
      </c>
    </row>
    <row r="86" ht="21.0" customHeight="1">
      <c r="A86" s="212"/>
      <c r="B86" s="212"/>
      <c r="C86" s="212"/>
      <c r="D86" s="212"/>
      <c r="E86" s="212"/>
      <c r="F86" s="226"/>
      <c r="G86" s="248"/>
      <c r="H86" s="240">
        <f t="shared" si="7"/>
        <v>0</v>
      </c>
      <c r="I86" s="216" t="str">
        <f t="shared" si="8"/>
        <v/>
      </c>
      <c r="J86" s="216" t="str">
        <f t="array" ref="J86">IFERROR(IF(B86&lt;&gt;"",XLOOKUP(B86,FUNC!E:E,#REF!,"NO VIGENTE"),""),"")</f>
        <v/>
      </c>
    </row>
    <row r="87" ht="21.0" customHeight="1">
      <c r="A87" s="212"/>
      <c r="B87" s="212"/>
      <c r="C87" s="212"/>
      <c r="D87" s="212"/>
      <c r="E87" s="212"/>
      <c r="F87" s="226"/>
      <c r="G87" s="248"/>
      <c r="H87" s="240">
        <f t="shared" si="7"/>
        <v>0</v>
      </c>
      <c r="I87" s="216" t="str">
        <f t="shared" si="8"/>
        <v/>
      </c>
      <c r="J87" s="216" t="str">
        <f t="array" ref="J87">IFERROR(IF(B87&lt;&gt;"",XLOOKUP(B87,FUNC!E:E,#REF!,"NO VIGENTE"),""),"")</f>
        <v/>
      </c>
    </row>
    <row r="88" ht="21.0" customHeight="1">
      <c r="A88" s="212"/>
      <c r="B88" s="212"/>
      <c r="C88" s="212"/>
      <c r="D88" s="212"/>
      <c r="E88" s="212"/>
      <c r="F88" s="226"/>
      <c r="G88" s="248"/>
      <c r="H88" s="240">
        <f t="shared" si="7"/>
        <v>0</v>
      </c>
      <c r="I88" s="216" t="str">
        <f t="shared" si="8"/>
        <v/>
      </c>
      <c r="J88" s="216" t="str">
        <f t="array" ref="J88">IFERROR(IF(B88&lt;&gt;"",XLOOKUP(B88,FUNC!E:E,#REF!,"NO VIGENTE"),""),"")</f>
        <v/>
      </c>
    </row>
    <row r="89" ht="21.0" customHeight="1">
      <c r="A89" s="212"/>
      <c r="B89" s="212"/>
      <c r="C89" s="212"/>
      <c r="D89" s="212"/>
      <c r="E89" s="212"/>
      <c r="F89" s="226"/>
      <c r="G89" s="248"/>
      <c r="H89" s="240">
        <f t="shared" si="7"/>
        <v>0</v>
      </c>
      <c r="I89" s="216" t="str">
        <f t="shared" si="8"/>
        <v/>
      </c>
      <c r="J89" s="216" t="str">
        <f t="array" ref="J89">IFERROR(IF(B89&lt;&gt;"",XLOOKUP(B89,FUNC!E:E,#REF!,"NO VIGENTE"),""),"")</f>
        <v/>
      </c>
    </row>
    <row r="90" ht="21.0" customHeight="1">
      <c r="A90" s="212"/>
      <c r="B90" s="212"/>
      <c r="C90" s="212"/>
      <c r="D90" s="212"/>
      <c r="E90" s="212"/>
      <c r="F90" s="226"/>
      <c r="G90" s="248"/>
      <c r="H90" s="240">
        <f t="shared" si="7"/>
        <v>0</v>
      </c>
      <c r="I90" s="216" t="str">
        <f t="shared" si="8"/>
        <v/>
      </c>
      <c r="J90" s="216" t="str">
        <f t="array" ref="J90">IFERROR(IF(B90&lt;&gt;"",XLOOKUP(B90,FUNC!E:E,#REF!,"NO VIGENTE"),""),"")</f>
        <v/>
      </c>
    </row>
    <row r="91" ht="21.0" customHeight="1">
      <c r="A91" s="212"/>
      <c r="B91" s="212"/>
      <c r="C91" s="212"/>
      <c r="D91" s="212"/>
      <c r="E91" s="212"/>
      <c r="F91" s="226"/>
      <c r="G91" s="248"/>
      <c r="H91" s="240">
        <f t="shared" si="7"/>
        <v>0</v>
      </c>
      <c r="I91" s="216" t="str">
        <f t="shared" si="8"/>
        <v/>
      </c>
      <c r="J91" s="216" t="str">
        <f t="array" ref="J91">IFERROR(IF(B91&lt;&gt;"",XLOOKUP(B91,FUNC!E:E,#REF!,"NO VIGENTE"),""),"")</f>
        <v/>
      </c>
    </row>
    <row r="92" ht="21.0" customHeight="1">
      <c r="A92" s="212"/>
      <c r="B92" s="212"/>
      <c r="C92" s="212"/>
      <c r="D92" s="212"/>
      <c r="E92" s="212"/>
      <c r="F92" s="226"/>
      <c r="G92" s="248"/>
      <c r="H92" s="240">
        <f t="shared" si="7"/>
        <v>0</v>
      </c>
      <c r="I92" s="216" t="str">
        <f t="shared" si="8"/>
        <v/>
      </c>
      <c r="J92" s="216" t="str">
        <f t="array" ref="J92">IFERROR(IF(B92&lt;&gt;"",XLOOKUP(B92,FUNC!E:E,#REF!,"NO VIGENTE"),""),"")</f>
        <v/>
      </c>
    </row>
    <row r="93" ht="21.0" customHeight="1">
      <c r="A93" s="212"/>
      <c r="B93" s="212"/>
      <c r="C93" s="212"/>
      <c r="D93" s="212"/>
      <c r="E93" s="212"/>
      <c r="F93" s="226"/>
      <c r="G93" s="248"/>
      <c r="H93" s="240">
        <f t="shared" si="7"/>
        <v>0</v>
      </c>
      <c r="I93" s="216" t="str">
        <f t="shared" si="8"/>
        <v/>
      </c>
      <c r="J93" s="216" t="str">
        <f t="array" ref="J93">IFERROR(IF(B93&lt;&gt;"",XLOOKUP(B93,FUNC!E:E,#REF!,"NO VIGENTE"),""),"")</f>
        <v/>
      </c>
    </row>
    <row r="94" ht="21.0" customHeight="1">
      <c r="A94" s="212"/>
      <c r="B94" s="212"/>
      <c r="C94" s="212"/>
      <c r="D94" s="212"/>
      <c r="E94" s="212"/>
      <c r="F94" s="226"/>
      <c r="G94" s="248"/>
      <c r="H94" s="240">
        <f t="shared" si="7"/>
        <v>0</v>
      </c>
      <c r="I94" s="216" t="str">
        <f t="shared" si="8"/>
        <v/>
      </c>
      <c r="J94" s="216" t="str">
        <f t="array" ref="J94">IFERROR(IF(B94&lt;&gt;"",XLOOKUP(B94,FUNC!E:E,#REF!,"NO VIGENTE"),""),"")</f>
        <v/>
      </c>
    </row>
    <row r="95" ht="21.0" customHeight="1">
      <c r="A95" s="212"/>
      <c r="B95" s="212"/>
      <c r="C95" s="212"/>
      <c r="D95" s="212"/>
      <c r="E95" s="212"/>
      <c r="F95" s="226"/>
      <c r="G95" s="248"/>
      <c r="H95" s="240">
        <f t="shared" si="7"/>
        <v>0</v>
      </c>
      <c r="I95" s="216" t="str">
        <f t="shared" si="8"/>
        <v/>
      </c>
      <c r="J95" s="216" t="str">
        <f t="array" ref="J95">IFERROR(IF(B95&lt;&gt;"",XLOOKUP(B95,FUNC!E:E,#REF!,"NO VIGENTE"),""),"")</f>
        <v/>
      </c>
    </row>
    <row r="96" ht="21.0" customHeight="1">
      <c r="A96" s="212"/>
      <c r="B96" s="212"/>
      <c r="C96" s="212"/>
      <c r="D96" s="212"/>
      <c r="E96" s="212"/>
      <c r="F96" s="226"/>
      <c r="G96" s="248"/>
      <c r="H96" s="240">
        <f t="shared" si="7"/>
        <v>0</v>
      </c>
      <c r="I96" s="216" t="str">
        <f t="shared" si="8"/>
        <v/>
      </c>
      <c r="J96" s="216" t="str">
        <f t="array" ref="J96">IFERROR(IF(B96&lt;&gt;"",XLOOKUP(B96,FUNC!E:E,#REF!,"NO VIGENTE"),""),"")</f>
        <v/>
      </c>
    </row>
    <row r="97" ht="21.0" customHeight="1">
      <c r="A97" s="212"/>
      <c r="B97" s="212"/>
      <c r="C97" s="212"/>
      <c r="D97" s="212"/>
      <c r="E97" s="212"/>
      <c r="F97" s="226"/>
      <c r="G97" s="248"/>
      <c r="H97" s="240">
        <f t="shared" si="7"/>
        <v>0</v>
      </c>
      <c r="I97" s="216" t="str">
        <f t="shared" si="8"/>
        <v/>
      </c>
      <c r="J97" s="216" t="str">
        <f t="array" ref="J97">IFERROR(IF(B97&lt;&gt;"",XLOOKUP(B97,FUNC!E:E,#REF!,"NO VIGENTE"),""),"")</f>
        <v/>
      </c>
    </row>
    <row r="98" ht="21.0" customHeight="1">
      <c r="A98" s="212"/>
      <c r="B98" s="212"/>
      <c r="C98" s="212"/>
      <c r="D98" s="212"/>
      <c r="E98" s="212"/>
      <c r="F98" s="226"/>
      <c r="G98" s="248"/>
      <c r="H98" s="240">
        <f t="shared" si="7"/>
        <v>0</v>
      </c>
      <c r="I98" s="216" t="str">
        <f t="shared" si="8"/>
        <v/>
      </c>
      <c r="J98" s="216" t="str">
        <f t="array" ref="J98">IFERROR(IF(B98&lt;&gt;"",XLOOKUP(B98,FUNC!E:E,#REF!,"NO VIGENTE"),""),"")</f>
        <v/>
      </c>
    </row>
    <row r="99" ht="21.0" customHeight="1">
      <c r="A99" s="212"/>
      <c r="B99" s="212"/>
      <c r="C99" s="212"/>
      <c r="D99" s="212"/>
      <c r="E99" s="212"/>
      <c r="F99" s="226"/>
      <c r="G99" s="248"/>
      <c r="H99" s="240">
        <f t="shared" si="7"/>
        <v>0</v>
      </c>
      <c r="I99" s="216" t="str">
        <f t="shared" si="8"/>
        <v/>
      </c>
      <c r="J99" s="216" t="str">
        <f t="array" ref="J99">IFERROR(IF(B99&lt;&gt;"",XLOOKUP(B99,FUNC!E:E,#REF!,"NO VIGENTE"),""),"")</f>
        <v/>
      </c>
    </row>
    <row r="100" ht="21.0" customHeight="1">
      <c r="A100" s="212"/>
      <c r="B100" s="212"/>
      <c r="C100" s="212"/>
      <c r="D100" s="212"/>
      <c r="E100" s="212"/>
      <c r="F100" s="226"/>
      <c r="G100" s="248"/>
      <c r="H100" s="240">
        <f t="shared" si="7"/>
        <v>0</v>
      </c>
      <c r="I100" s="216" t="str">
        <f t="shared" si="8"/>
        <v/>
      </c>
      <c r="J100" s="216" t="str">
        <f t="array" ref="J100">IFERROR(IF(B100&lt;&gt;"",XLOOKUP(B100,FUNC!E:E,#REF!,"NO VIGENTE"),""),"")</f>
        <v/>
      </c>
    </row>
    <row r="101" ht="21.0" customHeight="1">
      <c r="A101" s="212"/>
      <c r="B101" s="212"/>
      <c r="C101" s="212"/>
      <c r="D101" s="212"/>
      <c r="E101" s="212"/>
      <c r="F101" s="226"/>
      <c r="G101" s="248"/>
      <c r="H101" s="240">
        <f t="shared" si="7"/>
        <v>0</v>
      </c>
      <c r="I101" s="216" t="str">
        <f t="shared" si="8"/>
        <v/>
      </c>
      <c r="J101" s="216" t="str">
        <f t="array" ref="J101">IFERROR(IF(B101&lt;&gt;"",XLOOKUP(B101,FUNC!E:E,#REF!,"NO VIGENTE"),""),"")</f>
        <v/>
      </c>
    </row>
    <row r="102" ht="21.0" customHeight="1">
      <c r="A102" s="212"/>
      <c r="B102" s="212"/>
      <c r="C102" s="212"/>
      <c r="D102" s="212"/>
      <c r="E102" s="212"/>
      <c r="F102" s="226"/>
      <c r="G102" s="248"/>
      <c r="H102" s="240">
        <f t="shared" si="7"/>
        <v>0</v>
      </c>
      <c r="I102" s="216" t="str">
        <f t="shared" si="8"/>
        <v/>
      </c>
      <c r="J102" s="216" t="str">
        <f t="array" ref="J102">IFERROR(IF(B102&lt;&gt;"",XLOOKUP(B102,FUNC!E:E,#REF!,"NO VIGENTE"),""),"")</f>
        <v/>
      </c>
    </row>
    <row r="103" ht="21.0" customHeight="1">
      <c r="A103" s="212"/>
      <c r="B103" s="212"/>
      <c r="C103" s="212"/>
      <c r="D103" s="212"/>
      <c r="E103" s="212"/>
      <c r="F103" s="226"/>
      <c r="G103" s="248"/>
      <c r="H103" s="240">
        <f t="shared" si="7"/>
        <v>0</v>
      </c>
      <c r="I103" s="216" t="str">
        <f t="shared" si="8"/>
        <v/>
      </c>
      <c r="J103" s="216" t="str">
        <f t="array" ref="J103">IFERROR(IF(B103&lt;&gt;"",XLOOKUP(B103,FUNC!E:E,#REF!,"NO VIGENTE"),""),"")</f>
        <v/>
      </c>
    </row>
    <row r="104" ht="21.0" customHeight="1">
      <c r="A104" s="212"/>
      <c r="B104" s="212"/>
      <c r="C104" s="212"/>
      <c r="D104" s="212"/>
      <c r="E104" s="212"/>
      <c r="F104" s="226"/>
      <c r="G104" s="248"/>
      <c r="H104" s="240">
        <f t="shared" si="7"/>
        <v>0</v>
      </c>
      <c r="I104" s="216" t="str">
        <f t="shared" si="8"/>
        <v/>
      </c>
      <c r="J104" s="216" t="str">
        <f t="array" ref="J104">IFERROR(IF(B104&lt;&gt;"",XLOOKUP(B104,FUNC!E:E,#REF!,"NO VIGENTE"),""),"")</f>
        <v/>
      </c>
    </row>
    <row r="105" ht="21.0" customHeight="1">
      <c r="A105" s="212"/>
      <c r="B105" s="212"/>
      <c r="C105" s="212"/>
      <c r="D105" s="212"/>
      <c r="E105" s="212"/>
      <c r="F105" s="226"/>
      <c r="G105" s="248"/>
      <c r="H105" s="240">
        <f t="shared" si="7"/>
        <v>0</v>
      </c>
      <c r="I105" s="216" t="str">
        <f t="shared" si="8"/>
        <v/>
      </c>
      <c r="J105" s="216" t="str">
        <f t="array" ref="J105">IFERROR(IF(B105&lt;&gt;"",XLOOKUP(B105,FUNC!E:E,#REF!,"NO VIGENTE"),""),"")</f>
        <v/>
      </c>
    </row>
    <row r="106" ht="21.0" customHeight="1">
      <c r="A106" s="212"/>
      <c r="B106" s="212"/>
      <c r="C106" s="212"/>
      <c r="D106" s="212"/>
      <c r="E106" s="212"/>
      <c r="F106" s="226"/>
      <c r="G106" s="248"/>
      <c r="H106" s="240">
        <f t="shared" si="7"/>
        <v>0</v>
      </c>
      <c r="I106" s="216" t="str">
        <f t="shared" si="8"/>
        <v/>
      </c>
      <c r="J106" s="216" t="str">
        <f t="array" ref="J106">IFERROR(IF(B106&lt;&gt;"",XLOOKUP(B106,FUNC!E:E,#REF!,"NO VIGENTE"),""),"")</f>
        <v/>
      </c>
    </row>
    <row r="107" ht="21.0" customHeight="1">
      <c r="A107" s="212"/>
      <c r="B107" s="212"/>
      <c r="C107" s="212"/>
      <c r="D107" s="212"/>
      <c r="E107" s="212"/>
      <c r="F107" s="226"/>
      <c r="G107" s="248"/>
      <c r="H107" s="240">
        <f t="shared" si="7"/>
        <v>0</v>
      </c>
      <c r="I107" s="216" t="str">
        <f t="shared" si="8"/>
        <v/>
      </c>
      <c r="J107" s="216" t="str">
        <f t="array" ref="J107">IFERROR(IF(B107&lt;&gt;"",XLOOKUP(B107,FUNC!E:E,#REF!,"NO VIGENTE"),""),"")</f>
        <v/>
      </c>
    </row>
    <row r="108" ht="21.0" customHeight="1">
      <c r="A108" s="212"/>
      <c r="B108" s="212"/>
      <c r="C108" s="212"/>
      <c r="D108" s="212"/>
      <c r="E108" s="212"/>
      <c r="F108" s="226"/>
      <c r="G108" s="248"/>
      <c r="H108" s="240">
        <f t="shared" si="7"/>
        <v>0</v>
      </c>
      <c r="I108" s="216" t="str">
        <f t="shared" si="8"/>
        <v/>
      </c>
      <c r="J108" s="216" t="str">
        <f t="array" ref="J108">IFERROR(IF(B108&lt;&gt;"",XLOOKUP(B108,FUNC!E:E,#REF!,"NO VIGENTE"),""),"")</f>
        <v/>
      </c>
    </row>
    <row r="109" ht="21.0" customHeight="1">
      <c r="A109" s="212"/>
      <c r="B109" s="212"/>
      <c r="C109" s="212"/>
      <c r="D109" s="212"/>
      <c r="E109" s="212"/>
      <c r="F109" s="226"/>
      <c r="G109" s="248"/>
      <c r="H109" s="240">
        <f t="shared" si="7"/>
        <v>0</v>
      </c>
      <c r="I109" s="216" t="str">
        <f t="shared" si="8"/>
        <v/>
      </c>
      <c r="J109" s="216" t="str">
        <f t="array" ref="J109">IFERROR(IF(B109&lt;&gt;"",XLOOKUP(B109,FUNC!E:E,#REF!,"NO VIGENTE"),""),"")</f>
        <v/>
      </c>
    </row>
    <row r="110" ht="21.0" customHeight="1">
      <c r="A110" s="212"/>
      <c r="B110" s="212"/>
      <c r="C110" s="212"/>
      <c r="D110" s="212"/>
      <c r="E110" s="212"/>
      <c r="F110" s="226"/>
      <c r="G110" s="248"/>
      <c r="H110" s="240">
        <f t="shared" si="7"/>
        <v>0</v>
      </c>
      <c r="I110" s="216" t="str">
        <f t="shared" si="8"/>
        <v/>
      </c>
      <c r="J110" s="216" t="str">
        <f t="array" ref="J110">IFERROR(IF(B110&lt;&gt;"",XLOOKUP(B110,FUNC!E:E,#REF!,"NO VIGENTE"),""),"")</f>
        <v/>
      </c>
    </row>
    <row r="111" ht="21.0" customHeight="1">
      <c r="A111" s="212"/>
      <c r="B111" s="212"/>
      <c r="C111" s="212"/>
      <c r="D111" s="212"/>
      <c r="E111" s="212"/>
      <c r="F111" s="226"/>
      <c r="G111" s="248"/>
      <c r="H111" s="240">
        <f t="shared" si="7"/>
        <v>0</v>
      </c>
      <c r="I111" s="216" t="str">
        <f t="shared" si="8"/>
        <v/>
      </c>
      <c r="J111" s="216" t="str">
        <f t="array" ref="J111">IFERROR(IF(B111&lt;&gt;"",XLOOKUP(B111,FUNC!E:E,#REF!,"NO VIGENTE"),""),"")</f>
        <v/>
      </c>
    </row>
    <row r="112" ht="21.0" customHeight="1">
      <c r="A112" s="212"/>
      <c r="B112" s="212"/>
      <c r="C112" s="212"/>
      <c r="D112" s="212"/>
      <c r="E112" s="212"/>
      <c r="F112" s="226"/>
      <c r="G112" s="248"/>
      <c r="H112" s="240">
        <f t="shared" si="7"/>
        <v>0</v>
      </c>
      <c r="I112" s="216" t="str">
        <f t="shared" si="8"/>
        <v/>
      </c>
      <c r="J112" s="216" t="str">
        <f t="array" ref="J112">IFERROR(IF(B112&lt;&gt;"",XLOOKUP(B112,FUNC!E:E,#REF!,"NO VIGENTE"),""),"")</f>
        <v/>
      </c>
    </row>
    <row r="113" ht="21.0" customHeight="1">
      <c r="A113" s="212"/>
      <c r="B113" s="212"/>
      <c r="C113" s="212"/>
      <c r="D113" s="212"/>
      <c r="E113" s="212"/>
      <c r="F113" s="226"/>
      <c r="G113" s="248"/>
      <c r="H113" s="240">
        <f t="shared" si="7"/>
        <v>0</v>
      </c>
      <c r="I113" s="216" t="str">
        <f t="shared" si="8"/>
        <v/>
      </c>
      <c r="J113" s="216" t="str">
        <f t="array" ref="J113">IFERROR(IF(B113&lt;&gt;"",XLOOKUP(B113,FUNC!E:E,#REF!,"NO VIGENTE"),""),"")</f>
        <v/>
      </c>
    </row>
    <row r="114" ht="21.0" customHeight="1">
      <c r="A114" s="212"/>
      <c r="B114" s="212"/>
      <c r="C114" s="212"/>
      <c r="D114" s="212"/>
      <c r="E114" s="212"/>
      <c r="F114" s="226"/>
      <c r="G114" s="248"/>
      <c r="H114" s="240">
        <f t="shared" si="7"/>
        <v>0</v>
      </c>
      <c r="I114" s="216" t="str">
        <f t="shared" si="8"/>
        <v/>
      </c>
      <c r="J114" s="216" t="str">
        <f t="array" ref="J114">IFERROR(IF(B114&lt;&gt;"",XLOOKUP(B114,FUNC!E:E,#REF!,"NO VIGENTE"),""),"")</f>
        <v/>
      </c>
    </row>
    <row r="115" ht="21.0" customHeight="1">
      <c r="A115" s="212"/>
      <c r="B115" s="212"/>
      <c r="C115" s="212"/>
      <c r="D115" s="212"/>
      <c r="E115" s="212"/>
      <c r="F115" s="226"/>
      <c r="G115" s="248"/>
      <c r="H115" s="240">
        <f t="shared" si="7"/>
        <v>0</v>
      </c>
      <c r="I115" s="216" t="str">
        <f t="shared" si="8"/>
        <v/>
      </c>
      <c r="J115" s="216" t="str">
        <f t="array" ref="J115">IFERROR(IF(B115&lt;&gt;"",XLOOKUP(B115,FUNC!E:E,#REF!,"NO VIGENTE"),""),"")</f>
        <v/>
      </c>
    </row>
    <row r="116" ht="21.0" customHeight="1">
      <c r="A116" s="212"/>
      <c r="B116" s="212"/>
      <c r="C116" s="212"/>
      <c r="D116" s="212"/>
      <c r="E116" s="212"/>
      <c r="F116" s="226"/>
      <c r="G116" s="248"/>
      <c r="H116" s="240">
        <f t="shared" si="7"/>
        <v>0</v>
      </c>
      <c r="I116" s="216" t="str">
        <f t="shared" si="8"/>
        <v/>
      </c>
      <c r="J116" s="216" t="str">
        <f t="array" ref="J116">IFERROR(IF(B116&lt;&gt;"",XLOOKUP(B116,FUNC!E:E,#REF!,"NO VIGENTE"),""),"")</f>
        <v/>
      </c>
    </row>
    <row r="117" ht="21.0" customHeight="1">
      <c r="A117" s="212"/>
      <c r="B117" s="212"/>
      <c r="C117" s="212"/>
      <c r="D117" s="212"/>
      <c r="E117" s="212"/>
      <c r="F117" s="226"/>
      <c r="G117" s="248"/>
      <c r="H117" s="240">
        <f t="shared" si="7"/>
        <v>0</v>
      </c>
      <c r="I117" s="216" t="str">
        <f t="shared" si="8"/>
        <v/>
      </c>
      <c r="J117" s="216" t="str">
        <f t="array" ref="J117">IFERROR(IF(B117&lt;&gt;"",XLOOKUP(B117,FUNC!E:E,#REF!,"NO VIGENTE"),""),"")</f>
        <v/>
      </c>
    </row>
    <row r="118" ht="21.0" customHeight="1">
      <c r="A118" s="212"/>
      <c r="B118" s="212"/>
      <c r="C118" s="212"/>
      <c r="D118" s="212"/>
      <c r="E118" s="212"/>
      <c r="F118" s="226"/>
      <c r="G118" s="248"/>
      <c r="H118" s="240">
        <f t="shared" si="7"/>
        <v>0</v>
      </c>
      <c r="I118" s="216" t="str">
        <f t="shared" si="8"/>
        <v/>
      </c>
      <c r="J118" s="216" t="str">
        <f t="array" ref="J118">IFERROR(IF(B118&lt;&gt;"",XLOOKUP(B118,FUNC!E:E,#REF!,"NO VIGENTE"),""),"")</f>
        <v/>
      </c>
    </row>
    <row r="119" ht="21.0" customHeight="1">
      <c r="A119" s="212"/>
      <c r="B119" s="212"/>
      <c r="C119" s="212"/>
      <c r="D119" s="212"/>
      <c r="E119" s="212"/>
      <c r="F119" s="226"/>
      <c r="G119" s="248"/>
      <c r="H119" s="240">
        <f t="shared" si="7"/>
        <v>0</v>
      </c>
      <c r="I119" s="216" t="str">
        <f t="shared" si="8"/>
        <v/>
      </c>
      <c r="J119" s="216" t="str">
        <f t="array" ref="J119">IFERROR(IF(B119&lt;&gt;"",XLOOKUP(B119,FUNC!E:E,#REF!,"NO VIGENTE"),""),"")</f>
        <v/>
      </c>
    </row>
    <row r="120" ht="21.0" customHeight="1">
      <c r="A120" s="212"/>
      <c r="B120" s="212"/>
      <c r="C120" s="212"/>
      <c r="D120" s="212"/>
      <c r="E120" s="212"/>
      <c r="F120" s="226"/>
      <c r="G120" s="248"/>
      <c r="H120" s="240">
        <f t="shared" si="7"/>
        <v>0</v>
      </c>
      <c r="I120" s="216" t="str">
        <f t="shared" si="8"/>
        <v/>
      </c>
      <c r="J120" s="216" t="str">
        <f t="array" ref="J120">IFERROR(IF(B120&lt;&gt;"",XLOOKUP(B120,FUNC!E:E,#REF!,"NO VIGENTE"),""),"")</f>
        <v/>
      </c>
    </row>
    <row r="121" ht="21.0" customHeight="1">
      <c r="A121" s="212"/>
      <c r="B121" s="212"/>
      <c r="C121" s="212"/>
      <c r="D121" s="212"/>
      <c r="E121" s="212"/>
      <c r="F121" s="226"/>
      <c r="G121" s="248"/>
      <c r="H121" s="240">
        <f t="shared" si="7"/>
        <v>0</v>
      </c>
      <c r="I121" s="216" t="str">
        <f t="shared" si="8"/>
        <v/>
      </c>
      <c r="J121" s="216" t="str">
        <f t="array" ref="J121">IFERROR(IF(B121&lt;&gt;"",XLOOKUP(B121,FUNC!E:E,#REF!,"NO VIGENTE"),""),"")</f>
        <v/>
      </c>
    </row>
    <row r="122" ht="21.0" customHeight="1">
      <c r="A122" s="212"/>
      <c r="B122" s="212"/>
      <c r="C122" s="212"/>
      <c r="D122" s="212"/>
      <c r="E122" s="212"/>
      <c r="F122" s="226"/>
      <c r="G122" s="248"/>
      <c r="H122" s="240">
        <f t="shared" si="7"/>
        <v>0</v>
      </c>
      <c r="I122" s="216" t="str">
        <f t="shared" si="8"/>
        <v/>
      </c>
      <c r="J122" s="216" t="str">
        <f t="array" ref="J122">IFERROR(IF(B122&lt;&gt;"",XLOOKUP(B122,FUNC!E:E,#REF!,"NO VIGENTE"),""),"")</f>
        <v/>
      </c>
    </row>
    <row r="123" ht="21.0" customHeight="1">
      <c r="A123" s="212"/>
      <c r="B123" s="212"/>
      <c r="C123" s="212"/>
      <c r="D123" s="212"/>
      <c r="E123" s="212"/>
      <c r="F123" s="226"/>
      <c r="G123" s="248"/>
      <c r="H123" s="240">
        <f t="shared" si="7"/>
        <v>0</v>
      </c>
      <c r="I123" s="216" t="str">
        <f t="shared" si="8"/>
        <v/>
      </c>
      <c r="J123" s="216" t="str">
        <f t="array" ref="J123">IFERROR(IF(B123&lt;&gt;"",XLOOKUP(B123,FUNC!E:E,#REF!,"NO VIGENTE"),""),"")</f>
        <v/>
      </c>
    </row>
    <row r="124" ht="21.0" customHeight="1">
      <c r="A124" s="212"/>
      <c r="B124" s="212"/>
      <c r="C124" s="212"/>
      <c r="D124" s="212"/>
      <c r="E124" s="212"/>
      <c r="F124" s="226"/>
      <c r="G124" s="248"/>
      <c r="H124" s="240">
        <f t="shared" si="7"/>
        <v>0</v>
      </c>
      <c r="I124" s="216" t="str">
        <f t="shared" si="8"/>
        <v/>
      </c>
      <c r="J124" s="216" t="str">
        <f t="array" ref="J124">IFERROR(IF(B124&lt;&gt;"",XLOOKUP(B124,FUNC!E:E,#REF!,"NO VIGENTE"),""),"")</f>
        <v/>
      </c>
    </row>
    <row r="125" ht="21.0" customHeight="1">
      <c r="A125" s="212"/>
      <c r="B125" s="212"/>
      <c r="C125" s="212"/>
      <c r="D125" s="212"/>
      <c r="E125" s="212"/>
      <c r="F125" s="226"/>
      <c r="G125" s="248"/>
      <c r="H125" s="240">
        <f t="shared" si="7"/>
        <v>0</v>
      </c>
      <c r="I125" s="216" t="str">
        <f t="shared" si="8"/>
        <v/>
      </c>
      <c r="J125" s="216" t="str">
        <f t="array" ref="J125">IFERROR(IF(B125&lt;&gt;"",XLOOKUP(B125,FUNC!E:E,#REF!,"NO VIGENTE"),""),"")</f>
        <v/>
      </c>
    </row>
    <row r="126" ht="21.0" customHeight="1">
      <c r="A126" s="212"/>
      <c r="B126" s="212"/>
      <c r="C126" s="212"/>
      <c r="D126" s="212"/>
      <c r="E126" s="212"/>
      <c r="F126" s="226"/>
      <c r="G126" s="248"/>
      <c r="H126" s="240">
        <f t="shared" si="7"/>
        <v>0</v>
      </c>
      <c r="I126" s="216" t="str">
        <f t="shared" si="8"/>
        <v/>
      </c>
      <c r="J126" s="216" t="str">
        <f t="array" ref="J126">IFERROR(IF(B126&lt;&gt;"",XLOOKUP(B126,FUNC!E:E,#REF!,"NO VIGENTE"),""),"")</f>
        <v/>
      </c>
    </row>
    <row r="127" ht="21.0" customHeight="1">
      <c r="A127" s="212"/>
      <c r="B127" s="212"/>
      <c r="C127" s="212"/>
      <c r="D127" s="212"/>
      <c r="E127" s="212"/>
      <c r="F127" s="226"/>
      <c r="G127" s="248"/>
      <c r="H127" s="240">
        <f t="shared" si="7"/>
        <v>0</v>
      </c>
      <c r="I127" s="216" t="str">
        <f t="shared" si="8"/>
        <v/>
      </c>
      <c r="J127" s="216" t="str">
        <f t="array" ref="J127">IFERROR(IF(B127&lt;&gt;"",XLOOKUP(B127,FUNC!E:E,#REF!,"NO VIGENTE"),""),"")</f>
        <v/>
      </c>
    </row>
    <row r="128" ht="21.0" customHeight="1">
      <c r="A128" s="212"/>
      <c r="B128" s="212"/>
      <c r="C128" s="212"/>
      <c r="D128" s="212"/>
      <c r="E128" s="212"/>
      <c r="F128" s="226"/>
      <c r="G128" s="248"/>
      <c r="H128" s="240">
        <f t="shared" si="7"/>
        <v>0</v>
      </c>
      <c r="I128" s="216" t="str">
        <f t="shared" si="8"/>
        <v/>
      </c>
      <c r="J128" s="216" t="str">
        <f t="array" ref="J128">IFERROR(IF(B128&lt;&gt;"",XLOOKUP(B128,FUNC!E:E,#REF!,"NO VIGENTE"),""),"")</f>
        <v/>
      </c>
    </row>
    <row r="129" ht="21.0" customHeight="1">
      <c r="A129" s="212"/>
      <c r="B129" s="212"/>
      <c r="C129" s="212"/>
      <c r="D129" s="212"/>
      <c r="E129" s="212"/>
      <c r="F129" s="226"/>
      <c r="G129" s="248"/>
      <c r="H129" s="240">
        <f t="shared" si="7"/>
        <v>0</v>
      </c>
      <c r="I129" s="216" t="str">
        <f t="shared" si="8"/>
        <v/>
      </c>
      <c r="J129" s="216" t="str">
        <f t="array" ref="J129">IFERROR(IF(B129&lt;&gt;"",XLOOKUP(B129,FUNC!E:E,#REF!,"NO VIGENTE"),""),"")</f>
        <v/>
      </c>
    </row>
    <row r="130" ht="21.0" customHeight="1">
      <c r="A130" s="212"/>
      <c r="B130" s="212"/>
      <c r="C130" s="212"/>
      <c r="D130" s="212"/>
      <c r="E130" s="212"/>
      <c r="F130" s="226"/>
      <c r="G130" s="248"/>
      <c r="H130" s="240">
        <f t="shared" si="7"/>
        <v>0</v>
      </c>
      <c r="I130" s="216" t="str">
        <f t="shared" si="8"/>
        <v/>
      </c>
      <c r="J130" s="216" t="str">
        <f t="array" ref="J130">IFERROR(IF(B130&lt;&gt;"",XLOOKUP(B130,FUNC!E:E,#REF!,"NO VIGENTE"),""),"")</f>
        <v/>
      </c>
    </row>
    <row r="131" ht="21.0" customHeight="1">
      <c r="A131" s="212"/>
      <c r="B131" s="212"/>
      <c r="C131" s="212"/>
      <c r="D131" s="212"/>
      <c r="E131" s="212"/>
      <c r="F131" s="226"/>
      <c r="G131" s="248"/>
      <c r="H131" s="240">
        <f t="shared" si="7"/>
        <v>0</v>
      </c>
      <c r="I131" s="216" t="str">
        <f t="shared" si="8"/>
        <v/>
      </c>
      <c r="J131" s="216" t="str">
        <f t="array" ref="J131">IFERROR(IF(B131&lt;&gt;"",XLOOKUP(B131,FUNC!E:E,#REF!,"NO VIGENTE"),""),"")</f>
        <v/>
      </c>
    </row>
    <row r="132" ht="21.0" customHeight="1">
      <c r="A132" s="212"/>
      <c r="B132" s="212"/>
      <c r="C132" s="212"/>
      <c r="D132" s="212"/>
      <c r="E132" s="212"/>
      <c r="F132" s="226"/>
      <c r="G132" s="248"/>
      <c r="H132" s="240">
        <f t="shared" si="7"/>
        <v>0</v>
      </c>
      <c r="I132" s="216" t="str">
        <f t="shared" si="8"/>
        <v/>
      </c>
      <c r="J132" s="216" t="str">
        <f t="array" ref="J132">IFERROR(IF(B132&lt;&gt;"",XLOOKUP(B132,FUNC!E:E,#REF!,"NO VIGENTE"),""),"")</f>
        <v/>
      </c>
    </row>
    <row r="133" ht="21.0" customHeight="1">
      <c r="A133" s="212"/>
      <c r="B133" s="212"/>
      <c r="C133" s="212"/>
      <c r="D133" s="212"/>
      <c r="E133" s="212"/>
      <c r="F133" s="226"/>
      <c r="G133" s="248"/>
      <c r="H133" s="240">
        <f t="shared" si="7"/>
        <v>0</v>
      </c>
      <c r="I133" s="216" t="str">
        <f t="shared" si="8"/>
        <v/>
      </c>
      <c r="J133" s="216" t="str">
        <f t="array" ref="J133">IFERROR(IF(B133&lt;&gt;"",XLOOKUP(B133,FUNC!E:E,#REF!,"NO VIGENTE"),""),"")</f>
        <v/>
      </c>
    </row>
    <row r="134" ht="21.0" customHeight="1">
      <c r="A134" s="212"/>
      <c r="B134" s="212"/>
      <c r="C134" s="212"/>
      <c r="D134" s="212"/>
      <c r="E134" s="212"/>
      <c r="F134" s="226"/>
      <c r="G134" s="248"/>
      <c r="H134" s="240">
        <f t="shared" si="7"/>
        <v>0</v>
      </c>
      <c r="I134" s="216" t="str">
        <f t="shared" si="8"/>
        <v/>
      </c>
      <c r="J134" s="216" t="str">
        <f t="array" ref="J134">IFERROR(IF(B134&lt;&gt;"",XLOOKUP(B134,FUNC!E:E,#REF!,"NO VIGENTE"),""),"")</f>
        <v/>
      </c>
    </row>
    <row r="135" ht="21.0" customHeight="1">
      <c r="A135" s="212"/>
      <c r="B135" s="212"/>
      <c r="C135" s="212"/>
      <c r="D135" s="212"/>
      <c r="E135" s="212"/>
      <c r="F135" s="226"/>
      <c r="G135" s="248"/>
      <c r="H135" s="240">
        <f t="shared" si="7"/>
        <v>0</v>
      </c>
      <c r="I135" s="216" t="str">
        <f t="shared" si="8"/>
        <v/>
      </c>
      <c r="J135" s="216" t="str">
        <f t="array" ref="J135">IFERROR(IF(B135&lt;&gt;"",XLOOKUP(B135,FUNC!E:E,#REF!,"NO VIGENTE"),""),"")</f>
        <v/>
      </c>
    </row>
    <row r="136" ht="21.0" customHeight="1">
      <c r="A136" s="212"/>
      <c r="B136" s="212"/>
      <c r="C136" s="212"/>
      <c r="D136" s="212"/>
      <c r="E136" s="212"/>
      <c r="F136" s="226"/>
      <c r="G136" s="248"/>
      <c r="H136" s="240">
        <f t="shared" si="7"/>
        <v>0</v>
      </c>
      <c r="I136" s="216" t="str">
        <f t="shared" si="8"/>
        <v/>
      </c>
      <c r="J136" s="216" t="str">
        <f t="array" ref="J136">IFERROR(IF(B136&lt;&gt;"",XLOOKUP(B136,FUNC!E:E,#REF!,"NO VIGENTE"),""),"")</f>
        <v/>
      </c>
    </row>
    <row r="137" ht="21.0" customHeight="1">
      <c r="A137" s="212"/>
      <c r="B137" s="212"/>
      <c r="C137" s="212"/>
      <c r="D137" s="212"/>
      <c r="E137" s="212"/>
      <c r="F137" s="226"/>
      <c r="G137" s="248"/>
      <c r="H137" s="240">
        <f t="shared" si="7"/>
        <v>0</v>
      </c>
      <c r="I137" s="216" t="str">
        <f t="shared" si="8"/>
        <v/>
      </c>
      <c r="J137" s="216" t="str">
        <f t="array" ref="J137">IFERROR(IF(B137&lt;&gt;"",XLOOKUP(B137,FUNC!E:E,#REF!,"NO VIGENTE"),""),"")</f>
        <v/>
      </c>
    </row>
    <row r="138" ht="21.0" customHeight="1">
      <c r="A138" s="212"/>
      <c r="B138" s="212"/>
      <c r="C138" s="212"/>
      <c r="D138" s="212"/>
      <c r="E138" s="212"/>
      <c r="F138" s="226"/>
      <c r="G138" s="248"/>
      <c r="H138" s="240">
        <f t="shared" si="7"/>
        <v>0</v>
      </c>
      <c r="I138" s="216" t="str">
        <f t="shared" si="8"/>
        <v/>
      </c>
      <c r="J138" s="216" t="str">
        <f t="array" ref="J138">IFERROR(IF(B138&lt;&gt;"",XLOOKUP(B138,FUNC!E:E,#REF!,"NO VIGENTE"),""),"")</f>
        <v/>
      </c>
    </row>
    <row r="139" ht="21.0" customHeight="1">
      <c r="A139" s="212"/>
      <c r="B139" s="212"/>
      <c r="C139" s="212"/>
      <c r="D139" s="212"/>
      <c r="E139" s="212"/>
      <c r="F139" s="226"/>
      <c r="G139" s="248"/>
      <c r="H139" s="240">
        <f t="shared" si="7"/>
        <v>0</v>
      </c>
      <c r="I139" s="216" t="str">
        <f t="shared" si="8"/>
        <v/>
      </c>
      <c r="J139" s="216" t="str">
        <f t="array" ref="J139">IFERROR(IF(B139&lt;&gt;"",XLOOKUP(B139,FUNC!E:E,#REF!,"NO VIGENTE"),""),"")</f>
        <v/>
      </c>
    </row>
    <row r="140" ht="21.0" customHeight="1">
      <c r="A140" s="212"/>
      <c r="B140" s="212"/>
      <c r="C140" s="212"/>
      <c r="D140" s="212"/>
      <c r="E140" s="212"/>
      <c r="F140" s="226"/>
      <c r="G140" s="248"/>
      <c r="H140" s="240">
        <f t="shared" si="7"/>
        <v>0</v>
      </c>
      <c r="I140" s="216" t="str">
        <f t="shared" si="8"/>
        <v/>
      </c>
      <c r="J140" s="216" t="str">
        <f t="array" ref="J140">IFERROR(IF(B140&lt;&gt;"",XLOOKUP(B140,FUNC!E:E,#REF!,"NO VIGENTE"),""),"")</f>
        <v/>
      </c>
    </row>
    <row r="141" ht="21.0" customHeight="1">
      <c r="A141" s="212"/>
      <c r="B141" s="212"/>
      <c r="C141" s="212"/>
      <c r="D141" s="212"/>
      <c r="E141" s="212"/>
      <c r="F141" s="226"/>
      <c r="G141" s="248"/>
      <c r="H141" s="240">
        <f t="shared" si="7"/>
        <v>0</v>
      </c>
      <c r="I141" s="216" t="str">
        <f t="shared" si="8"/>
        <v/>
      </c>
      <c r="J141" s="216" t="str">
        <f t="array" ref="J141">IFERROR(IF(B141&lt;&gt;"",XLOOKUP(B141,FUNC!E:E,#REF!,"NO VIGENTE"),""),"")</f>
        <v/>
      </c>
    </row>
    <row r="142" ht="21.0" customHeight="1">
      <c r="A142" s="212"/>
      <c r="B142" s="212"/>
      <c r="C142" s="212"/>
      <c r="D142" s="212"/>
      <c r="E142" s="212"/>
      <c r="F142" s="226"/>
      <c r="G142" s="248"/>
      <c r="H142" s="240">
        <f t="shared" si="7"/>
        <v>0</v>
      </c>
      <c r="I142" s="216" t="str">
        <f t="shared" si="8"/>
        <v/>
      </c>
      <c r="J142" s="216" t="str">
        <f t="array" ref="J142">IFERROR(IF(B142&lt;&gt;"",XLOOKUP(B142,FUNC!E:E,#REF!,"NO VIGENTE"),""),"")</f>
        <v/>
      </c>
    </row>
    <row r="143" ht="21.0" customHeight="1">
      <c r="A143" s="212"/>
      <c r="B143" s="212"/>
      <c r="C143" s="212"/>
      <c r="D143" s="212"/>
      <c r="E143" s="212"/>
      <c r="F143" s="226"/>
      <c r="G143" s="248"/>
      <c r="H143" s="240">
        <f t="shared" si="7"/>
        <v>0</v>
      </c>
      <c r="I143" s="216" t="str">
        <f t="shared" si="8"/>
        <v/>
      </c>
      <c r="J143" s="216" t="str">
        <f t="array" ref="J143">IFERROR(IF(B143&lt;&gt;"",XLOOKUP(B143,FUNC!E:E,#REF!,"NO VIGENTE"),""),"")</f>
        <v/>
      </c>
    </row>
    <row r="144" ht="21.0" customHeight="1">
      <c r="A144" s="212"/>
      <c r="B144" s="212"/>
      <c r="C144" s="212"/>
      <c r="D144" s="212"/>
      <c r="E144" s="212"/>
      <c r="F144" s="226"/>
      <c r="G144" s="248"/>
      <c r="H144" s="240">
        <f t="shared" si="7"/>
        <v>0</v>
      </c>
      <c r="I144" s="216" t="str">
        <f t="shared" si="8"/>
        <v/>
      </c>
      <c r="J144" s="216" t="str">
        <f t="array" ref="J144">IFERROR(IF(B144&lt;&gt;"",XLOOKUP(B144,FUNC!E:E,#REF!,"NO VIGENTE"),""),"")</f>
        <v/>
      </c>
    </row>
    <row r="145" ht="21.0" customHeight="1">
      <c r="A145" s="212"/>
      <c r="B145" s="212"/>
      <c r="C145" s="212"/>
      <c r="D145" s="212"/>
      <c r="E145" s="212"/>
      <c r="F145" s="226"/>
      <c r="G145" s="248"/>
      <c r="H145" s="240">
        <f t="shared" si="7"/>
        <v>0</v>
      </c>
      <c r="I145" s="216" t="str">
        <f t="shared" si="8"/>
        <v/>
      </c>
      <c r="J145" s="216" t="str">
        <f t="array" ref="J145">IFERROR(IF(B145&lt;&gt;"",XLOOKUP(B145,FUNC!E:E,#REF!,"NO VIGENTE"),""),"")</f>
        <v/>
      </c>
    </row>
    <row r="146" ht="21.0" customHeight="1">
      <c r="A146" s="212"/>
      <c r="B146" s="212"/>
      <c r="C146" s="212"/>
      <c r="D146" s="212"/>
      <c r="E146" s="212"/>
      <c r="F146" s="226"/>
      <c r="G146" s="248"/>
      <c r="H146" s="240">
        <f t="shared" si="7"/>
        <v>0</v>
      </c>
      <c r="I146" s="216" t="str">
        <f t="shared" si="8"/>
        <v/>
      </c>
      <c r="J146" s="216" t="str">
        <f t="array" ref="J146">IFERROR(IF(B146&lt;&gt;"",XLOOKUP(B146,FUNC!E:E,#REF!,"NO VIGENTE"),""),"")</f>
        <v/>
      </c>
    </row>
    <row r="147" ht="21.0" customHeight="1">
      <c r="A147" s="212"/>
      <c r="B147" s="212"/>
      <c r="C147" s="212"/>
      <c r="D147" s="212"/>
      <c r="E147" s="212"/>
      <c r="F147" s="226"/>
      <c r="G147" s="248"/>
      <c r="H147" s="240">
        <f t="shared" si="7"/>
        <v>0</v>
      </c>
      <c r="I147" s="216" t="str">
        <f t="shared" si="8"/>
        <v/>
      </c>
      <c r="J147" s="216" t="str">
        <f t="array" ref="J147">IFERROR(IF(B147&lt;&gt;"",XLOOKUP(B147,FUNC!E:E,#REF!,"NO VIGENTE"),""),"")</f>
        <v/>
      </c>
    </row>
    <row r="148" ht="21.0" customHeight="1">
      <c r="A148" s="212"/>
      <c r="B148" s="212"/>
      <c r="C148" s="212"/>
      <c r="D148" s="212"/>
      <c r="E148" s="212"/>
      <c r="F148" s="226"/>
      <c r="G148" s="248"/>
      <c r="H148" s="240">
        <f t="shared" si="7"/>
        <v>0</v>
      </c>
      <c r="I148" s="216" t="str">
        <f t="shared" si="8"/>
        <v/>
      </c>
      <c r="J148" s="216" t="str">
        <f t="array" ref="J148">IFERROR(IF(B148&lt;&gt;"",XLOOKUP(B148,FUNC!E:E,#REF!,"NO VIGENTE"),""),"")</f>
        <v/>
      </c>
    </row>
    <row r="149" ht="21.0" customHeight="1">
      <c r="A149" s="212"/>
      <c r="B149" s="212"/>
      <c r="C149" s="212"/>
      <c r="D149" s="212"/>
      <c r="E149" s="212"/>
      <c r="F149" s="226"/>
      <c r="G149" s="248"/>
      <c r="H149" s="240">
        <f t="shared" si="7"/>
        <v>0</v>
      </c>
      <c r="I149" s="216" t="str">
        <f t="shared" si="8"/>
        <v/>
      </c>
      <c r="J149" s="216" t="str">
        <f t="array" ref="J149">IFERROR(IF(B149&lt;&gt;"",XLOOKUP(B149,FUNC!E:E,#REF!,"NO VIGENTE"),""),"")</f>
        <v/>
      </c>
    </row>
    <row r="150" ht="21.0" customHeight="1">
      <c r="A150" s="53"/>
      <c r="B150" s="53"/>
      <c r="C150" s="53"/>
      <c r="D150" s="53"/>
      <c r="E150" s="53"/>
      <c r="F150" s="250"/>
      <c r="G150" s="251"/>
      <c r="H150" s="240">
        <f t="shared" si="7"/>
        <v>0</v>
      </c>
      <c r="I150" s="216" t="str">
        <f t="shared" si="8"/>
        <v/>
      </c>
      <c r="J150" s="216" t="str">
        <f t="array" ref="J150">IFERROR(IF(B150&lt;&gt;"",XLOOKUP(B150,FUNC!E:E,#REF!,"NO VIGENTE"),""),"")</f>
        <v/>
      </c>
    </row>
    <row r="151" ht="21.0" customHeight="1">
      <c r="A151" s="53"/>
      <c r="B151" s="53"/>
      <c r="C151" s="53"/>
      <c r="D151" s="53"/>
      <c r="E151" s="53"/>
      <c r="F151" s="250"/>
      <c r="G151" s="251"/>
      <c r="H151" s="240">
        <f t="shared" si="7"/>
        <v>0</v>
      </c>
      <c r="I151" s="216" t="str">
        <f t="shared" si="8"/>
        <v/>
      </c>
      <c r="J151" s="216" t="str">
        <f t="array" ref="J151">IFERROR(IF(B151&lt;&gt;"",XLOOKUP(B151,FUNC!E:E,#REF!,"NO VIGENTE"),""),"")</f>
        <v/>
      </c>
    </row>
    <row r="152" ht="21.0" customHeight="1">
      <c r="A152" s="53"/>
      <c r="B152" s="53"/>
      <c r="C152" s="53"/>
      <c r="D152" s="53"/>
      <c r="E152" s="53"/>
      <c r="F152" s="250"/>
      <c r="G152" s="251"/>
      <c r="H152" s="240">
        <f t="shared" si="7"/>
        <v>0</v>
      </c>
      <c r="I152" s="216" t="str">
        <f t="shared" si="8"/>
        <v/>
      </c>
      <c r="J152" s="216" t="str">
        <f t="array" ref="J152">IFERROR(IF(B152&lt;&gt;"",XLOOKUP(B152,FUNC!E:E,#REF!,"NO VIGENTE"),""),"")</f>
        <v/>
      </c>
    </row>
    <row r="153" ht="21.0" customHeight="1">
      <c r="A153" s="53"/>
      <c r="B153" s="53"/>
      <c r="C153" s="53"/>
      <c r="D153" s="53"/>
      <c r="E153" s="53"/>
      <c r="F153" s="250"/>
      <c r="G153" s="251"/>
      <c r="H153" s="240">
        <f t="shared" si="7"/>
        <v>0</v>
      </c>
      <c r="I153" s="216" t="str">
        <f t="shared" si="8"/>
        <v/>
      </c>
      <c r="J153" s="216" t="str">
        <f t="array" ref="J153">IFERROR(IF(B153&lt;&gt;"",XLOOKUP(B153,FUNC!E:E,#REF!,"NO VIGENTE"),""),"")</f>
        <v/>
      </c>
    </row>
    <row r="154" ht="21.0" customHeight="1">
      <c r="A154" s="53"/>
      <c r="B154" s="53"/>
      <c r="C154" s="53"/>
      <c r="D154" s="53"/>
      <c r="E154" s="53"/>
      <c r="F154" s="250"/>
      <c r="G154" s="251"/>
      <c r="H154" s="240">
        <f t="shared" si="7"/>
        <v>0</v>
      </c>
      <c r="I154" s="216" t="str">
        <f t="shared" si="8"/>
        <v/>
      </c>
      <c r="J154" s="216" t="str">
        <f t="array" ref="J154">IFERROR(IF(B154&lt;&gt;"",XLOOKUP(B154,FUNC!E:E,#REF!,"NO VIGENTE"),""),"")</f>
        <v/>
      </c>
    </row>
    <row r="155" ht="21.0" customHeight="1">
      <c r="A155" s="53"/>
      <c r="B155" s="53"/>
      <c r="C155" s="53"/>
      <c r="D155" s="53"/>
      <c r="E155" s="53"/>
      <c r="F155" s="250"/>
      <c r="G155" s="251"/>
      <c r="H155" s="240">
        <f t="shared" si="7"/>
        <v>0</v>
      </c>
      <c r="I155" s="216" t="str">
        <f t="shared" si="8"/>
        <v/>
      </c>
      <c r="J155" s="216" t="str">
        <f t="array" ref="J155">IFERROR(IF(B155&lt;&gt;"",XLOOKUP(B155,FUNC!E:E,#REF!,"NO VIGENTE"),""),"")</f>
        <v/>
      </c>
    </row>
    <row r="156" ht="21.0" customHeight="1">
      <c r="A156" s="53"/>
      <c r="B156" s="53"/>
      <c r="C156" s="53"/>
      <c r="D156" s="53"/>
      <c r="E156" s="53"/>
      <c r="F156" s="250"/>
      <c r="G156" s="251"/>
      <c r="H156" s="240">
        <f t="shared" si="7"/>
        <v>0</v>
      </c>
      <c r="I156" s="216" t="str">
        <f t="shared" si="8"/>
        <v/>
      </c>
      <c r="J156" s="216" t="str">
        <f t="array" ref="J156">IFERROR(IF(B156&lt;&gt;"",XLOOKUP(B156,FUNC!E:E,#REF!,"NO VIGENTE"),""),"")</f>
        <v/>
      </c>
    </row>
    <row r="157" ht="21.0" customHeight="1">
      <c r="A157" s="53"/>
      <c r="B157" s="53"/>
      <c r="C157" s="53"/>
      <c r="D157" s="53"/>
      <c r="E157" s="53"/>
      <c r="F157" s="250"/>
      <c r="G157" s="251"/>
      <c r="H157" s="240">
        <f t="shared" si="7"/>
        <v>0</v>
      </c>
      <c r="I157" s="216" t="str">
        <f t="shared" si="8"/>
        <v/>
      </c>
      <c r="J157" s="216" t="str">
        <f t="array" ref="J157">IFERROR(IF(B157&lt;&gt;"",XLOOKUP(B157,FUNC!E:E,#REF!,"NO VIGENTE"),""),"")</f>
        <v/>
      </c>
    </row>
    <row r="158" ht="21.0" customHeight="1">
      <c r="A158" s="53"/>
      <c r="B158" s="53"/>
      <c r="C158" s="53"/>
      <c r="D158" s="53"/>
      <c r="E158" s="53"/>
      <c r="F158" s="250"/>
      <c r="G158" s="251"/>
      <c r="H158" s="240">
        <f t="shared" si="7"/>
        <v>0</v>
      </c>
      <c r="I158" s="216" t="str">
        <f t="shared" si="8"/>
        <v/>
      </c>
      <c r="J158" s="216" t="str">
        <f t="array" ref="J158">IFERROR(IF(B158&lt;&gt;"",XLOOKUP(B158,FUNC!E:E,#REF!,"NO VIGENTE"),""),"")</f>
        <v/>
      </c>
    </row>
    <row r="159" ht="21.0" customHeight="1">
      <c r="A159" s="53"/>
      <c r="B159" s="53"/>
      <c r="C159" s="53"/>
      <c r="D159" s="53"/>
      <c r="E159" s="53"/>
      <c r="F159" s="250"/>
      <c r="G159" s="251"/>
      <c r="H159" s="240">
        <f t="shared" si="7"/>
        <v>0</v>
      </c>
      <c r="I159" s="216" t="str">
        <f t="shared" si="8"/>
        <v/>
      </c>
      <c r="J159" s="216" t="str">
        <f t="array" ref="J159">IFERROR(IF(B159&lt;&gt;"",XLOOKUP(B159,FUNC!E:E,#REF!,"NO VIGENTE"),""),"")</f>
        <v/>
      </c>
    </row>
    <row r="160" ht="21.0" customHeight="1">
      <c r="A160" s="53"/>
      <c r="B160" s="53"/>
      <c r="C160" s="53"/>
      <c r="D160" s="53"/>
      <c r="E160" s="53"/>
      <c r="F160" s="250"/>
      <c r="G160" s="251"/>
      <c r="H160" s="240">
        <f t="shared" si="7"/>
        <v>0</v>
      </c>
      <c r="I160" s="216" t="str">
        <f t="shared" si="8"/>
        <v/>
      </c>
      <c r="J160" s="216" t="str">
        <f t="array" ref="J160">IFERROR(IF(B160&lt;&gt;"",XLOOKUP(B160,FUNC!E:E,#REF!,"NO VIGENTE"),""),"")</f>
        <v/>
      </c>
    </row>
    <row r="161" ht="21.0" customHeight="1">
      <c r="A161" s="53"/>
      <c r="B161" s="53"/>
      <c r="C161" s="53"/>
      <c r="D161" s="53"/>
      <c r="E161" s="53"/>
      <c r="F161" s="250"/>
      <c r="G161" s="251"/>
      <c r="H161" s="240">
        <f t="shared" si="7"/>
        <v>0</v>
      </c>
      <c r="I161" s="216" t="str">
        <f t="shared" si="8"/>
        <v/>
      </c>
      <c r="J161" s="216" t="str">
        <f t="array" ref="J161">IFERROR(IF(B161&lt;&gt;"",XLOOKUP(B161,FUNC!E:E,#REF!,"NO VIGENTE"),""),"")</f>
        <v/>
      </c>
    </row>
    <row r="162" ht="21.0" customHeight="1">
      <c r="A162" s="53"/>
      <c r="B162" s="53"/>
      <c r="C162" s="53"/>
      <c r="D162" s="53"/>
      <c r="E162" s="53"/>
      <c r="F162" s="250"/>
      <c r="G162" s="251"/>
      <c r="H162" s="240">
        <f t="shared" si="7"/>
        <v>0</v>
      </c>
      <c r="I162" s="216" t="str">
        <f t="shared" si="8"/>
        <v/>
      </c>
      <c r="J162" s="216" t="str">
        <f t="array" ref="J162">IFERROR(IF(B162&lt;&gt;"",XLOOKUP(B162,FUNC!E:E,#REF!,"NO VIGENTE"),""),"")</f>
        <v/>
      </c>
    </row>
    <row r="163" ht="21.0" customHeight="1">
      <c r="A163" s="53"/>
      <c r="B163" s="53"/>
      <c r="C163" s="53"/>
      <c r="D163" s="53"/>
      <c r="E163" s="53"/>
      <c r="F163" s="250"/>
      <c r="G163" s="251"/>
      <c r="H163" s="240">
        <f t="shared" si="7"/>
        <v>0</v>
      </c>
      <c r="I163" s="216" t="str">
        <f t="shared" si="8"/>
        <v/>
      </c>
      <c r="J163" s="216" t="str">
        <f t="array" ref="J163">IFERROR(IF(B163&lt;&gt;"",XLOOKUP(B163,FUNC!E:E,#REF!,"NO VIGENTE"),""),"")</f>
        <v/>
      </c>
    </row>
    <row r="164" ht="21.0" customHeight="1">
      <c r="A164" s="53"/>
      <c r="B164" s="53"/>
      <c r="C164" s="53"/>
      <c r="D164" s="53"/>
      <c r="E164" s="53"/>
      <c r="F164" s="250"/>
      <c r="G164" s="251"/>
      <c r="H164" s="240">
        <f t="shared" si="7"/>
        <v>0</v>
      </c>
      <c r="I164" s="216" t="str">
        <f t="shared" si="8"/>
        <v/>
      </c>
      <c r="J164" s="216" t="str">
        <f t="array" ref="J164">IFERROR(IF(B164&lt;&gt;"",XLOOKUP(B164,FUNC!E:E,#REF!,"NO VIGENTE"),""),"")</f>
        <v/>
      </c>
    </row>
    <row r="165" ht="21.0" customHeight="1">
      <c r="A165" s="53"/>
      <c r="B165" s="53"/>
      <c r="C165" s="53"/>
      <c r="D165" s="53"/>
      <c r="E165" s="53"/>
      <c r="F165" s="250"/>
      <c r="G165" s="251"/>
      <c r="H165" s="240">
        <f t="shared" si="7"/>
        <v>0</v>
      </c>
      <c r="I165" s="216" t="str">
        <f t="shared" si="8"/>
        <v/>
      </c>
      <c r="J165" s="216" t="str">
        <f t="array" ref="J165">IFERROR(IF(B165&lt;&gt;"",XLOOKUP(B165,FUNC!E:E,#REF!,"NO VIGENTE"),""),"")</f>
        <v/>
      </c>
    </row>
    <row r="166" ht="21.0" customHeight="1">
      <c r="A166" s="53"/>
      <c r="B166" s="53"/>
      <c r="C166" s="53"/>
      <c r="D166" s="53"/>
      <c r="E166" s="53"/>
      <c r="F166" s="250"/>
      <c r="G166" s="251"/>
      <c r="H166" s="240">
        <f t="shared" si="7"/>
        <v>0</v>
      </c>
      <c r="I166" s="216" t="str">
        <f t="shared" si="8"/>
        <v/>
      </c>
      <c r="J166" s="216" t="str">
        <f t="array" ref="J166">IFERROR(IF(B166&lt;&gt;"",XLOOKUP(B166,FUNC!E:E,#REF!,"NO VIGENTE"),""),"")</f>
        <v/>
      </c>
    </row>
    <row r="167" ht="21.0" customHeight="1">
      <c r="A167" s="53"/>
      <c r="B167" s="53"/>
      <c r="C167" s="53"/>
      <c r="D167" s="53"/>
      <c r="E167" s="53"/>
      <c r="F167" s="250"/>
      <c r="G167" s="251"/>
      <c r="H167" s="240">
        <f t="shared" si="7"/>
        <v>0</v>
      </c>
      <c r="I167" s="216" t="str">
        <f t="shared" si="8"/>
        <v/>
      </c>
      <c r="J167" s="216" t="str">
        <f t="array" ref="J167">IFERROR(IF(B167&lt;&gt;"",XLOOKUP(B167,FUNC!E:E,#REF!,"NO VIGENTE"),""),"")</f>
        <v/>
      </c>
    </row>
    <row r="168" ht="21.0" customHeight="1">
      <c r="A168" s="53"/>
      <c r="B168" s="53"/>
      <c r="C168" s="53"/>
      <c r="D168" s="53"/>
      <c r="E168" s="53"/>
      <c r="F168" s="250"/>
      <c r="G168" s="251"/>
      <c r="H168" s="240">
        <f t="shared" si="7"/>
        <v>0</v>
      </c>
      <c r="I168" s="216" t="str">
        <f t="shared" si="8"/>
        <v/>
      </c>
      <c r="J168" s="216" t="str">
        <f t="array" ref="J168">IFERROR(IF(B168&lt;&gt;"",XLOOKUP(B168,FUNC!E:E,#REF!,"NO VIGENTE"),""),"")</f>
        <v/>
      </c>
    </row>
    <row r="169" ht="21.0" customHeight="1">
      <c r="A169" s="53"/>
      <c r="B169" s="53"/>
      <c r="C169" s="53"/>
      <c r="D169" s="53"/>
      <c r="E169" s="53"/>
      <c r="F169" s="250"/>
      <c r="G169" s="251"/>
      <c r="H169" s="240">
        <f t="shared" si="7"/>
        <v>0</v>
      </c>
      <c r="I169" s="216" t="str">
        <f t="shared" si="8"/>
        <v/>
      </c>
      <c r="J169" s="216" t="str">
        <f t="array" ref="J169">IFERROR(IF(B169&lt;&gt;"",XLOOKUP(B169,FUNC!E:E,#REF!,"NO VIGENTE"),""),"")</f>
        <v/>
      </c>
    </row>
    <row r="170" ht="21.0" customHeight="1">
      <c r="A170" s="53"/>
      <c r="B170" s="53"/>
      <c r="C170" s="53"/>
      <c r="D170" s="53"/>
      <c r="E170" s="53"/>
      <c r="F170" s="250"/>
      <c r="G170" s="251"/>
      <c r="H170" s="240">
        <f t="shared" si="7"/>
        <v>0</v>
      </c>
      <c r="I170" s="216" t="str">
        <f t="shared" si="8"/>
        <v/>
      </c>
      <c r="J170" s="216" t="str">
        <f t="array" ref="J170">IFERROR(IF(B170&lt;&gt;"",XLOOKUP(B170,FUNC!E:E,#REF!,"NO VIGENTE"),""),"")</f>
        <v/>
      </c>
    </row>
    <row r="171" ht="21.0" customHeight="1">
      <c r="A171" s="53"/>
      <c r="B171" s="53"/>
      <c r="C171" s="53"/>
      <c r="D171" s="53"/>
      <c r="E171" s="53"/>
      <c r="F171" s="250"/>
      <c r="G171" s="251"/>
      <c r="H171" s="240">
        <f t="shared" si="7"/>
        <v>0</v>
      </c>
      <c r="I171" s="216" t="str">
        <f t="shared" si="8"/>
        <v/>
      </c>
      <c r="J171" s="216" t="str">
        <f t="array" ref="J171">IFERROR(IF(B171&lt;&gt;"",XLOOKUP(B171,FUNC!E:E,#REF!,"NO VIGENTE"),""),"")</f>
        <v/>
      </c>
    </row>
    <row r="172" ht="21.0" customHeight="1">
      <c r="A172" s="53"/>
      <c r="B172" s="53"/>
      <c r="C172" s="53"/>
      <c r="D172" s="53"/>
      <c r="E172" s="53"/>
      <c r="F172" s="250"/>
      <c r="G172" s="251"/>
      <c r="H172" s="240">
        <f t="shared" si="7"/>
        <v>0</v>
      </c>
      <c r="I172" s="216" t="str">
        <f t="shared" si="8"/>
        <v/>
      </c>
      <c r="J172" s="216" t="str">
        <f t="array" ref="J172">IFERROR(IF(B172&lt;&gt;"",XLOOKUP(B172,FUNC!E:E,#REF!,"NO VIGENTE"),""),"")</f>
        <v/>
      </c>
    </row>
    <row r="173" ht="21.0" customHeight="1">
      <c r="A173" s="53"/>
      <c r="B173" s="53"/>
      <c r="C173" s="53"/>
      <c r="D173" s="53"/>
      <c r="E173" s="53"/>
      <c r="F173" s="250"/>
      <c r="G173" s="251"/>
      <c r="H173" s="240">
        <f t="shared" si="7"/>
        <v>0</v>
      </c>
      <c r="I173" s="216" t="str">
        <f t="shared" si="8"/>
        <v/>
      </c>
      <c r="J173" s="216" t="str">
        <f t="array" ref="J173">IFERROR(IF(B173&lt;&gt;"",XLOOKUP(B173,FUNC!E:E,#REF!,"NO VIGENTE"),""),"")</f>
        <v/>
      </c>
    </row>
    <row r="174" ht="21.0" customHeight="1">
      <c r="A174" s="53"/>
      <c r="B174" s="53"/>
      <c r="C174" s="53"/>
      <c r="D174" s="53"/>
      <c r="E174" s="53"/>
      <c r="F174" s="250"/>
      <c r="G174" s="251"/>
      <c r="H174" s="240">
        <f t="shared" si="7"/>
        <v>0</v>
      </c>
      <c r="I174" s="216" t="str">
        <f t="shared" si="8"/>
        <v/>
      </c>
      <c r="J174" s="216" t="str">
        <f t="array" ref="J174">IFERROR(IF(B174&lt;&gt;"",XLOOKUP(B174,FUNC!E:E,#REF!,"NO VIGENTE"),""),"")</f>
        <v/>
      </c>
    </row>
    <row r="175" ht="21.0" customHeight="1">
      <c r="A175" s="53"/>
      <c r="B175" s="53"/>
      <c r="C175" s="53"/>
      <c r="D175" s="53"/>
      <c r="E175" s="53"/>
      <c r="F175" s="250"/>
      <c r="G175" s="251"/>
      <c r="H175" s="240">
        <f t="shared" si="7"/>
        <v>0</v>
      </c>
      <c r="I175" s="216" t="str">
        <f t="shared" si="8"/>
        <v/>
      </c>
      <c r="J175" s="216" t="str">
        <f t="array" ref="J175">IFERROR(IF(B175&lt;&gt;"",XLOOKUP(B175,FUNC!E:E,#REF!,"NO VIGENTE"),""),"")</f>
        <v/>
      </c>
    </row>
    <row r="176" ht="21.0" customHeight="1">
      <c r="A176" s="53"/>
      <c r="B176" s="53"/>
      <c r="C176" s="53"/>
      <c r="D176" s="53"/>
      <c r="E176" s="53"/>
      <c r="F176" s="250"/>
      <c r="G176" s="251"/>
      <c r="H176" s="240">
        <f t="shared" si="7"/>
        <v>0</v>
      </c>
      <c r="I176" s="216" t="str">
        <f t="shared" si="8"/>
        <v/>
      </c>
      <c r="J176" s="216" t="str">
        <f t="array" ref="J176">IFERROR(IF(B176&lt;&gt;"",XLOOKUP(B176,FUNC!E:E,#REF!,"NO VIGENTE"),""),"")</f>
        <v/>
      </c>
    </row>
    <row r="177" ht="21.0" customHeight="1">
      <c r="A177" s="53"/>
      <c r="B177" s="53"/>
      <c r="C177" s="53"/>
      <c r="D177" s="53"/>
      <c r="E177" s="53"/>
      <c r="F177" s="250"/>
      <c r="G177" s="251"/>
      <c r="H177" s="240">
        <f t="shared" si="7"/>
        <v>0</v>
      </c>
      <c r="I177" s="216" t="str">
        <f t="shared" si="8"/>
        <v/>
      </c>
      <c r="J177" s="216" t="str">
        <f t="array" ref="J177">IFERROR(IF(B177&lt;&gt;"",XLOOKUP(B177,FUNC!E:E,#REF!,"NO VIGENTE"),""),"")</f>
        <v/>
      </c>
    </row>
    <row r="178" ht="21.0" customHeight="1">
      <c r="A178" s="53"/>
      <c r="B178" s="53"/>
      <c r="C178" s="53"/>
      <c r="D178" s="53"/>
      <c r="E178" s="53"/>
      <c r="F178" s="250"/>
      <c r="G178" s="251"/>
      <c r="H178" s="240">
        <f t="shared" si="7"/>
        <v>0</v>
      </c>
      <c r="I178" s="216" t="str">
        <f t="shared" si="8"/>
        <v/>
      </c>
      <c r="J178" s="216" t="str">
        <f t="array" ref="J178">IFERROR(IF(B178&lt;&gt;"",XLOOKUP(B178,FUNC!E:E,#REF!,"NO VIGENTE"),""),"")</f>
        <v/>
      </c>
    </row>
    <row r="179" ht="21.0" customHeight="1">
      <c r="A179" s="53"/>
      <c r="B179" s="53"/>
      <c r="C179" s="53"/>
      <c r="D179" s="53"/>
      <c r="E179" s="53"/>
      <c r="F179" s="250"/>
      <c r="G179" s="251"/>
      <c r="H179" s="240">
        <f t="shared" si="7"/>
        <v>0</v>
      </c>
      <c r="I179" s="216" t="str">
        <f t="shared" si="8"/>
        <v/>
      </c>
      <c r="J179" s="216" t="str">
        <f t="array" ref="J179">IFERROR(IF(B179&lt;&gt;"",XLOOKUP(B179,FUNC!E:E,#REF!,"NO VIGENTE"),""),"")</f>
        <v/>
      </c>
    </row>
    <row r="180" ht="21.0" customHeight="1">
      <c r="A180" s="53"/>
      <c r="B180" s="53"/>
      <c r="C180" s="53"/>
      <c r="D180" s="53"/>
      <c r="E180" s="53"/>
      <c r="F180" s="250"/>
      <c r="G180" s="251"/>
      <c r="H180" s="240">
        <f t="shared" si="7"/>
        <v>0</v>
      </c>
      <c r="I180" s="216" t="str">
        <f t="shared" si="8"/>
        <v/>
      </c>
      <c r="J180" s="216" t="str">
        <f t="array" ref="J180">IFERROR(IF(B180&lt;&gt;"",XLOOKUP(B180,FUNC!E:E,#REF!,"NO VIGENTE"),""),"")</f>
        <v/>
      </c>
    </row>
    <row r="181" ht="21.0" customHeight="1">
      <c r="A181" s="53"/>
      <c r="B181" s="53"/>
      <c r="C181" s="53"/>
      <c r="D181" s="53"/>
      <c r="E181" s="53"/>
      <c r="F181" s="250"/>
      <c r="G181" s="251"/>
      <c r="H181" s="240">
        <f t="shared" si="7"/>
        <v>0</v>
      </c>
      <c r="I181" s="216" t="str">
        <f t="shared" si="8"/>
        <v/>
      </c>
      <c r="J181" s="216" t="str">
        <f t="array" ref="J181">IFERROR(IF(B181&lt;&gt;"",XLOOKUP(B181,FUNC!E:E,#REF!,"NO VIGENTE"),""),"")</f>
        <v/>
      </c>
    </row>
    <row r="182" ht="21.0" customHeight="1">
      <c r="A182" s="53"/>
      <c r="B182" s="53"/>
      <c r="C182" s="53"/>
      <c r="D182" s="53"/>
      <c r="E182" s="53"/>
      <c r="F182" s="250"/>
      <c r="G182" s="251"/>
      <c r="H182" s="240">
        <f t="shared" si="7"/>
        <v>0</v>
      </c>
      <c r="I182" s="216" t="str">
        <f t="shared" si="8"/>
        <v/>
      </c>
      <c r="J182" s="216" t="str">
        <f t="array" ref="J182">IFERROR(IF(B182&lt;&gt;"",XLOOKUP(B182,FUNC!E:E,#REF!,"NO VIGENTE"),""),"")</f>
        <v/>
      </c>
    </row>
    <row r="183" ht="21.0" customHeight="1">
      <c r="A183" s="53"/>
      <c r="B183" s="53"/>
      <c r="C183" s="53"/>
      <c r="D183" s="53"/>
      <c r="E183" s="53"/>
      <c r="F183" s="250"/>
      <c r="G183" s="251"/>
      <c r="H183" s="240">
        <f t="shared" si="7"/>
        <v>0</v>
      </c>
      <c r="I183" s="216" t="str">
        <f t="shared" si="8"/>
        <v/>
      </c>
      <c r="J183" s="216" t="str">
        <f t="array" ref="J183">IFERROR(IF(B183&lt;&gt;"",XLOOKUP(B183,FUNC!E:E,#REF!,"NO VIGENTE"),""),"")</f>
        <v/>
      </c>
    </row>
    <row r="184" ht="21.0" customHeight="1">
      <c r="A184" s="53"/>
      <c r="B184" s="53"/>
      <c r="C184" s="53"/>
      <c r="D184" s="53"/>
      <c r="E184" s="53"/>
      <c r="F184" s="250"/>
      <c r="G184" s="251"/>
      <c r="H184" s="240">
        <f t="shared" si="7"/>
        <v>0</v>
      </c>
      <c r="I184" s="216" t="str">
        <f t="shared" si="8"/>
        <v/>
      </c>
      <c r="J184" s="216" t="str">
        <f t="array" ref="J184">IFERROR(IF(B184&lt;&gt;"",XLOOKUP(B184,FUNC!E:E,#REF!,"NO VIGENTE"),""),"")</f>
        <v/>
      </c>
    </row>
    <row r="185" ht="21.0" customHeight="1">
      <c r="A185" s="53"/>
      <c r="B185" s="53"/>
      <c r="C185" s="53"/>
      <c r="D185" s="53"/>
      <c r="E185" s="53"/>
      <c r="F185" s="250"/>
      <c r="G185" s="251"/>
      <c r="H185" s="240">
        <f t="shared" si="7"/>
        <v>0</v>
      </c>
      <c r="I185" s="216" t="str">
        <f t="shared" si="8"/>
        <v/>
      </c>
      <c r="J185" s="216" t="str">
        <f t="array" ref="J185">IFERROR(IF(B185&lt;&gt;"",XLOOKUP(B185,FUNC!E:E,#REF!,"NO VIGENTE"),""),"")</f>
        <v/>
      </c>
    </row>
    <row r="186" ht="21.0" customHeight="1">
      <c r="A186" s="53"/>
      <c r="B186" s="53"/>
      <c r="C186" s="53"/>
      <c r="D186" s="53"/>
      <c r="E186" s="53"/>
      <c r="F186" s="250"/>
      <c r="G186" s="251"/>
      <c r="H186" s="240">
        <f t="shared" si="7"/>
        <v>0</v>
      </c>
      <c r="I186" s="216" t="str">
        <f t="shared" si="8"/>
        <v/>
      </c>
      <c r="J186" s="216" t="str">
        <f t="array" ref="J186">IFERROR(IF(B186&lt;&gt;"",XLOOKUP(B186,FUNC!E:E,#REF!,"NO VIGENTE"),""),"")</f>
        <v/>
      </c>
    </row>
    <row r="187" ht="21.0" customHeight="1">
      <c r="A187" s="53"/>
      <c r="B187" s="53"/>
      <c r="C187" s="53"/>
      <c r="D187" s="53"/>
      <c r="E187" s="53"/>
      <c r="F187" s="250"/>
      <c r="G187" s="251"/>
      <c r="H187" s="240">
        <f t="shared" si="7"/>
        <v>0</v>
      </c>
      <c r="I187" s="216" t="str">
        <f t="shared" si="8"/>
        <v/>
      </c>
      <c r="J187" s="216" t="str">
        <f t="array" ref="J187">IFERROR(IF(B187&lt;&gt;"",XLOOKUP(B187,FUNC!E:E,#REF!,"NO VIGENTE"),""),"")</f>
        <v/>
      </c>
    </row>
    <row r="188" ht="21.0" customHeight="1">
      <c r="A188" s="53"/>
      <c r="B188" s="53"/>
      <c r="C188" s="53"/>
      <c r="D188" s="53"/>
      <c r="E188" s="53"/>
      <c r="F188" s="250"/>
      <c r="G188" s="251"/>
      <c r="H188" s="240">
        <f t="shared" si="7"/>
        <v>0</v>
      </c>
      <c r="I188" s="216" t="str">
        <f t="shared" si="8"/>
        <v/>
      </c>
      <c r="J188" s="216" t="str">
        <f t="array" ref="J188">IFERROR(IF(B188&lt;&gt;"",XLOOKUP(B188,FUNC!E:E,#REF!,"NO VIGENTE"),""),"")</f>
        <v/>
      </c>
    </row>
    <row r="189" ht="21.0" customHeight="1">
      <c r="A189" s="53"/>
      <c r="B189" s="53"/>
      <c r="C189" s="53"/>
      <c r="D189" s="53"/>
      <c r="E189" s="53"/>
      <c r="F189" s="250"/>
      <c r="G189" s="251"/>
      <c r="H189" s="240">
        <f t="shared" si="7"/>
        <v>0</v>
      </c>
      <c r="I189" s="216" t="str">
        <f t="shared" si="8"/>
        <v/>
      </c>
      <c r="J189" s="216" t="str">
        <f t="array" ref="J189">IFERROR(IF(B189&lt;&gt;"",XLOOKUP(B189,FUNC!E:E,#REF!,"NO VIGENTE"),""),"")</f>
        <v/>
      </c>
    </row>
    <row r="190" ht="21.0" customHeight="1">
      <c r="A190" s="53"/>
      <c r="B190" s="53"/>
      <c r="C190" s="53"/>
      <c r="D190" s="53"/>
      <c r="E190" s="53"/>
      <c r="F190" s="250"/>
      <c r="G190" s="251"/>
      <c r="H190" s="240">
        <f t="shared" si="7"/>
        <v>0</v>
      </c>
      <c r="I190" s="216" t="str">
        <f t="shared" si="8"/>
        <v/>
      </c>
      <c r="J190" s="216" t="str">
        <f t="array" ref="J190">IFERROR(IF(B190&lt;&gt;"",XLOOKUP(B190,FUNC!E:E,#REF!,"NO VIGENTE"),""),"")</f>
        <v/>
      </c>
    </row>
    <row r="191" ht="21.0" customHeight="1">
      <c r="A191" s="53"/>
      <c r="B191" s="53"/>
      <c r="C191" s="53"/>
      <c r="D191" s="53"/>
      <c r="E191" s="53"/>
      <c r="F191" s="250"/>
      <c r="G191" s="251"/>
      <c r="H191" s="240">
        <f t="shared" si="7"/>
        <v>0</v>
      </c>
      <c r="I191" s="216" t="str">
        <f t="shared" si="8"/>
        <v/>
      </c>
      <c r="J191" s="216" t="str">
        <f t="array" ref="J191">IFERROR(IF(B191&lt;&gt;"",XLOOKUP(B191,FUNC!E:E,#REF!,"NO VIGENTE"),""),"")</f>
        <v/>
      </c>
    </row>
    <row r="192" ht="21.0" customHeight="1">
      <c r="A192" s="53"/>
      <c r="B192" s="53"/>
      <c r="C192" s="53"/>
      <c r="D192" s="53"/>
      <c r="E192" s="53"/>
      <c r="F192" s="250"/>
      <c r="G192" s="251"/>
      <c r="H192" s="240">
        <f t="shared" si="7"/>
        <v>0</v>
      </c>
      <c r="I192" s="216" t="str">
        <f t="shared" si="8"/>
        <v/>
      </c>
      <c r="J192" s="216" t="str">
        <f t="array" ref="J192">IFERROR(IF(B192&lt;&gt;"",XLOOKUP(B192,FUNC!E:E,#REF!,"NO VIGENTE"),""),"")</f>
        <v/>
      </c>
    </row>
    <row r="193" ht="21.0" customHeight="1">
      <c r="A193" s="53"/>
      <c r="B193" s="53"/>
      <c r="C193" s="53"/>
      <c r="D193" s="53"/>
      <c r="E193" s="53"/>
      <c r="F193" s="250"/>
      <c r="G193" s="251"/>
      <c r="H193" s="240">
        <f t="shared" si="7"/>
        <v>0</v>
      </c>
      <c r="I193" s="216" t="str">
        <f t="shared" si="8"/>
        <v/>
      </c>
      <c r="J193" s="216" t="str">
        <f t="array" ref="J193">IFERROR(IF(B193&lt;&gt;"",XLOOKUP(B193,FUNC!E:E,#REF!,"NO VIGENTE"),""),"")</f>
        <v/>
      </c>
    </row>
    <row r="194" ht="21.0" customHeight="1">
      <c r="A194" s="53"/>
      <c r="B194" s="53"/>
      <c r="C194" s="53"/>
      <c r="D194" s="53"/>
      <c r="E194" s="53"/>
      <c r="F194" s="250"/>
      <c r="G194" s="251"/>
      <c r="H194" s="240">
        <f t="shared" si="7"/>
        <v>0</v>
      </c>
      <c r="I194" s="216" t="str">
        <f t="shared" si="8"/>
        <v/>
      </c>
      <c r="J194" s="216" t="str">
        <f t="array" ref="J194">IFERROR(IF(B194&lt;&gt;"",XLOOKUP(B194,FUNC!E:E,#REF!,"NO VIGENTE"),""),"")</f>
        <v/>
      </c>
    </row>
    <row r="195" ht="21.0" customHeight="1">
      <c r="A195" s="53"/>
      <c r="B195" s="53"/>
      <c r="C195" s="53"/>
      <c r="D195" s="53"/>
      <c r="E195" s="53"/>
      <c r="F195" s="250"/>
      <c r="G195" s="251"/>
      <c r="H195" s="240">
        <f t="shared" si="7"/>
        <v>0</v>
      </c>
      <c r="I195" s="216" t="str">
        <f t="shared" si="8"/>
        <v/>
      </c>
      <c r="J195" s="216" t="str">
        <f t="array" ref="J195">IFERROR(IF(B195&lt;&gt;"",XLOOKUP(B195,FUNC!E:E,#REF!,"NO VIGENTE"),""),"")</f>
        <v/>
      </c>
    </row>
    <row r="196" ht="21.0" customHeight="1">
      <c r="A196" s="53"/>
      <c r="B196" s="53"/>
      <c r="C196" s="53"/>
      <c r="D196" s="53"/>
      <c r="E196" s="53"/>
      <c r="F196" s="250"/>
      <c r="G196" s="251"/>
      <c r="H196" s="240">
        <f t="shared" si="7"/>
        <v>0</v>
      </c>
      <c r="I196" s="216" t="str">
        <f t="shared" si="8"/>
        <v/>
      </c>
      <c r="J196" s="216" t="str">
        <f t="array" ref="J196">IFERROR(IF(B196&lt;&gt;"",XLOOKUP(B196,FUNC!E:E,#REF!,"NO VIGENTE"),""),"")</f>
        <v/>
      </c>
    </row>
    <row r="197" ht="21.0" customHeight="1">
      <c r="A197" s="53"/>
      <c r="B197" s="53"/>
      <c r="C197" s="53"/>
      <c r="D197" s="53"/>
      <c r="E197" s="53"/>
      <c r="F197" s="250"/>
      <c r="G197" s="251"/>
      <c r="H197" s="240">
        <f t="shared" si="7"/>
        <v>0</v>
      </c>
      <c r="I197" s="216" t="str">
        <f t="shared" si="8"/>
        <v/>
      </c>
      <c r="J197" s="216" t="str">
        <f t="array" ref="J197">IFERROR(IF(B197&lt;&gt;"",XLOOKUP(B197,FUNC!E:E,#REF!,"NO VIGENTE"),""),"")</f>
        <v/>
      </c>
    </row>
    <row r="198" ht="21.0" customHeight="1">
      <c r="A198" s="53"/>
      <c r="B198" s="53"/>
      <c r="C198" s="53"/>
      <c r="D198" s="53"/>
      <c r="E198" s="53"/>
      <c r="F198" s="250"/>
      <c r="G198" s="251"/>
      <c r="H198" s="240">
        <f t="shared" si="7"/>
        <v>0</v>
      </c>
      <c r="I198" s="216" t="str">
        <f t="shared" si="8"/>
        <v/>
      </c>
      <c r="J198" s="216" t="str">
        <f t="array" ref="J198">IFERROR(IF(B198&lt;&gt;"",XLOOKUP(B198,FUNC!E:E,#REF!,"NO VIGENTE"),""),"")</f>
        <v/>
      </c>
    </row>
    <row r="199" ht="21.0" customHeight="1">
      <c r="A199" s="53"/>
      <c r="B199" s="53"/>
      <c r="C199" s="53"/>
      <c r="D199" s="53"/>
      <c r="E199" s="53"/>
      <c r="F199" s="250"/>
      <c r="G199" s="251"/>
      <c r="H199" s="240">
        <f t="shared" si="7"/>
        <v>0</v>
      </c>
      <c r="I199" s="216" t="str">
        <f t="shared" si="8"/>
        <v/>
      </c>
      <c r="J199" s="216" t="str">
        <f t="array" ref="J199">IFERROR(IF(B199&lt;&gt;"",XLOOKUP(B199,FUNC!E:E,#REF!,"NO VIGENTE"),""),"")</f>
        <v/>
      </c>
    </row>
    <row r="200" ht="21.0" customHeight="1">
      <c r="A200" s="53"/>
      <c r="B200" s="53"/>
      <c r="C200" s="53"/>
      <c r="D200" s="53"/>
      <c r="E200" s="53"/>
      <c r="F200" s="250"/>
      <c r="G200" s="251"/>
      <c r="H200" s="240">
        <f t="shared" si="7"/>
        <v>0</v>
      </c>
      <c r="I200" s="216" t="str">
        <f t="shared" si="8"/>
        <v/>
      </c>
      <c r="J200" s="216" t="str">
        <f t="array" ref="J200">IFERROR(IF(B200&lt;&gt;"",XLOOKUP(B200,FUNC!E:E,#REF!,"NO VIGENTE"),""),"")</f>
        <v/>
      </c>
    </row>
    <row r="201" ht="21.0" customHeight="1">
      <c r="A201" s="53"/>
      <c r="B201" s="53"/>
      <c r="C201" s="53"/>
      <c r="D201" s="53"/>
      <c r="E201" s="53"/>
      <c r="F201" s="250"/>
      <c r="G201" s="251"/>
      <c r="H201" s="240">
        <f t="shared" si="7"/>
        <v>0</v>
      </c>
      <c r="I201" s="216" t="str">
        <f t="shared" si="8"/>
        <v/>
      </c>
      <c r="J201" s="216" t="str">
        <f t="array" ref="J201">IFERROR(IF(B201&lt;&gt;"",XLOOKUP(B201,FUNC!E:E,#REF!,"NO VIGENTE"),""),"")</f>
        <v/>
      </c>
    </row>
    <row r="202" ht="21.0" customHeight="1">
      <c r="A202" s="53"/>
      <c r="B202" s="53"/>
      <c r="C202" s="53"/>
      <c r="D202" s="53"/>
      <c r="E202" s="53"/>
      <c r="F202" s="250"/>
      <c r="G202" s="251"/>
      <c r="H202" s="240">
        <f t="shared" si="7"/>
        <v>0</v>
      </c>
      <c r="I202" s="216" t="str">
        <f t="shared" si="8"/>
        <v/>
      </c>
      <c r="J202" s="216" t="str">
        <f t="array" ref="J202">IFERROR(IF(B202&lt;&gt;"",XLOOKUP(B202,FUNC!E:E,#REF!,"NO VIGENTE"),""),"")</f>
        <v/>
      </c>
    </row>
    <row r="203" ht="21.0" customHeight="1">
      <c r="A203" s="53"/>
      <c r="B203" s="53"/>
      <c r="C203" s="53"/>
      <c r="D203" s="53"/>
      <c r="E203" s="53"/>
      <c r="F203" s="250"/>
      <c r="G203" s="251"/>
      <c r="H203" s="240">
        <f t="shared" si="7"/>
        <v>0</v>
      </c>
      <c r="I203" s="216" t="str">
        <f t="shared" si="8"/>
        <v/>
      </c>
      <c r="J203" s="216" t="str">
        <f t="array" ref="J203">IFERROR(IF(B203&lt;&gt;"",XLOOKUP(B203,FUNC!E:E,#REF!,"NO VIGENTE"),""),"")</f>
        <v/>
      </c>
    </row>
    <row r="204" ht="21.0" customHeight="1">
      <c r="A204" s="53"/>
      <c r="B204" s="53"/>
      <c r="C204" s="53"/>
      <c r="D204" s="53"/>
      <c r="E204" s="53"/>
      <c r="F204" s="250"/>
      <c r="G204" s="251"/>
      <c r="H204" s="240">
        <f t="shared" si="7"/>
        <v>0</v>
      </c>
      <c r="I204" s="216" t="str">
        <f t="shared" si="8"/>
        <v/>
      </c>
      <c r="J204" s="216" t="str">
        <f t="array" ref="J204">IFERROR(IF(B204&lt;&gt;"",XLOOKUP(B204,FUNC!E:E,#REF!,"NO VIGENTE"),""),"")</f>
        <v/>
      </c>
    </row>
    <row r="205" ht="21.0" customHeight="1">
      <c r="A205" s="53"/>
      <c r="B205" s="53"/>
      <c r="C205" s="53"/>
      <c r="D205" s="53"/>
      <c r="E205" s="53"/>
      <c r="F205" s="250"/>
      <c r="G205" s="251"/>
      <c r="H205" s="240">
        <f t="shared" si="7"/>
        <v>0</v>
      </c>
      <c r="I205" s="216" t="str">
        <f t="shared" si="8"/>
        <v/>
      </c>
      <c r="J205" s="216" t="str">
        <f t="array" ref="J205">IFERROR(IF(B205&lt;&gt;"",XLOOKUP(B205,FUNC!E:E,#REF!,"NO VIGENTE"),""),"")</f>
        <v/>
      </c>
    </row>
    <row r="206" ht="21.0" customHeight="1">
      <c r="A206" s="53"/>
      <c r="B206" s="53"/>
      <c r="C206" s="53"/>
      <c r="D206" s="53"/>
      <c r="E206" s="53"/>
      <c r="F206" s="250"/>
      <c r="G206" s="251"/>
      <c r="H206" s="240">
        <f t="shared" si="7"/>
        <v>0</v>
      </c>
      <c r="I206" s="216" t="str">
        <f t="shared" si="8"/>
        <v/>
      </c>
      <c r="J206" s="216" t="str">
        <f t="array" ref="J206">IFERROR(IF(B206&lt;&gt;"",XLOOKUP(B206,FUNC!E:E,#REF!,"NO VIGENTE"),""),"")</f>
        <v/>
      </c>
    </row>
    <row r="207" ht="21.0" customHeight="1">
      <c r="A207" s="53"/>
      <c r="B207" s="53"/>
      <c r="C207" s="53"/>
      <c r="D207" s="53"/>
      <c r="E207" s="53"/>
      <c r="F207" s="250"/>
      <c r="G207" s="251"/>
      <c r="H207" s="240">
        <f t="shared" si="7"/>
        <v>0</v>
      </c>
      <c r="I207" s="216" t="str">
        <f t="shared" si="8"/>
        <v/>
      </c>
      <c r="J207" s="216" t="str">
        <f t="array" ref="J207">IFERROR(IF(B207&lt;&gt;"",XLOOKUP(B207,FUNC!E:E,#REF!,"NO VIGENTE"),""),"")</f>
        <v/>
      </c>
    </row>
    <row r="208" ht="21.0" customHeight="1">
      <c r="A208" s="53"/>
      <c r="B208" s="53"/>
      <c r="C208" s="53"/>
      <c r="D208" s="53"/>
      <c r="E208" s="53"/>
      <c r="F208" s="250"/>
      <c r="G208" s="251"/>
      <c r="H208" s="240">
        <f t="shared" si="7"/>
        <v>0</v>
      </c>
      <c r="I208" s="216" t="str">
        <f t="shared" si="8"/>
        <v/>
      </c>
      <c r="J208" s="216" t="str">
        <f t="array" ref="J208">IFERROR(IF(B208&lt;&gt;"",XLOOKUP(B208,FUNC!E:E,#REF!,"NO VIGENTE"),""),"")</f>
        <v/>
      </c>
    </row>
    <row r="209" ht="21.0" customHeight="1">
      <c r="A209" s="53"/>
      <c r="B209" s="53"/>
      <c r="C209" s="53"/>
      <c r="D209" s="53"/>
      <c r="E209" s="53"/>
      <c r="F209" s="250"/>
      <c r="G209" s="251"/>
      <c r="H209" s="240">
        <f t="shared" si="7"/>
        <v>0</v>
      </c>
      <c r="I209" s="216" t="str">
        <f t="shared" si="8"/>
        <v/>
      </c>
      <c r="J209" s="216" t="str">
        <f t="array" ref="J209">IFERROR(IF(B209&lt;&gt;"",XLOOKUP(B209,FUNC!E:E,#REF!,"NO VIGENTE"),""),"")</f>
        <v/>
      </c>
    </row>
    <row r="210" ht="21.0" customHeight="1">
      <c r="A210" s="53"/>
      <c r="B210" s="53"/>
      <c r="C210" s="53"/>
      <c r="D210" s="53"/>
      <c r="E210" s="53"/>
      <c r="F210" s="250"/>
      <c r="G210" s="251"/>
      <c r="H210" s="240">
        <f t="shared" si="7"/>
        <v>0</v>
      </c>
      <c r="I210" s="216" t="str">
        <f t="shared" si="8"/>
        <v/>
      </c>
      <c r="J210" s="216" t="str">
        <f t="array" ref="J210">IFERROR(IF(B210&lt;&gt;"",XLOOKUP(B210,FUNC!E:E,#REF!,"NO VIGENTE"),""),"")</f>
        <v/>
      </c>
    </row>
    <row r="211" ht="21.0" customHeight="1">
      <c r="A211" s="53"/>
      <c r="B211" s="53"/>
      <c r="C211" s="53"/>
      <c r="D211" s="53"/>
      <c r="E211" s="53"/>
      <c r="F211" s="250"/>
      <c r="G211" s="251"/>
      <c r="H211" s="240">
        <f t="shared" si="7"/>
        <v>0</v>
      </c>
      <c r="I211" s="216" t="str">
        <f t="shared" si="8"/>
        <v/>
      </c>
      <c r="J211" s="216" t="str">
        <f t="array" ref="J211">IFERROR(IF(B211&lt;&gt;"",XLOOKUP(B211,FUNC!E:E,#REF!,"NO VIGENTE"),""),"")</f>
        <v/>
      </c>
    </row>
    <row r="212" ht="21.0" customHeight="1">
      <c r="A212" s="53"/>
      <c r="B212" s="53"/>
      <c r="C212" s="53"/>
      <c r="D212" s="53"/>
      <c r="E212" s="53"/>
      <c r="F212" s="250"/>
      <c r="G212" s="251"/>
      <c r="H212" s="240">
        <f t="shared" si="7"/>
        <v>0</v>
      </c>
      <c r="I212" s="216" t="str">
        <f t="shared" si="8"/>
        <v/>
      </c>
      <c r="J212" s="216" t="str">
        <f t="array" ref="J212">IFERROR(IF(B212&lt;&gt;"",XLOOKUP(B212,FUNC!E:E,#REF!,"NO VIGENTE"),""),"")</f>
        <v/>
      </c>
    </row>
    <row r="213" ht="21.0" customHeight="1">
      <c r="A213" s="53"/>
      <c r="B213" s="53"/>
      <c r="C213" s="53"/>
      <c r="D213" s="53"/>
      <c r="E213" s="53"/>
      <c r="F213" s="250"/>
      <c r="G213" s="251"/>
      <c r="H213" s="240">
        <f t="shared" si="7"/>
        <v>0</v>
      </c>
      <c r="I213" s="216" t="str">
        <f t="shared" si="8"/>
        <v/>
      </c>
      <c r="J213" s="216" t="str">
        <f t="array" ref="J213">IFERROR(IF(B213&lt;&gt;"",XLOOKUP(B213,FUNC!E:E,#REF!,"NO VIGENTE"),""),"")</f>
        <v/>
      </c>
    </row>
    <row r="214" ht="21.0" customHeight="1">
      <c r="A214" s="53"/>
      <c r="B214" s="53"/>
      <c r="C214" s="53"/>
      <c r="D214" s="53"/>
      <c r="E214" s="53"/>
      <c r="F214" s="250"/>
      <c r="G214" s="251"/>
      <c r="H214" s="240">
        <f t="shared" si="7"/>
        <v>0</v>
      </c>
      <c r="I214" s="216" t="str">
        <f t="shared" si="8"/>
        <v/>
      </c>
      <c r="J214" s="216" t="str">
        <f t="array" ref="J214">IFERROR(IF(B214&lt;&gt;"",XLOOKUP(B214,FUNC!E:E,#REF!,"NO VIGENTE"),""),"")</f>
        <v/>
      </c>
    </row>
    <row r="215" ht="21.0" customHeight="1">
      <c r="A215" s="53"/>
      <c r="B215" s="53"/>
      <c r="C215" s="53"/>
      <c r="D215" s="53"/>
      <c r="E215" s="53"/>
      <c r="F215" s="250"/>
      <c r="G215" s="251"/>
      <c r="H215" s="240">
        <f t="shared" si="7"/>
        <v>0</v>
      </c>
      <c r="I215" s="216" t="str">
        <f t="shared" si="8"/>
        <v/>
      </c>
      <c r="J215" s="216" t="str">
        <f t="array" ref="J215">IFERROR(IF(B215&lt;&gt;"",XLOOKUP(B215,FUNC!E:E,#REF!,"NO VIGENTE"),""),"")</f>
        <v/>
      </c>
    </row>
    <row r="216" ht="21.0" customHeight="1">
      <c r="A216" s="53"/>
      <c r="B216" s="53"/>
      <c r="C216" s="53"/>
      <c r="D216" s="53"/>
      <c r="E216" s="53"/>
      <c r="F216" s="250"/>
      <c r="G216" s="251"/>
      <c r="H216" s="240">
        <f t="shared" si="7"/>
        <v>0</v>
      </c>
      <c r="I216" s="216" t="str">
        <f t="shared" si="8"/>
        <v/>
      </c>
      <c r="J216" s="216" t="str">
        <f t="array" ref="J216">IFERROR(IF(B216&lt;&gt;"",XLOOKUP(B216,FUNC!E:E,#REF!,"NO VIGENTE"),""),"")</f>
        <v/>
      </c>
    </row>
    <row r="217" ht="21.0" customHeight="1">
      <c r="A217" s="53"/>
      <c r="B217" s="53"/>
      <c r="C217" s="53"/>
      <c r="D217" s="53"/>
      <c r="E217" s="53"/>
      <c r="F217" s="250"/>
      <c r="G217" s="251"/>
      <c r="H217" s="240">
        <f t="shared" si="7"/>
        <v>0</v>
      </c>
      <c r="I217" s="216" t="str">
        <f t="shared" si="8"/>
        <v/>
      </c>
      <c r="J217" s="216" t="str">
        <f t="array" ref="J217">IFERROR(IF(B217&lt;&gt;"",XLOOKUP(B217,FUNC!E:E,#REF!,"NO VIGENTE"),""),"")</f>
        <v/>
      </c>
    </row>
    <row r="218" ht="21.0" customHeight="1">
      <c r="A218" s="53"/>
      <c r="B218" s="53"/>
      <c r="C218" s="53"/>
      <c r="D218" s="53"/>
      <c r="E218" s="53"/>
      <c r="F218" s="250"/>
      <c r="G218" s="251"/>
      <c r="H218" s="240">
        <f t="shared" si="7"/>
        <v>0</v>
      </c>
      <c r="I218" s="216" t="str">
        <f t="shared" si="8"/>
        <v/>
      </c>
      <c r="J218" s="216" t="str">
        <f t="array" ref="J218">IFERROR(IF(B218&lt;&gt;"",XLOOKUP(B218,FUNC!E:E,#REF!,"NO VIGENTE"),""),"")</f>
        <v/>
      </c>
    </row>
    <row r="219" ht="21.0" customHeight="1">
      <c r="A219" s="53"/>
      <c r="B219" s="53"/>
      <c r="C219" s="53"/>
      <c r="D219" s="53"/>
      <c r="E219" s="53"/>
      <c r="F219" s="250"/>
      <c r="G219" s="251"/>
      <c r="H219" s="240">
        <f t="shared" si="7"/>
        <v>0</v>
      </c>
      <c r="I219" s="216" t="str">
        <f t="shared" si="8"/>
        <v/>
      </c>
      <c r="J219" s="216" t="str">
        <f t="array" ref="J219">IFERROR(IF(B219&lt;&gt;"",XLOOKUP(B219,FUNC!E:E,#REF!,"NO VIGENTE"),""),"")</f>
        <v/>
      </c>
    </row>
    <row r="220" ht="21.0" customHeight="1">
      <c r="A220" s="53"/>
      <c r="B220" s="53"/>
      <c r="C220" s="53"/>
      <c r="D220" s="53"/>
      <c r="E220" s="53"/>
      <c r="F220" s="250"/>
      <c r="G220" s="251"/>
      <c r="H220" s="240">
        <f t="shared" si="7"/>
        <v>0</v>
      </c>
      <c r="I220" s="216" t="str">
        <f t="shared" si="8"/>
        <v/>
      </c>
      <c r="J220" s="216" t="str">
        <f t="array" ref="J220">IFERROR(IF(B220&lt;&gt;"",XLOOKUP(B220,FUNC!E:E,#REF!,"NO VIGENTE"),""),"")</f>
        <v/>
      </c>
    </row>
    <row r="221" ht="21.0" customHeight="1">
      <c r="A221" s="53"/>
      <c r="B221" s="53"/>
      <c r="C221" s="53"/>
      <c r="D221" s="53"/>
      <c r="E221" s="53"/>
      <c r="F221" s="250"/>
      <c r="G221" s="251"/>
      <c r="H221" s="240">
        <f t="shared" si="7"/>
        <v>0</v>
      </c>
      <c r="I221" s="216" t="str">
        <f t="shared" si="8"/>
        <v/>
      </c>
      <c r="J221" s="216" t="str">
        <f t="array" ref="J221">IFERROR(IF(B221&lt;&gt;"",XLOOKUP(B221,FUNC!E:E,#REF!,"NO VIGENTE"),""),"")</f>
        <v/>
      </c>
    </row>
    <row r="222" ht="21.0" customHeight="1">
      <c r="A222" s="53"/>
      <c r="B222" s="53"/>
      <c r="C222" s="53"/>
      <c r="D222" s="53"/>
      <c r="E222" s="53"/>
      <c r="F222" s="250"/>
      <c r="G222" s="251"/>
      <c r="H222" s="240">
        <f t="shared" si="7"/>
        <v>0</v>
      </c>
      <c r="I222" s="216" t="str">
        <f t="shared" si="8"/>
        <v/>
      </c>
      <c r="J222" s="216" t="str">
        <f t="array" ref="J222">IFERROR(IF(B222&lt;&gt;"",XLOOKUP(B222,FUNC!E:E,#REF!,"NO VIGENTE"),""),"")</f>
        <v/>
      </c>
    </row>
    <row r="223" ht="21.0" customHeight="1">
      <c r="A223" s="53"/>
      <c r="B223" s="53"/>
      <c r="C223" s="53"/>
      <c r="D223" s="53"/>
      <c r="E223" s="53"/>
      <c r="F223" s="250"/>
      <c r="G223" s="251"/>
      <c r="H223" s="240">
        <f t="shared" si="7"/>
        <v>0</v>
      </c>
      <c r="I223" s="216" t="str">
        <f t="shared" si="8"/>
        <v/>
      </c>
      <c r="J223" s="216" t="str">
        <f t="array" ref="J223">IFERROR(IF(B223&lt;&gt;"",XLOOKUP(B223,FUNC!E:E,#REF!,"NO VIGENTE"),""),"")</f>
        <v/>
      </c>
    </row>
    <row r="224" ht="21.0" customHeight="1">
      <c r="A224" s="53"/>
      <c r="B224" s="53"/>
      <c r="C224" s="53"/>
      <c r="D224" s="53"/>
      <c r="E224" s="53"/>
      <c r="F224" s="250"/>
      <c r="G224" s="251"/>
      <c r="H224" s="240">
        <f t="shared" si="7"/>
        <v>0</v>
      </c>
      <c r="I224" s="216" t="str">
        <f t="shared" si="8"/>
        <v/>
      </c>
      <c r="J224" s="216" t="str">
        <f t="array" ref="J224">IFERROR(IF(B224&lt;&gt;"",XLOOKUP(B224,FUNC!E:E,#REF!,"NO VIGENTE"),""),"")</f>
        <v/>
      </c>
    </row>
    <row r="225" ht="21.0" customHeight="1">
      <c r="A225" s="53"/>
      <c r="B225" s="53"/>
      <c r="C225" s="53"/>
      <c r="D225" s="53"/>
      <c r="E225" s="53"/>
      <c r="F225" s="250"/>
      <c r="G225" s="251"/>
      <c r="H225" s="240">
        <f t="shared" si="7"/>
        <v>0</v>
      </c>
      <c r="I225" s="216" t="str">
        <f t="shared" si="8"/>
        <v/>
      </c>
      <c r="J225" s="216" t="str">
        <f t="array" ref="J225">IFERROR(IF(B225&lt;&gt;"",XLOOKUP(B225,FUNC!E:E,#REF!,"NO VIGENTE"),""),"")</f>
        <v/>
      </c>
    </row>
    <row r="226" ht="21.0" customHeight="1">
      <c r="A226" s="53"/>
      <c r="B226" s="53"/>
      <c r="C226" s="53"/>
      <c r="D226" s="53"/>
      <c r="E226" s="53"/>
      <c r="F226" s="250"/>
      <c r="G226" s="251"/>
      <c r="H226" s="240">
        <f t="shared" si="7"/>
        <v>0</v>
      </c>
      <c r="I226" s="216" t="str">
        <f t="shared" si="8"/>
        <v/>
      </c>
      <c r="J226" s="216" t="str">
        <f t="array" ref="J226">IFERROR(IF(B226&lt;&gt;"",XLOOKUP(B226,FUNC!E:E,#REF!,"NO VIGENTE"),""),"")</f>
        <v/>
      </c>
    </row>
    <row r="227" ht="21.0" customHeight="1">
      <c r="A227" s="53"/>
      <c r="B227" s="53"/>
      <c r="C227" s="53"/>
      <c r="D227" s="53"/>
      <c r="E227" s="53"/>
      <c r="F227" s="250"/>
      <c r="G227" s="251"/>
      <c r="H227" s="240">
        <f t="shared" si="7"/>
        <v>0</v>
      </c>
      <c r="I227" s="216" t="str">
        <f t="shared" si="8"/>
        <v/>
      </c>
      <c r="J227" s="216" t="str">
        <f t="array" ref="J227">IFERROR(IF(B227&lt;&gt;"",XLOOKUP(B227,FUNC!E:E,#REF!,"NO VIGENTE"),""),"")</f>
        <v/>
      </c>
    </row>
    <row r="228" ht="21.0" customHeight="1">
      <c r="A228" s="53"/>
      <c r="B228" s="53"/>
      <c r="C228" s="53"/>
      <c r="D228" s="53"/>
      <c r="E228" s="53"/>
      <c r="F228" s="250"/>
      <c r="G228" s="251"/>
      <c r="H228" s="240">
        <f t="shared" si="7"/>
        <v>0</v>
      </c>
      <c r="I228" s="216" t="str">
        <f t="shared" si="8"/>
        <v/>
      </c>
      <c r="J228" s="216" t="str">
        <f t="array" ref="J228">IFERROR(IF(B228&lt;&gt;"",XLOOKUP(B228,FUNC!E:E,#REF!,"NO VIGENTE"),""),"")</f>
        <v/>
      </c>
    </row>
    <row r="229" ht="21.0" customHeight="1">
      <c r="A229" s="53"/>
      <c r="B229" s="53"/>
      <c r="C229" s="53"/>
      <c r="D229" s="53"/>
      <c r="E229" s="53"/>
      <c r="F229" s="250"/>
      <c r="G229" s="251"/>
      <c r="H229" s="240">
        <f t="shared" si="7"/>
        <v>0</v>
      </c>
      <c r="I229" s="216" t="str">
        <f t="shared" si="8"/>
        <v/>
      </c>
      <c r="J229" s="216" t="str">
        <f t="array" ref="J229">IFERROR(IF(B229&lt;&gt;"",XLOOKUP(B229,FUNC!E:E,#REF!,"NO VIGENTE"),""),"")</f>
        <v/>
      </c>
    </row>
    <row r="230" ht="21.0" customHeight="1">
      <c r="A230" s="53"/>
      <c r="B230" s="53"/>
      <c r="C230" s="53"/>
      <c r="D230" s="53"/>
      <c r="E230" s="53"/>
      <c r="F230" s="250"/>
      <c r="G230" s="251"/>
      <c r="H230" s="240">
        <f t="shared" si="7"/>
        <v>0</v>
      </c>
      <c r="I230" s="216" t="str">
        <f t="shared" si="8"/>
        <v/>
      </c>
      <c r="J230" s="216" t="str">
        <f t="array" ref="J230">IFERROR(IF(B230&lt;&gt;"",XLOOKUP(B230,FUNC!E:E,#REF!,"NO VIGENTE"),""),"")</f>
        <v/>
      </c>
    </row>
    <row r="231" ht="21.0" customHeight="1">
      <c r="A231" s="53"/>
      <c r="B231" s="53"/>
      <c r="C231" s="53"/>
      <c r="D231" s="53"/>
      <c r="E231" s="53"/>
      <c r="F231" s="250"/>
      <c r="G231" s="251"/>
      <c r="H231" s="240">
        <f t="shared" si="7"/>
        <v>0</v>
      </c>
      <c r="I231" s="216" t="str">
        <f t="shared" si="8"/>
        <v/>
      </c>
      <c r="J231" s="216" t="str">
        <f t="array" ref="J231">IFERROR(IF(B231&lt;&gt;"",XLOOKUP(B231,FUNC!E:E,#REF!,"NO VIGENTE"),""),"")</f>
        <v/>
      </c>
    </row>
    <row r="232" ht="21.0" customHeight="1">
      <c r="A232" s="53"/>
      <c r="B232" s="53"/>
      <c r="C232" s="53"/>
      <c r="D232" s="53"/>
      <c r="E232" s="53"/>
      <c r="F232" s="250"/>
      <c r="G232" s="251"/>
      <c r="H232" s="240">
        <f t="shared" si="7"/>
        <v>0</v>
      </c>
      <c r="I232" s="216" t="str">
        <f t="shared" si="8"/>
        <v/>
      </c>
      <c r="J232" s="216" t="str">
        <f t="array" ref="J232">IFERROR(IF(B232&lt;&gt;"",XLOOKUP(B232,FUNC!E:E,#REF!,"NO VIGENTE"),""),"")</f>
        <v/>
      </c>
    </row>
    <row r="233" ht="21.0" customHeight="1">
      <c r="A233" s="53"/>
      <c r="B233" s="53"/>
      <c r="C233" s="53"/>
      <c r="D233" s="53"/>
      <c r="E233" s="53"/>
      <c r="F233" s="250"/>
      <c r="G233" s="251"/>
      <c r="H233" s="240">
        <f t="shared" si="7"/>
        <v>0</v>
      </c>
      <c r="I233" s="216" t="str">
        <f t="shared" si="8"/>
        <v/>
      </c>
      <c r="J233" s="216" t="str">
        <f t="array" ref="J233">IFERROR(IF(B233&lt;&gt;"",XLOOKUP(B233,FUNC!E:E,#REF!,"NO VIGENTE"),""),"")</f>
        <v/>
      </c>
    </row>
    <row r="234" ht="21.0" customHeight="1">
      <c r="A234" s="53"/>
      <c r="B234" s="53"/>
      <c r="C234" s="53"/>
      <c r="D234" s="53"/>
      <c r="E234" s="53"/>
      <c r="F234" s="250"/>
      <c r="G234" s="251"/>
      <c r="H234" s="240">
        <f t="shared" si="7"/>
        <v>0</v>
      </c>
      <c r="I234" s="216" t="str">
        <f t="shared" si="8"/>
        <v/>
      </c>
      <c r="J234" s="216" t="str">
        <f t="array" ref="J234">IFERROR(IF(B234&lt;&gt;"",XLOOKUP(B234,FUNC!E:E,#REF!,"NO VIGENTE"),""),"")</f>
        <v/>
      </c>
    </row>
    <row r="235" ht="21.0" customHeight="1">
      <c r="A235" s="53"/>
      <c r="B235" s="53"/>
      <c r="C235" s="53"/>
      <c r="D235" s="53"/>
      <c r="E235" s="53"/>
      <c r="F235" s="250"/>
      <c r="G235" s="251"/>
      <c r="H235" s="240">
        <f t="shared" si="7"/>
        <v>0</v>
      </c>
      <c r="I235" s="216" t="str">
        <f t="shared" si="8"/>
        <v/>
      </c>
      <c r="J235" s="216" t="str">
        <f t="array" ref="J235">IFERROR(IF(B235&lt;&gt;"",XLOOKUP(B235,FUNC!E:E,#REF!,"NO VIGENTE"),""),"")</f>
        <v/>
      </c>
    </row>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J$235">
    <sortState ref="A2:J235">
      <sortCondition ref="B2:B235"/>
    </sortState>
  </autoFilter>
  <conditionalFormatting sqref="G8">
    <cfRule type="expression" dxfId="22" priority="1">
      <formula>AND(($A$4:G235)&lt;&gt;"",COUNTIF($I$3:$I235,$I8)&gt;1)</formula>
    </cfRule>
  </conditionalFormatting>
  <conditionalFormatting sqref="B6 B75 G8">
    <cfRule type="expression" dxfId="22" priority="2">
      <formula>AND(($A$4:B235)&lt;&gt;"",COUNTIF($I$3:$I235,$I6)&gt;1)</formula>
    </cfRule>
  </conditionalFormatting>
  <conditionalFormatting sqref="B1:B75 B77:B235">
    <cfRule type="containsText" dxfId="4" priority="3" operator="containsText" text="POR DEFINIR">
      <formula>NOT(ISERROR(SEARCH(("POR DEFINIR"),(B1))))</formula>
    </cfRule>
  </conditionalFormatting>
  <conditionalFormatting sqref="G1">
    <cfRule type="expression" dxfId="23" priority="4">
      <formula>COUNTIF($I$1:I235,I1)&gt;1</formula>
    </cfRule>
  </conditionalFormatting>
  <conditionalFormatting sqref="A42:H43 D81:E82">
    <cfRule type="expression" dxfId="24" priority="5">
      <formula>($G42:$G235)="NO"</formula>
    </cfRule>
  </conditionalFormatting>
  <conditionalFormatting sqref="I1:I235">
    <cfRule type="expression" dxfId="23" priority="6">
      <formula>COUNTIF($I$1:$I235,I1)&gt;1</formula>
    </cfRule>
  </conditionalFormatting>
  <conditionalFormatting sqref="H3:H235">
    <cfRule type="expression" dxfId="25" priority="7">
      <formula>($G$4:$G235)="SI"</formula>
    </cfRule>
  </conditionalFormatting>
  <conditionalFormatting sqref="G3:G235">
    <cfRule type="beginsWith" dxfId="26" priority="8" operator="beginsWith" text="Incluido en otras Horas Gestión">
      <formula>LEFT((G3),LEN("Incluido en otras Horas Gestión"))=("Incluido en otras Horas Gestión")</formula>
    </cfRule>
  </conditionalFormatting>
  <conditionalFormatting sqref="A3:A235 B3:B6 B8:B19 B21:B75 B77:B235 C3:H235">
    <cfRule type="expression" dxfId="22" priority="9">
      <formula>COUNTIF($I$3:$I235,I3)&gt;1</formula>
    </cfRule>
  </conditionalFormatting>
  <conditionalFormatting sqref="C3:C235 D3:D8">
    <cfRule type="containsText" dxfId="17" priority="10" operator="containsText" text="GESTION">
      <formula>NOT(ISERROR(SEARCH(("GESTION"),(C3))))</formula>
    </cfRule>
  </conditionalFormatting>
  <conditionalFormatting sqref="C3:C235 D3:D8">
    <cfRule type="containsText" dxfId="18" priority="11" operator="containsText" text="DERECHO FUNCIONARIO">
      <formula>NOT(ISERROR(SEARCH(("DERECHO FUNCIONARIO"),(C3))))</formula>
    </cfRule>
  </conditionalFormatting>
  <conditionalFormatting sqref="C1:C235 D3:D8">
    <cfRule type="containsText" dxfId="19" priority="12" operator="containsText" text="REUNION">
      <formula>NOT(ISERROR(SEARCH(("REUNION"),(C1))))</formula>
    </cfRule>
  </conditionalFormatting>
  <conditionalFormatting sqref="A3:B235">
    <cfRule type="expression" dxfId="20" priority="13">
      <formula>AND(($A$4:A235)&lt;&gt;"",COUNTIF($I$3:$I235,$I3)&gt;1)</formula>
    </cfRule>
  </conditionalFormatting>
  <conditionalFormatting sqref="J1:J235">
    <cfRule type="beginsWith" dxfId="23" priority="14" operator="beginsWith" text="NO">
      <formula>LEFT((J1),LEN("NO"))=("NO")</formula>
    </cfRule>
  </conditionalFormatting>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06666"/>
    <outlinePr summaryBelow="0" summaryRight="0"/>
  </sheetPr>
  <sheetViews>
    <sheetView showGridLines="0" workbookViewId="0">
      <pane xSplit="7.0" ySplit="2.0" topLeftCell="H3" activePane="bottomRight" state="frozen"/>
      <selection activeCell="H1" sqref="H1" pane="topRight"/>
      <selection activeCell="A3" sqref="A3" pane="bottomLeft"/>
      <selection activeCell="H3" sqref="H3" pane="bottomRight"/>
    </sheetView>
  </sheetViews>
  <sheetFormatPr customHeight="1" defaultColWidth="12.63" defaultRowHeight="15.0"/>
  <cols>
    <col customWidth="1" min="1" max="1" width="9.88"/>
    <col customWidth="1" min="2" max="2" width="32.25"/>
    <col customWidth="1" min="3" max="3" width="17.13"/>
    <col customWidth="1" min="4" max="4" width="21.0"/>
    <col customWidth="1" min="5" max="5" width="37.75"/>
    <col customWidth="1" min="6" max="6" width="12.0"/>
    <col customWidth="1" min="7" max="7" width="24.0"/>
    <col customWidth="1" min="8" max="8" width="11.13"/>
    <col customWidth="1" min="9" max="9" width="14.88"/>
    <col customWidth="1" min="10" max="10" width="11.38"/>
    <col customWidth="1" min="11" max="11" width="14.88"/>
  </cols>
  <sheetData>
    <row r="1" ht="33.0" customHeight="1">
      <c r="A1" s="252"/>
      <c r="B1" s="252"/>
      <c r="C1" s="252"/>
      <c r="D1" s="252"/>
      <c r="E1" s="253"/>
      <c r="F1" s="254"/>
      <c r="G1" s="255">
        <f>COUNTA(G3:G515)</f>
        <v>63</v>
      </c>
      <c r="H1" s="256">
        <f>SUM(H3:H515)</f>
        <v>34.4</v>
      </c>
      <c r="I1" s="257" t="str">
        <f>IFERROR(__xludf.DUMMYFUNCTION("CONCATENATE(""repetidos = "",COUNTA(G3:G515)-COUNTUNIQUE(I3:I515))"),"repetidos = 0")</f>
        <v>repetidos = 0</v>
      </c>
      <c r="J1" s="233" t="str">
        <f>CONCATENATE("NO VIGENTE = ",COUNTIF(J3:J515,"NO VIGENTE"))</f>
        <v>NO VIGENTE = 0</v>
      </c>
      <c r="K1" s="257"/>
    </row>
    <row r="2" ht="33.0" customHeight="1">
      <c r="A2" s="177" t="s">
        <v>72</v>
      </c>
      <c r="B2" s="177" t="s">
        <v>56</v>
      </c>
      <c r="C2" s="204" t="s">
        <v>140</v>
      </c>
      <c r="D2" s="204" t="s">
        <v>141</v>
      </c>
      <c r="E2" s="206" t="s">
        <v>142</v>
      </c>
      <c r="F2" s="205" t="s">
        <v>143</v>
      </c>
      <c r="G2" s="234" t="s">
        <v>144</v>
      </c>
      <c r="H2" s="258" t="s">
        <v>145</v>
      </c>
      <c r="I2" s="258" t="s">
        <v>146</v>
      </c>
      <c r="J2" s="209" t="s">
        <v>148</v>
      </c>
      <c r="K2" s="259"/>
    </row>
    <row r="3" ht="18.0" customHeight="1">
      <c r="A3" s="212"/>
      <c r="B3" s="236"/>
      <c r="C3" s="212"/>
      <c r="D3" s="212"/>
      <c r="E3" s="212"/>
      <c r="F3" s="260"/>
      <c r="G3" s="248"/>
      <c r="H3" s="240"/>
      <c r="I3" s="216"/>
      <c r="J3" s="216"/>
      <c r="K3" s="216"/>
    </row>
    <row r="4" ht="18.0" customHeight="1">
      <c r="A4" s="235" t="s">
        <v>232</v>
      </c>
      <c r="B4" s="261" t="s">
        <v>233</v>
      </c>
      <c r="C4" s="235" t="s">
        <v>21</v>
      </c>
      <c r="D4" s="235" t="s">
        <v>234</v>
      </c>
      <c r="E4" s="235" t="s">
        <v>235</v>
      </c>
      <c r="F4" s="262">
        <v>0.45</v>
      </c>
      <c r="G4" s="239" t="s">
        <v>152</v>
      </c>
      <c r="H4" s="263">
        <v>2.0</v>
      </c>
      <c r="I4" s="216" t="str">
        <f t="shared" ref="I4:I26" si="1">IF(B4="","",CONCATENATE(B4,C4,D4,E4))</f>
        <v>PRUEBAREUNIONEQUIPOREUNIÓN EQUIPO PYP CESFAM</v>
      </c>
      <c r="J4" s="216"/>
      <c r="K4" s="216"/>
    </row>
    <row r="5" ht="18.0" customHeight="1">
      <c r="A5" s="235" t="s">
        <v>236</v>
      </c>
      <c r="B5" s="235" t="s">
        <v>133</v>
      </c>
      <c r="C5" s="235" t="s">
        <v>21</v>
      </c>
      <c r="D5" s="235" t="s">
        <v>160</v>
      </c>
      <c r="E5" s="235" t="s">
        <v>237</v>
      </c>
      <c r="F5" s="262">
        <v>0.75</v>
      </c>
      <c r="G5" s="239" t="s">
        <v>209</v>
      </c>
      <c r="H5" s="263"/>
      <c r="I5" s="216" t="str">
        <f t="shared" si="1"/>
        <v>PAULINA DIAZ MEDINAREUNIONCOMUNIDADCOMSE</v>
      </c>
      <c r="J5" s="216"/>
      <c r="K5" s="216"/>
    </row>
    <row r="6" ht="18.0" customHeight="1">
      <c r="A6" s="235" t="s">
        <v>238</v>
      </c>
      <c r="B6" s="235" t="s">
        <v>129</v>
      </c>
      <c r="C6" s="235" t="s">
        <v>21</v>
      </c>
      <c r="D6" s="235" t="s">
        <v>160</v>
      </c>
      <c r="E6" s="235" t="s">
        <v>237</v>
      </c>
      <c r="F6" s="262">
        <v>0.75</v>
      </c>
      <c r="G6" s="239" t="s">
        <v>209</v>
      </c>
      <c r="H6" s="240">
        <f>SUMIF(G6,"Independiente",F6)</f>
        <v>0</v>
      </c>
      <c r="I6" s="216" t="str">
        <f t="shared" si="1"/>
        <v>VANESSA ESPINOZA ESPINOZAREUNIONCOMUNIDADCOMSE</v>
      </c>
      <c r="J6" s="216"/>
      <c r="K6" s="216"/>
    </row>
    <row r="7" ht="18.0" customHeight="1">
      <c r="A7" s="235" t="s">
        <v>239</v>
      </c>
      <c r="B7" s="235" t="s">
        <v>95</v>
      </c>
      <c r="C7" s="235" t="s">
        <v>21</v>
      </c>
      <c r="D7" s="235" t="s">
        <v>56</v>
      </c>
      <c r="E7" s="235" t="s">
        <v>240</v>
      </c>
      <c r="F7" s="262">
        <v>0.6</v>
      </c>
      <c r="G7" s="239" t="s">
        <v>152</v>
      </c>
      <c r="H7" s="240"/>
      <c r="I7" s="216" t="str">
        <f t="shared" si="1"/>
        <v>SORAYA CRUCES DIAZREUNIONFUNCIONARIOAUTOCUIDADO</v>
      </c>
      <c r="J7" s="216"/>
      <c r="K7" s="216"/>
    </row>
    <row r="8" ht="18.0" customHeight="1">
      <c r="A8" s="235" t="s">
        <v>241</v>
      </c>
      <c r="B8" s="235" t="s">
        <v>95</v>
      </c>
      <c r="C8" s="235" t="s">
        <v>21</v>
      </c>
      <c r="D8" s="235" t="s">
        <v>150</v>
      </c>
      <c r="E8" s="235" t="s">
        <v>242</v>
      </c>
      <c r="F8" s="262">
        <v>0.5</v>
      </c>
      <c r="G8" s="239" t="s">
        <v>152</v>
      </c>
      <c r="H8" s="240">
        <f t="shared" ref="H8:H26" si="2">SUMIF(G8,"Independiente",F8)</f>
        <v>0.5</v>
      </c>
      <c r="I8" s="216" t="str">
        <f t="shared" si="1"/>
        <v>SORAYA CRUCES DIAZREUNIONMAISFCCONSEJO AMPLIADO</v>
      </c>
      <c r="J8" s="216"/>
      <c r="K8" s="216"/>
    </row>
    <row r="9" ht="18.0" customHeight="1">
      <c r="A9" s="235" t="s">
        <v>243</v>
      </c>
      <c r="B9" s="235" t="s">
        <v>95</v>
      </c>
      <c r="C9" s="235" t="s">
        <v>21</v>
      </c>
      <c r="D9" s="235" t="s">
        <v>150</v>
      </c>
      <c r="E9" s="235" t="s">
        <v>244</v>
      </c>
      <c r="F9" s="262">
        <v>0.5</v>
      </c>
      <c r="G9" s="239" t="s">
        <v>152</v>
      </c>
      <c r="H9" s="240">
        <f t="shared" si="2"/>
        <v>0.5</v>
      </c>
      <c r="I9" s="216" t="str">
        <f t="shared" si="1"/>
        <v>SORAYA CRUCES DIAZREUNIONMAISFCREUNIÓN EQUIPO CABECERA</v>
      </c>
      <c r="J9" s="216"/>
      <c r="K9" s="216"/>
    </row>
    <row r="10" ht="18.0" customHeight="1">
      <c r="A10" s="235" t="s">
        <v>245</v>
      </c>
      <c r="B10" s="235" t="s">
        <v>95</v>
      </c>
      <c r="C10" s="235" t="s">
        <v>21</v>
      </c>
      <c r="D10" s="235" t="s">
        <v>150</v>
      </c>
      <c r="E10" s="235" t="s">
        <v>246</v>
      </c>
      <c r="F10" s="262">
        <v>0.6</v>
      </c>
      <c r="G10" s="239" t="s">
        <v>152</v>
      </c>
      <c r="H10" s="240">
        <f t="shared" si="2"/>
        <v>0.6</v>
      </c>
      <c r="I10" s="216" t="str">
        <f t="shared" si="1"/>
        <v>SORAYA CRUCES DIAZREUNIONMAISFCREUNIÓN SECTOR (2 HRS - X12)</v>
      </c>
      <c r="J10" s="216"/>
      <c r="K10" s="216"/>
    </row>
    <row r="11" ht="18.0" customHeight="1">
      <c r="A11" s="235" t="s">
        <v>247</v>
      </c>
      <c r="B11" s="235" t="s">
        <v>86</v>
      </c>
      <c r="C11" s="235" t="s">
        <v>21</v>
      </c>
      <c r="D11" s="235" t="s">
        <v>56</v>
      </c>
      <c r="E11" s="235" t="s">
        <v>240</v>
      </c>
      <c r="F11" s="262">
        <v>0.6</v>
      </c>
      <c r="G11" s="239" t="s">
        <v>152</v>
      </c>
      <c r="H11" s="240">
        <f t="shared" si="2"/>
        <v>0.6</v>
      </c>
      <c r="I11" s="216" t="str">
        <f t="shared" si="1"/>
        <v>GERARDO VALENCIA BERMUDEZREUNIONFUNCIONARIOAUTOCUIDADO</v>
      </c>
      <c r="J11" s="216"/>
      <c r="K11" s="216"/>
    </row>
    <row r="12" ht="18.0" customHeight="1">
      <c r="A12" s="235" t="s">
        <v>248</v>
      </c>
      <c r="B12" s="235" t="s">
        <v>86</v>
      </c>
      <c r="C12" s="235" t="s">
        <v>21</v>
      </c>
      <c r="D12" s="235" t="s">
        <v>150</v>
      </c>
      <c r="E12" s="235" t="s">
        <v>242</v>
      </c>
      <c r="F12" s="262">
        <v>0.5</v>
      </c>
      <c r="G12" s="239" t="s">
        <v>152</v>
      </c>
      <c r="H12" s="240">
        <f t="shared" si="2"/>
        <v>0.5</v>
      </c>
      <c r="I12" s="216" t="str">
        <f t="shared" si="1"/>
        <v>GERARDO VALENCIA BERMUDEZREUNIONMAISFCCONSEJO AMPLIADO</v>
      </c>
      <c r="J12" s="216"/>
      <c r="K12" s="216"/>
    </row>
    <row r="13" ht="18.0" customHeight="1">
      <c r="A13" s="235" t="s">
        <v>249</v>
      </c>
      <c r="B13" s="235" t="s">
        <v>86</v>
      </c>
      <c r="C13" s="235" t="s">
        <v>21</v>
      </c>
      <c r="D13" s="235" t="s">
        <v>150</v>
      </c>
      <c r="E13" s="235" t="s">
        <v>244</v>
      </c>
      <c r="F13" s="262">
        <v>0.5</v>
      </c>
      <c r="G13" s="239" t="s">
        <v>152</v>
      </c>
      <c r="H13" s="240">
        <f t="shared" si="2"/>
        <v>0.5</v>
      </c>
      <c r="I13" s="216" t="str">
        <f t="shared" si="1"/>
        <v>GERARDO VALENCIA BERMUDEZREUNIONMAISFCREUNIÓN EQUIPO CABECERA</v>
      </c>
      <c r="J13" s="216"/>
      <c r="K13" s="216"/>
    </row>
    <row r="14" ht="18.0" customHeight="1">
      <c r="A14" s="235" t="s">
        <v>250</v>
      </c>
      <c r="B14" s="235" t="s">
        <v>86</v>
      </c>
      <c r="C14" s="235" t="s">
        <v>21</v>
      </c>
      <c r="D14" s="235" t="s">
        <v>150</v>
      </c>
      <c r="E14" s="235" t="s">
        <v>246</v>
      </c>
      <c r="F14" s="262">
        <v>0.6</v>
      </c>
      <c r="G14" s="239" t="s">
        <v>152</v>
      </c>
      <c r="H14" s="240">
        <f t="shared" si="2"/>
        <v>0.6</v>
      </c>
      <c r="I14" s="216" t="str">
        <f t="shared" si="1"/>
        <v>GERARDO VALENCIA BERMUDEZREUNIONMAISFCREUNIÓN SECTOR (2 HRS - X12)</v>
      </c>
      <c r="J14" s="216"/>
      <c r="K14" s="216"/>
    </row>
    <row r="15" ht="18.0" customHeight="1">
      <c r="A15" s="235" t="s">
        <v>251</v>
      </c>
      <c r="B15" s="235" t="s">
        <v>88</v>
      </c>
      <c r="C15" s="235" t="s">
        <v>21</v>
      </c>
      <c r="D15" s="235" t="s">
        <v>56</v>
      </c>
      <c r="E15" s="235" t="s">
        <v>240</v>
      </c>
      <c r="F15" s="262">
        <v>0.6</v>
      </c>
      <c r="G15" s="239" t="s">
        <v>152</v>
      </c>
      <c r="H15" s="240">
        <f t="shared" si="2"/>
        <v>0.6</v>
      </c>
      <c r="I15" s="216" t="str">
        <f t="shared" si="1"/>
        <v>CONSTANZA PALMA MONTEROREUNIONFUNCIONARIOAUTOCUIDADO</v>
      </c>
      <c r="J15" s="216"/>
      <c r="K15" s="216"/>
    </row>
    <row r="16" ht="18.0" customHeight="1">
      <c r="A16" s="235" t="s">
        <v>252</v>
      </c>
      <c r="B16" s="241" t="s">
        <v>88</v>
      </c>
      <c r="C16" s="235" t="s">
        <v>21</v>
      </c>
      <c r="D16" s="235" t="s">
        <v>150</v>
      </c>
      <c r="E16" s="235" t="s">
        <v>242</v>
      </c>
      <c r="F16" s="262">
        <v>0.5</v>
      </c>
      <c r="G16" s="239" t="s">
        <v>152</v>
      </c>
      <c r="H16" s="240">
        <f t="shared" si="2"/>
        <v>0.5</v>
      </c>
      <c r="I16" s="216" t="str">
        <f t="shared" si="1"/>
        <v>CONSTANZA PALMA MONTEROREUNIONMAISFCCONSEJO AMPLIADO</v>
      </c>
      <c r="J16" s="216"/>
      <c r="K16" s="216"/>
    </row>
    <row r="17" ht="18.0" customHeight="1">
      <c r="A17" s="235" t="s">
        <v>253</v>
      </c>
      <c r="B17" s="235" t="s">
        <v>88</v>
      </c>
      <c r="C17" s="235" t="s">
        <v>21</v>
      </c>
      <c r="D17" s="235" t="s">
        <v>150</v>
      </c>
      <c r="E17" s="235" t="s">
        <v>244</v>
      </c>
      <c r="F17" s="262">
        <v>0.5</v>
      </c>
      <c r="G17" s="239" t="s">
        <v>152</v>
      </c>
      <c r="H17" s="240">
        <f t="shared" si="2"/>
        <v>0.5</v>
      </c>
      <c r="I17" s="216" t="str">
        <f t="shared" si="1"/>
        <v>CONSTANZA PALMA MONTEROREUNIONMAISFCREUNIÓN EQUIPO CABECERA</v>
      </c>
      <c r="J17" s="216"/>
      <c r="K17" s="216"/>
    </row>
    <row r="18" ht="18.0" customHeight="1">
      <c r="A18" s="235" t="s">
        <v>254</v>
      </c>
      <c r="B18" s="235" t="s">
        <v>88</v>
      </c>
      <c r="C18" s="235" t="s">
        <v>21</v>
      </c>
      <c r="D18" s="235" t="s">
        <v>150</v>
      </c>
      <c r="E18" s="235" t="s">
        <v>246</v>
      </c>
      <c r="F18" s="262">
        <v>0.6</v>
      </c>
      <c r="G18" s="239" t="s">
        <v>152</v>
      </c>
      <c r="H18" s="240">
        <f t="shared" si="2"/>
        <v>0.6</v>
      </c>
      <c r="I18" s="216" t="str">
        <f t="shared" si="1"/>
        <v>CONSTANZA PALMA MONTEROREUNIONMAISFCREUNIÓN SECTOR (2 HRS - X12)</v>
      </c>
      <c r="J18" s="216"/>
      <c r="K18" s="216"/>
    </row>
    <row r="19" ht="18.0" customHeight="1">
      <c r="A19" s="235" t="s">
        <v>255</v>
      </c>
      <c r="B19" s="235" t="s">
        <v>135</v>
      </c>
      <c r="C19" s="235" t="s">
        <v>21</v>
      </c>
      <c r="D19" s="235" t="s">
        <v>56</v>
      </c>
      <c r="E19" s="235" t="s">
        <v>240</v>
      </c>
      <c r="F19" s="262">
        <v>0.6</v>
      </c>
      <c r="G19" s="239" t="s">
        <v>152</v>
      </c>
      <c r="H19" s="240">
        <f t="shared" si="2"/>
        <v>0.6</v>
      </c>
      <c r="I19" s="216" t="str">
        <f t="shared" si="1"/>
        <v>CAROL AMBO AMPUEROREUNIONFUNCIONARIOAUTOCUIDADO</v>
      </c>
      <c r="J19" s="216"/>
      <c r="K19" s="216"/>
    </row>
    <row r="20" ht="18.0" customHeight="1">
      <c r="A20" s="245" t="s">
        <v>256</v>
      </c>
      <c r="B20" s="235" t="s">
        <v>135</v>
      </c>
      <c r="C20" s="235" t="s">
        <v>21</v>
      </c>
      <c r="D20" s="235" t="s">
        <v>150</v>
      </c>
      <c r="E20" s="235" t="s">
        <v>242</v>
      </c>
      <c r="F20" s="262">
        <v>0.5</v>
      </c>
      <c r="G20" s="239" t="s">
        <v>152</v>
      </c>
      <c r="H20" s="240">
        <f t="shared" si="2"/>
        <v>0.5</v>
      </c>
      <c r="I20" s="216" t="str">
        <f t="shared" si="1"/>
        <v>CAROL AMBO AMPUEROREUNIONMAISFCCONSEJO AMPLIADO</v>
      </c>
      <c r="J20" s="216"/>
      <c r="K20" s="216"/>
    </row>
    <row r="21" ht="18.0" customHeight="1">
      <c r="A21" s="235" t="s">
        <v>257</v>
      </c>
      <c r="B21" s="235" t="s">
        <v>135</v>
      </c>
      <c r="C21" s="235" t="s">
        <v>21</v>
      </c>
      <c r="D21" s="235" t="s">
        <v>150</v>
      </c>
      <c r="E21" s="235" t="s">
        <v>244</v>
      </c>
      <c r="F21" s="262">
        <v>0.5</v>
      </c>
      <c r="G21" s="239" t="s">
        <v>152</v>
      </c>
      <c r="H21" s="240">
        <f t="shared" si="2"/>
        <v>0.5</v>
      </c>
      <c r="I21" s="216" t="str">
        <f t="shared" si="1"/>
        <v>CAROL AMBO AMPUEROREUNIONMAISFCREUNIÓN EQUIPO CABECERA</v>
      </c>
      <c r="J21" s="216"/>
      <c r="K21" s="216"/>
    </row>
    <row r="22" ht="18.0" customHeight="1">
      <c r="A22" s="235" t="s">
        <v>258</v>
      </c>
      <c r="B22" s="235" t="s">
        <v>135</v>
      </c>
      <c r="C22" s="235" t="s">
        <v>21</v>
      </c>
      <c r="D22" s="235" t="s">
        <v>150</v>
      </c>
      <c r="E22" s="235" t="s">
        <v>246</v>
      </c>
      <c r="F22" s="262">
        <v>0.6</v>
      </c>
      <c r="G22" s="239" t="s">
        <v>152</v>
      </c>
      <c r="H22" s="240">
        <f t="shared" si="2"/>
        <v>0.6</v>
      </c>
      <c r="I22" s="216" t="str">
        <f t="shared" si="1"/>
        <v>CAROL AMBO AMPUEROREUNIONMAISFCREUNIÓN SECTOR (2 HRS - X12)</v>
      </c>
      <c r="J22" s="216"/>
      <c r="K22" s="216"/>
    </row>
    <row r="23" ht="18.0" customHeight="1">
      <c r="A23" s="235" t="s">
        <v>259</v>
      </c>
      <c r="B23" s="235" t="s">
        <v>101</v>
      </c>
      <c r="C23" s="235" t="s">
        <v>21</v>
      </c>
      <c r="D23" s="235" t="s">
        <v>56</v>
      </c>
      <c r="E23" s="235" t="s">
        <v>240</v>
      </c>
      <c r="F23" s="262">
        <v>0.6</v>
      </c>
      <c r="G23" s="239" t="s">
        <v>152</v>
      </c>
      <c r="H23" s="240">
        <f t="shared" si="2"/>
        <v>0.6</v>
      </c>
      <c r="I23" s="216" t="str">
        <f t="shared" si="1"/>
        <v>ALEJANDRO REYES MURILLOREUNIONFUNCIONARIOAUTOCUIDADO</v>
      </c>
      <c r="J23" s="216"/>
      <c r="K23" s="216"/>
    </row>
    <row r="24" ht="18.0" customHeight="1">
      <c r="A24" s="235" t="s">
        <v>260</v>
      </c>
      <c r="B24" s="235" t="s">
        <v>101</v>
      </c>
      <c r="C24" s="235" t="s">
        <v>21</v>
      </c>
      <c r="D24" s="235" t="s">
        <v>150</v>
      </c>
      <c r="E24" s="235" t="s">
        <v>242</v>
      </c>
      <c r="F24" s="262">
        <v>0.5</v>
      </c>
      <c r="G24" s="239" t="s">
        <v>152</v>
      </c>
      <c r="H24" s="240">
        <f t="shared" si="2"/>
        <v>0.5</v>
      </c>
      <c r="I24" s="216" t="str">
        <f t="shared" si="1"/>
        <v>ALEJANDRO REYES MURILLOREUNIONMAISFCCONSEJO AMPLIADO</v>
      </c>
      <c r="J24" s="216"/>
      <c r="K24" s="216"/>
    </row>
    <row r="25" ht="18.0" customHeight="1">
      <c r="A25" s="235" t="s">
        <v>261</v>
      </c>
      <c r="B25" s="235" t="s">
        <v>101</v>
      </c>
      <c r="C25" s="235" t="s">
        <v>21</v>
      </c>
      <c r="D25" s="235" t="s">
        <v>150</v>
      </c>
      <c r="E25" s="235" t="s">
        <v>244</v>
      </c>
      <c r="F25" s="262">
        <v>0.5</v>
      </c>
      <c r="G25" s="239" t="s">
        <v>152</v>
      </c>
      <c r="H25" s="240">
        <f t="shared" si="2"/>
        <v>0.5</v>
      </c>
      <c r="I25" s="216" t="str">
        <f t="shared" si="1"/>
        <v>ALEJANDRO REYES MURILLOREUNIONMAISFCREUNIÓN EQUIPO CABECERA</v>
      </c>
      <c r="J25" s="216"/>
      <c r="K25" s="216"/>
    </row>
    <row r="26" ht="18.0" customHeight="1">
      <c r="A26" s="235" t="s">
        <v>262</v>
      </c>
      <c r="B26" s="235" t="s">
        <v>101</v>
      </c>
      <c r="C26" s="235" t="s">
        <v>21</v>
      </c>
      <c r="D26" s="235" t="s">
        <v>150</v>
      </c>
      <c r="E26" s="235" t="s">
        <v>246</v>
      </c>
      <c r="F26" s="262">
        <v>0.6</v>
      </c>
      <c r="G26" s="239" t="s">
        <v>152</v>
      </c>
      <c r="H26" s="240">
        <f t="shared" si="2"/>
        <v>0.6</v>
      </c>
      <c r="I26" s="216" t="str">
        <f t="shared" si="1"/>
        <v>ALEJANDRO REYES MURILLOREUNIONMAISFCREUNIÓN SECTOR (2 HRS - X12)</v>
      </c>
      <c r="J26" s="216"/>
      <c r="K26" s="216"/>
    </row>
    <row r="27" ht="18.0" customHeight="1">
      <c r="A27" s="235"/>
      <c r="B27" s="235"/>
      <c r="C27" s="235"/>
      <c r="D27" s="235"/>
      <c r="E27" s="235"/>
      <c r="F27" s="262"/>
      <c r="G27" s="239"/>
      <c r="H27" s="240"/>
      <c r="I27" s="216"/>
      <c r="J27" s="216"/>
      <c r="K27" s="216"/>
    </row>
    <row r="28" ht="18.0" customHeight="1">
      <c r="A28" s="235" t="s">
        <v>263</v>
      </c>
      <c r="B28" s="235" t="s">
        <v>138</v>
      </c>
      <c r="C28" s="235" t="s">
        <v>21</v>
      </c>
      <c r="D28" s="235" t="s">
        <v>150</v>
      </c>
      <c r="E28" s="235" t="s">
        <v>242</v>
      </c>
      <c r="F28" s="262">
        <v>0.5</v>
      </c>
      <c r="G28" s="239" t="s">
        <v>152</v>
      </c>
      <c r="H28" s="240">
        <f t="shared" ref="H28:H31" si="3">SUMIF(G28,"Independiente",F28)</f>
        <v>0.5</v>
      </c>
      <c r="I28" s="216" t="str">
        <f t="shared" ref="I28:I31" si="4">IF(B28="","",CONCATENATE(B28,C28,D28,E28))</f>
        <v>PAULA ABARCA MORALESREUNIONMAISFCCONSEJO AMPLIADO</v>
      </c>
      <c r="J28" s="216"/>
      <c r="K28" s="216"/>
    </row>
    <row r="29" ht="18.0" customHeight="1">
      <c r="A29" s="235" t="s">
        <v>264</v>
      </c>
      <c r="B29" s="235" t="s">
        <v>138</v>
      </c>
      <c r="C29" s="235" t="s">
        <v>21</v>
      </c>
      <c r="D29" s="235" t="s">
        <v>150</v>
      </c>
      <c r="E29" s="235" t="s">
        <v>244</v>
      </c>
      <c r="F29" s="262">
        <v>0.5</v>
      </c>
      <c r="G29" s="239" t="s">
        <v>152</v>
      </c>
      <c r="H29" s="240">
        <f t="shared" si="3"/>
        <v>0.5</v>
      </c>
      <c r="I29" s="216" t="str">
        <f t="shared" si="4"/>
        <v>PAULA ABARCA MORALESREUNIONMAISFCREUNIÓN EQUIPO CABECERA</v>
      </c>
      <c r="J29" s="216"/>
      <c r="K29" s="216"/>
    </row>
    <row r="30" ht="18.0" customHeight="1">
      <c r="A30" s="235" t="s">
        <v>265</v>
      </c>
      <c r="B30" s="235" t="s">
        <v>138</v>
      </c>
      <c r="C30" s="235" t="s">
        <v>21</v>
      </c>
      <c r="D30" s="235" t="s">
        <v>150</v>
      </c>
      <c r="E30" s="235" t="s">
        <v>246</v>
      </c>
      <c r="F30" s="262">
        <v>0.6</v>
      </c>
      <c r="G30" s="239" t="s">
        <v>152</v>
      </c>
      <c r="H30" s="240">
        <f t="shared" si="3"/>
        <v>0.6</v>
      </c>
      <c r="I30" s="216" t="str">
        <f t="shared" si="4"/>
        <v>PAULA ABARCA MORALESREUNIONMAISFCREUNIÓN SECTOR (2 HRS - X12)</v>
      </c>
      <c r="J30" s="216"/>
      <c r="K30" s="216"/>
    </row>
    <row r="31" ht="18.0" customHeight="1">
      <c r="A31" s="235" t="s">
        <v>266</v>
      </c>
      <c r="B31" s="235" t="s">
        <v>138</v>
      </c>
      <c r="C31" s="235" t="s">
        <v>21</v>
      </c>
      <c r="D31" s="235" t="s">
        <v>56</v>
      </c>
      <c r="E31" s="235" t="s">
        <v>240</v>
      </c>
      <c r="F31" s="262">
        <v>0.6</v>
      </c>
      <c r="G31" s="239" t="s">
        <v>152</v>
      </c>
      <c r="H31" s="240">
        <f t="shared" si="3"/>
        <v>0.6</v>
      </c>
      <c r="I31" s="216" t="str">
        <f t="shared" si="4"/>
        <v>PAULA ABARCA MORALESREUNIONFUNCIONARIOAUTOCUIDADO</v>
      </c>
      <c r="J31" s="216"/>
      <c r="K31" s="216"/>
    </row>
    <row r="32" ht="18.0" customHeight="1">
      <c r="A32" s="235"/>
      <c r="B32" s="235"/>
      <c r="C32" s="235"/>
      <c r="D32" s="235"/>
      <c r="E32" s="235"/>
      <c r="F32" s="262"/>
      <c r="G32" s="239"/>
      <c r="H32" s="240"/>
      <c r="I32" s="216"/>
      <c r="J32" s="216"/>
      <c r="K32" s="216"/>
    </row>
    <row r="33" ht="18.0" customHeight="1">
      <c r="A33" s="235"/>
      <c r="B33" s="235"/>
      <c r="C33" s="235"/>
      <c r="D33" s="235"/>
      <c r="E33" s="235"/>
      <c r="F33" s="262"/>
      <c r="G33" s="239"/>
      <c r="H33" s="240"/>
      <c r="I33" s="216"/>
      <c r="J33" s="216"/>
      <c r="K33" s="216"/>
    </row>
    <row r="34" ht="18.0" customHeight="1">
      <c r="A34" s="235"/>
      <c r="B34" s="235"/>
      <c r="C34" s="235"/>
      <c r="D34" s="235"/>
      <c r="E34" s="235"/>
      <c r="F34" s="262"/>
      <c r="G34" s="239"/>
      <c r="H34" s="240"/>
      <c r="I34" s="216"/>
      <c r="J34" s="216"/>
      <c r="K34" s="216"/>
    </row>
    <row r="35" ht="18.0" customHeight="1">
      <c r="A35" s="235" t="s">
        <v>267</v>
      </c>
      <c r="B35" s="235" t="s">
        <v>133</v>
      </c>
      <c r="C35" s="235" t="s">
        <v>21</v>
      </c>
      <c r="D35" s="235" t="s">
        <v>56</v>
      </c>
      <c r="E35" s="235" t="s">
        <v>240</v>
      </c>
      <c r="F35" s="262">
        <v>0.6</v>
      </c>
      <c r="G35" s="239" t="s">
        <v>152</v>
      </c>
      <c r="H35" s="240">
        <f t="shared" ref="H35:H359" si="5">SUMIF(G35,"Independiente",F35)</f>
        <v>0.6</v>
      </c>
      <c r="I35" s="216" t="str">
        <f t="shared" ref="I35:I515" si="6">IF(B35="","",CONCATENATE(B35,C35,D35,E35))</f>
        <v>PAULINA DIAZ MEDINAREUNIONFUNCIONARIOAUTOCUIDADO</v>
      </c>
      <c r="J35" s="216"/>
      <c r="K35" s="216"/>
    </row>
    <row r="36" ht="18.0" customHeight="1">
      <c r="A36" s="235" t="s">
        <v>268</v>
      </c>
      <c r="B36" s="235" t="s">
        <v>133</v>
      </c>
      <c r="C36" s="235" t="s">
        <v>21</v>
      </c>
      <c r="D36" s="235" t="s">
        <v>150</v>
      </c>
      <c r="E36" s="235" t="s">
        <v>242</v>
      </c>
      <c r="F36" s="262">
        <v>0.5</v>
      </c>
      <c r="G36" s="239" t="s">
        <v>152</v>
      </c>
      <c r="H36" s="240">
        <f t="shared" si="5"/>
        <v>0.5</v>
      </c>
      <c r="I36" s="216" t="str">
        <f t="shared" si="6"/>
        <v>PAULINA DIAZ MEDINAREUNIONMAISFCCONSEJO AMPLIADO</v>
      </c>
      <c r="J36" s="216"/>
      <c r="K36" s="216"/>
    </row>
    <row r="37" ht="18.0" customHeight="1">
      <c r="A37" s="235" t="s">
        <v>269</v>
      </c>
      <c r="B37" s="235" t="s">
        <v>133</v>
      </c>
      <c r="C37" s="235" t="s">
        <v>21</v>
      </c>
      <c r="D37" s="235" t="s">
        <v>150</v>
      </c>
      <c r="E37" s="235" t="s">
        <v>244</v>
      </c>
      <c r="F37" s="262">
        <v>0.5</v>
      </c>
      <c r="G37" s="239" t="s">
        <v>152</v>
      </c>
      <c r="H37" s="240">
        <f t="shared" si="5"/>
        <v>0.5</v>
      </c>
      <c r="I37" s="216" t="str">
        <f t="shared" si="6"/>
        <v>PAULINA DIAZ MEDINAREUNIONMAISFCREUNIÓN EQUIPO CABECERA</v>
      </c>
      <c r="J37" s="216"/>
      <c r="K37" s="216"/>
    </row>
    <row r="38" ht="18.0" customHeight="1">
      <c r="A38" s="235" t="s">
        <v>270</v>
      </c>
      <c r="B38" s="235" t="s">
        <v>133</v>
      </c>
      <c r="C38" s="235" t="s">
        <v>21</v>
      </c>
      <c r="D38" s="235" t="s">
        <v>150</v>
      </c>
      <c r="E38" s="235" t="s">
        <v>246</v>
      </c>
      <c r="F38" s="262">
        <v>0.6</v>
      </c>
      <c r="G38" s="239" t="s">
        <v>152</v>
      </c>
      <c r="H38" s="240">
        <f t="shared" si="5"/>
        <v>0.6</v>
      </c>
      <c r="I38" s="216" t="str">
        <f t="shared" si="6"/>
        <v>PAULINA DIAZ MEDINAREUNIONMAISFCREUNIÓN SECTOR (2 HRS - X12)</v>
      </c>
      <c r="J38" s="216"/>
      <c r="K38" s="216"/>
    </row>
    <row r="39" ht="18.0" customHeight="1">
      <c r="A39" s="235" t="s">
        <v>271</v>
      </c>
      <c r="B39" s="235" t="s">
        <v>110</v>
      </c>
      <c r="C39" s="235" t="s">
        <v>21</v>
      </c>
      <c r="D39" s="235" t="s">
        <v>56</v>
      </c>
      <c r="E39" s="235" t="s">
        <v>240</v>
      </c>
      <c r="F39" s="262">
        <v>0.6</v>
      </c>
      <c r="G39" s="239" t="s">
        <v>152</v>
      </c>
      <c r="H39" s="240">
        <f t="shared" si="5"/>
        <v>0.6</v>
      </c>
      <c r="I39" s="216" t="str">
        <f t="shared" si="6"/>
        <v>DANIELA ROJAS GAMBOAREUNIONFUNCIONARIOAUTOCUIDADO</v>
      </c>
      <c r="J39" s="216"/>
      <c r="K39" s="216"/>
    </row>
    <row r="40" ht="18.0" customHeight="1">
      <c r="A40" s="235" t="s">
        <v>272</v>
      </c>
      <c r="B40" s="235" t="s">
        <v>110</v>
      </c>
      <c r="C40" s="235" t="s">
        <v>21</v>
      </c>
      <c r="D40" s="235" t="s">
        <v>150</v>
      </c>
      <c r="E40" s="235" t="s">
        <v>242</v>
      </c>
      <c r="F40" s="262">
        <v>0.5</v>
      </c>
      <c r="G40" s="239" t="s">
        <v>152</v>
      </c>
      <c r="H40" s="240">
        <f t="shared" si="5"/>
        <v>0.5</v>
      </c>
      <c r="I40" s="216" t="str">
        <f t="shared" si="6"/>
        <v>DANIELA ROJAS GAMBOAREUNIONMAISFCCONSEJO AMPLIADO</v>
      </c>
      <c r="J40" s="216"/>
      <c r="K40" s="216"/>
    </row>
    <row r="41" ht="18.0" customHeight="1">
      <c r="A41" s="235" t="s">
        <v>273</v>
      </c>
      <c r="B41" s="235" t="s">
        <v>110</v>
      </c>
      <c r="C41" s="235" t="s">
        <v>21</v>
      </c>
      <c r="D41" s="235" t="s">
        <v>150</v>
      </c>
      <c r="E41" s="235" t="s">
        <v>246</v>
      </c>
      <c r="F41" s="262">
        <v>0.6</v>
      </c>
      <c r="G41" s="239" t="s">
        <v>152</v>
      </c>
      <c r="H41" s="240">
        <f t="shared" si="5"/>
        <v>0.6</v>
      </c>
      <c r="I41" s="216" t="str">
        <f t="shared" si="6"/>
        <v>DANIELA ROJAS GAMBOAREUNIONMAISFCREUNIÓN SECTOR (2 HRS - X12)</v>
      </c>
      <c r="J41" s="216"/>
      <c r="K41" s="216"/>
    </row>
    <row r="42" ht="18.0" customHeight="1">
      <c r="A42" s="235" t="s">
        <v>274</v>
      </c>
      <c r="B42" s="235" t="s">
        <v>110</v>
      </c>
      <c r="C42" s="235" t="s">
        <v>21</v>
      </c>
      <c r="D42" s="235" t="s">
        <v>150</v>
      </c>
      <c r="E42" s="235" t="s">
        <v>244</v>
      </c>
      <c r="F42" s="262">
        <v>0.5</v>
      </c>
      <c r="G42" s="239" t="s">
        <v>152</v>
      </c>
      <c r="H42" s="240">
        <f t="shared" si="5"/>
        <v>0.5</v>
      </c>
      <c r="I42" s="216" t="str">
        <f t="shared" si="6"/>
        <v>DANIELA ROJAS GAMBOAREUNIONMAISFCREUNIÓN EQUIPO CABECERA</v>
      </c>
      <c r="J42" s="216"/>
      <c r="K42" s="216"/>
    </row>
    <row r="43" ht="18.0" customHeight="1">
      <c r="A43" s="235" t="s">
        <v>275</v>
      </c>
      <c r="B43" s="235" t="s">
        <v>112</v>
      </c>
      <c r="C43" s="235" t="s">
        <v>21</v>
      </c>
      <c r="D43" s="235" t="s">
        <v>56</v>
      </c>
      <c r="E43" s="235" t="s">
        <v>240</v>
      </c>
      <c r="F43" s="262">
        <v>0.6</v>
      </c>
      <c r="G43" s="239" t="s">
        <v>152</v>
      </c>
      <c r="H43" s="240">
        <f t="shared" si="5"/>
        <v>0.6</v>
      </c>
      <c r="I43" s="216" t="str">
        <f t="shared" si="6"/>
        <v>LUIS GONZALEZ SEPULVEDAREUNIONFUNCIONARIOAUTOCUIDADO</v>
      </c>
      <c r="J43" s="216"/>
      <c r="K43" s="216"/>
    </row>
    <row r="44" ht="18.0" customHeight="1">
      <c r="A44" s="235" t="s">
        <v>276</v>
      </c>
      <c r="B44" s="235" t="s">
        <v>112</v>
      </c>
      <c r="C44" s="235" t="s">
        <v>21</v>
      </c>
      <c r="D44" s="235" t="s">
        <v>150</v>
      </c>
      <c r="E44" s="235" t="s">
        <v>242</v>
      </c>
      <c r="F44" s="262">
        <v>0.5</v>
      </c>
      <c r="G44" s="239" t="s">
        <v>152</v>
      </c>
      <c r="H44" s="240">
        <f t="shared" si="5"/>
        <v>0.5</v>
      </c>
      <c r="I44" s="216" t="str">
        <f t="shared" si="6"/>
        <v>LUIS GONZALEZ SEPULVEDAREUNIONMAISFCCONSEJO AMPLIADO</v>
      </c>
      <c r="J44" s="216"/>
      <c r="K44" s="216"/>
    </row>
    <row r="45" ht="18.0" customHeight="1">
      <c r="A45" s="235" t="s">
        <v>277</v>
      </c>
      <c r="B45" s="235" t="s">
        <v>112</v>
      </c>
      <c r="C45" s="235" t="s">
        <v>21</v>
      </c>
      <c r="D45" s="235" t="s">
        <v>150</v>
      </c>
      <c r="E45" s="235" t="s">
        <v>244</v>
      </c>
      <c r="F45" s="262">
        <v>0.5</v>
      </c>
      <c r="G45" s="239" t="s">
        <v>152</v>
      </c>
      <c r="H45" s="240">
        <f t="shared" si="5"/>
        <v>0.5</v>
      </c>
      <c r="I45" s="216" t="str">
        <f t="shared" si="6"/>
        <v>LUIS GONZALEZ SEPULVEDAREUNIONMAISFCREUNIÓN EQUIPO CABECERA</v>
      </c>
      <c r="J45" s="216"/>
      <c r="K45" s="216"/>
    </row>
    <row r="46" ht="18.0" customHeight="1">
      <c r="A46" s="235" t="s">
        <v>278</v>
      </c>
      <c r="B46" s="235" t="s">
        <v>112</v>
      </c>
      <c r="C46" s="235" t="s">
        <v>21</v>
      </c>
      <c r="D46" s="235" t="s">
        <v>150</v>
      </c>
      <c r="E46" s="235" t="s">
        <v>246</v>
      </c>
      <c r="F46" s="262">
        <v>0.6</v>
      </c>
      <c r="G46" s="239" t="s">
        <v>152</v>
      </c>
      <c r="H46" s="240">
        <f t="shared" si="5"/>
        <v>0.6</v>
      </c>
      <c r="I46" s="216" t="str">
        <f t="shared" si="6"/>
        <v>LUIS GONZALEZ SEPULVEDAREUNIONMAISFCREUNIÓN SECTOR (2 HRS - X12)</v>
      </c>
      <c r="J46" s="216"/>
      <c r="K46" s="216"/>
    </row>
    <row r="47" ht="18.0" customHeight="1">
      <c r="A47" s="235" t="s">
        <v>279</v>
      </c>
      <c r="B47" s="235" t="s">
        <v>131</v>
      </c>
      <c r="C47" s="235" t="s">
        <v>21</v>
      </c>
      <c r="D47" s="235" t="s">
        <v>56</v>
      </c>
      <c r="E47" s="235" t="s">
        <v>240</v>
      </c>
      <c r="F47" s="262">
        <v>0.6</v>
      </c>
      <c r="G47" s="239" t="s">
        <v>152</v>
      </c>
      <c r="H47" s="240">
        <f t="shared" si="5"/>
        <v>0.6</v>
      </c>
      <c r="I47" s="216" t="str">
        <f t="shared" si="6"/>
        <v>MYRRHA ANDAUR MARTINEZREUNIONFUNCIONARIOAUTOCUIDADO</v>
      </c>
      <c r="J47" s="216"/>
      <c r="K47" s="216"/>
    </row>
    <row r="48" ht="18.0" customHeight="1">
      <c r="A48" s="235" t="s">
        <v>280</v>
      </c>
      <c r="B48" s="235" t="s">
        <v>131</v>
      </c>
      <c r="C48" s="235" t="s">
        <v>21</v>
      </c>
      <c r="D48" s="235" t="s">
        <v>150</v>
      </c>
      <c r="E48" s="235" t="s">
        <v>242</v>
      </c>
      <c r="F48" s="262">
        <v>0.5</v>
      </c>
      <c r="G48" s="239" t="s">
        <v>152</v>
      </c>
      <c r="H48" s="240">
        <f t="shared" si="5"/>
        <v>0.5</v>
      </c>
      <c r="I48" s="216" t="str">
        <f t="shared" si="6"/>
        <v>MYRRHA ANDAUR MARTINEZREUNIONMAISFCCONSEJO AMPLIADO</v>
      </c>
      <c r="J48" s="216"/>
      <c r="K48" s="216"/>
    </row>
    <row r="49" ht="18.0" customHeight="1">
      <c r="A49" s="235" t="s">
        <v>281</v>
      </c>
      <c r="B49" s="235" t="s">
        <v>131</v>
      </c>
      <c r="C49" s="235" t="s">
        <v>21</v>
      </c>
      <c r="D49" s="235" t="s">
        <v>150</v>
      </c>
      <c r="E49" s="235" t="s">
        <v>244</v>
      </c>
      <c r="F49" s="262">
        <v>0.5</v>
      </c>
      <c r="G49" s="239" t="s">
        <v>152</v>
      </c>
      <c r="H49" s="240">
        <f t="shared" si="5"/>
        <v>0.5</v>
      </c>
      <c r="I49" s="216" t="str">
        <f t="shared" si="6"/>
        <v>MYRRHA ANDAUR MARTINEZREUNIONMAISFCREUNIÓN EQUIPO CABECERA</v>
      </c>
      <c r="J49" s="216"/>
      <c r="K49" s="216"/>
    </row>
    <row r="50" ht="18.0" customHeight="1">
      <c r="A50" s="235" t="s">
        <v>282</v>
      </c>
      <c r="B50" s="235" t="s">
        <v>131</v>
      </c>
      <c r="C50" s="235" t="s">
        <v>21</v>
      </c>
      <c r="D50" s="235" t="s">
        <v>150</v>
      </c>
      <c r="E50" s="235" t="s">
        <v>246</v>
      </c>
      <c r="F50" s="262">
        <v>0.6</v>
      </c>
      <c r="G50" s="239" t="s">
        <v>152</v>
      </c>
      <c r="H50" s="240">
        <f t="shared" si="5"/>
        <v>0.6</v>
      </c>
      <c r="I50" s="216" t="str">
        <f t="shared" si="6"/>
        <v>MYRRHA ANDAUR MARTINEZREUNIONMAISFCREUNIÓN SECTOR (2 HRS - X12)</v>
      </c>
      <c r="J50" s="216"/>
      <c r="K50" s="216"/>
    </row>
    <row r="51" ht="18.0" customHeight="1">
      <c r="A51" s="235" t="s">
        <v>283</v>
      </c>
      <c r="B51" s="235" t="s">
        <v>126</v>
      </c>
      <c r="C51" s="235" t="s">
        <v>21</v>
      </c>
      <c r="D51" s="235" t="s">
        <v>56</v>
      </c>
      <c r="E51" s="235" t="s">
        <v>240</v>
      </c>
      <c r="F51" s="262">
        <v>0.6</v>
      </c>
      <c r="G51" s="239" t="s">
        <v>152</v>
      </c>
      <c r="H51" s="240">
        <f t="shared" si="5"/>
        <v>0.6</v>
      </c>
      <c r="I51" s="216" t="str">
        <f t="shared" si="6"/>
        <v>VALERIA NUÑEZ QUINCHELREUNIONFUNCIONARIOAUTOCUIDADO</v>
      </c>
      <c r="J51" s="216"/>
      <c r="K51" s="216"/>
    </row>
    <row r="52" ht="18.0" customHeight="1">
      <c r="A52" s="235" t="s">
        <v>284</v>
      </c>
      <c r="B52" s="235" t="s">
        <v>126</v>
      </c>
      <c r="C52" s="235" t="s">
        <v>21</v>
      </c>
      <c r="D52" s="235" t="s">
        <v>150</v>
      </c>
      <c r="E52" s="235" t="s">
        <v>242</v>
      </c>
      <c r="F52" s="262">
        <v>0.5</v>
      </c>
      <c r="G52" s="239" t="s">
        <v>152</v>
      </c>
      <c r="H52" s="240">
        <f t="shared" si="5"/>
        <v>0.5</v>
      </c>
      <c r="I52" s="216" t="str">
        <f t="shared" si="6"/>
        <v>VALERIA NUÑEZ QUINCHELREUNIONMAISFCCONSEJO AMPLIADO</v>
      </c>
      <c r="J52" s="216"/>
      <c r="K52" s="216"/>
    </row>
    <row r="53" ht="18.0" customHeight="1">
      <c r="A53" s="235" t="s">
        <v>285</v>
      </c>
      <c r="B53" s="235" t="s">
        <v>126</v>
      </c>
      <c r="C53" s="235" t="s">
        <v>21</v>
      </c>
      <c r="D53" s="235" t="s">
        <v>150</v>
      </c>
      <c r="E53" s="235" t="s">
        <v>244</v>
      </c>
      <c r="F53" s="262">
        <v>0.5</v>
      </c>
      <c r="G53" s="239" t="s">
        <v>152</v>
      </c>
      <c r="H53" s="240">
        <f t="shared" si="5"/>
        <v>0.5</v>
      </c>
      <c r="I53" s="216" t="str">
        <f t="shared" si="6"/>
        <v>VALERIA NUÑEZ QUINCHELREUNIONMAISFCREUNIÓN EQUIPO CABECERA</v>
      </c>
      <c r="J53" s="216"/>
      <c r="K53" s="216"/>
    </row>
    <row r="54" ht="18.0" customHeight="1">
      <c r="A54" s="235" t="s">
        <v>286</v>
      </c>
      <c r="B54" s="243" t="s">
        <v>126</v>
      </c>
      <c r="C54" s="235" t="s">
        <v>21</v>
      </c>
      <c r="D54" s="235" t="s">
        <v>150</v>
      </c>
      <c r="E54" s="235" t="s">
        <v>246</v>
      </c>
      <c r="F54" s="262">
        <v>0.6</v>
      </c>
      <c r="G54" s="239" t="s">
        <v>152</v>
      </c>
      <c r="H54" s="240">
        <f t="shared" si="5"/>
        <v>0.6</v>
      </c>
      <c r="I54" s="216" t="str">
        <f t="shared" si="6"/>
        <v>VALERIA NUÑEZ QUINCHELREUNIONMAISFCREUNIÓN SECTOR (2 HRS - X12)</v>
      </c>
      <c r="J54" s="216"/>
      <c r="K54" s="216"/>
    </row>
    <row r="55" ht="18.0" customHeight="1">
      <c r="A55" s="235" t="s">
        <v>287</v>
      </c>
      <c r="B55" s="235" t="s">
        <v>123</v>
      </c>
      <c r="C55" s="235" t="s">
        <v>21</v>
      </c>
      <c r="D55" s="235" t="s">
        <v>56</v>
      </c>
      <c r="E55" s="235" t="s">
        <v>240</v>
      </c>
      <c r="F55" s="262">
        <v>0.6</v>
      </c>
      <c r="G55" s="239" t="s">
        <v>152</v>
      </c>
      <c r="H55" s="240">
        <f t="shared" si="5"/>
        <v>0.6</v>
      </c>
      <c r="I55" s="216" t="str">
        <f t="shared" si="6"/>
        <v>ANGELA ZUÑIGA MUGAREUNIONFUNCIONARIOAUTOCUIDADO</v>
      </c>
      <c r="J55" s="216"/>
      <c r="K55" s="216"/>
    </row>
    <row r="56" ht="18.0" customHeight="1">
      <c r="A56" s="235" t="s">
        <v>288</v>
      </c>
      <c r="B56" s="235" t="s">
        <v>123</v>
      </c>
      <c r="C56" s="235" t="s">
        <v>21</v>
      </c>
      <c r="D56" s="235" t="s">
        <v>150</v>
      </c>
      <c r="E56" s="235" t="s">
        <v>242</v>
      </c>
      <c r="F56" s="262">
        <v>0.5</v>
      </c>
      <c r="G56" s="239" t="s">
        <v>152</v>
      </c>
      <c r="H56" s="240">
        <f t="shared" si="5"/>
        <v>0.5</v>
      </c>
      <c r="I56" s="216" t="str">
        <f t="shared" si="6"/>
        <v>ANGELA ZUÑIGA MUGAREUNIONMAISFCCONSEJO AMPLIADO</v>
      </c>
      <c r="J56" s="216"/>
      <c r="K56" s="216"/>
    </row>
    <row r="57" ht="18.0" customHeight="1">
      <c r="A57" s="235" t="s">
        <v>289</v>
      </c>
      <c r="B57" s="235" t="s">
        <v>123</v>
      </c>
      <c r="C57" s="235" t="s">
        <v>21</v>
      </c>
      <c r="D57" s="235" t="s">
        <v>150</v>
      </c>
      <c r="E57" s="235" t="s">
        <v>244</v>
      </c>
      <c r="F57" s="262">
        <v>0.5</v>
      </c>
      <c r="G57" s="239" t="s">
        <v>152</v>
      </c>
      <c r="H57" s="240">
        <f t="shared" si="5"/>
        <v>0.5</v>
      </c>
      <c r="I57" s="216" t="str">
        <f t="shared" si="6"/>
        <v>ANGELA ZUÑIGA MUGAREUNIONMAISFCREUNIÓN EQUIPO CABECERA</v>
      </c>
      <c r="J57" s="216"/>
      <c r="K57" s="216"/>
    </row>
    <row r="58" ht="18.0" customHeight="1">
      <c r="A58" s="235" t="s">
        <v>290</v>
      </c>
      <c r="B58" s="235" t="s">
        <v>123</v>
      </c>
      <c r="C58" s="235" t="s">
        <v>21</v>
      </c>
      <c r="D58" s="235" t="s">
        <v>150</v>
      </c>
      <c r="E58" s="235" t="s">
        <v>246</v>
      </c>
      <c r="F58" s="262">
        <v>0.6</v>
      </c>
      <c r="G58" s="239" t="s">
        <v>152</v>
      </c>
      <c r="H58" s="240">
        <f t="shared" si="5"/>
        <v>0.6</v>
      </c>
      <c r="I58" s="216" t="str">
        <f t="shared" si="6"/>
        <v>ANGELA ZUÑIGA MUGAREUNIONMAISFCREUNIÓN SECTOR (2 HRS - X12)</v>
      </c>
      <c r="J58" s="216"/>
      <c r="K58" s="216"/>
    </row>
    <row r="59" ht="18.0" customHeight="1">
      <c r="A59" s="235" t="s">
        <v>291</v>
      </c>
      <c r="B59" s="235" t="s">
        <v>129</v>
      </c>
      <c r="C59" s="235" t="s">
        <v>21</v>
      </c>
      <c r="D59" s="235" t="s">
        <v>56</v>
      </c>
      <c r="E59" s="235" t="s">
        <v>240</v>
      </c>
      <c r="F59" s="262">
        <v>0.6</v>
      </c>
      <c r="G59" s="239" t="s">
        <v>152</v>
      </c>
      <c r="H59" s="240">
        <f t="shared" si="5"/>
        <v>0.6</v>
      </c>
      <c r="I59" s="216" t="str">
        <f t="shared" si="6"/>
        <v>VANESSA ESPINOZA ESPINOZAREUNIONFUNCIONARIOAUTOCUIDADO</v>
      </c>
      <c r="J59" s="216"/>
      <c r="K59" s="216"/>
    </row>
    <row r="60" ht="18.0" customHeight="1">
      <c r="A60" s="235" t="s">
        <v>292</v>
      </c>
      <c r="B60" s="235" t="s">
        <v>129</v>
      </c>
      <c r="C60" s="235" t="s">
        <v>21</v>
      </c>
      <c r="D60" s="235" t="s">
        <v>150</v>
      </c>
      <c r="E60" s="235" t="s">
        <v>242</v>
      </c>
      <c r="F60" s="262">
        <v>0.5</v>
      </c>
      <c r="G60" s="239" t="s">
        <v>152</v>
      </c>
      <c r="H60" s="240">
        <f t="shared" si="5"/>
        <v>0.5</v>
      </c>
      <c r="I60" s="216" t="str">
        <f t="shared" si="6"/>
        <v>VANESSA ESPINOZA ESPINOZAREUNIONMAISFCCONSEJO AMPLIADO</v>
      </c>
      <c r="J60" s="216"/>
      <c r="K60" s="216"/>
    </row>
    <row r="61" ht="18.0" customHeight="1">
      <c r="A61" s="235" t="s">
        <v>293</v>
      </c>
      <c r="B61" s="235" t="s">
        <v>129</v>
      </c>
      <c r="C61" s="235" t="s">
        <v>21</v>
      </c>
      <c r="D61" s="235" t="s">
        <v>150</v>
      </c>
      <c r="E61" s="235" t="s">
        <v>244</v>
      </c>
      <c r="F61" s="262">
        <v>0.5</v>
      </c>
      <c r="G61" s="239" t="s">
        <v>152</v>
      </c>
      <c r="H61" s="240">
        <f t="shared" si="5"/>
        <v>0.5</v>
      </c>
      <c r="I61" s="216" t="str">
        <f t="shared" si="6"/>
        <v>VANESSA ESPINOZA ESPINOZAREUNIONMAISFCREUNIÓN EQUIPO CABECERA</v>
      </c>
      <c r="J61" s="216"/>
      <c r="K61" s="216"/>
    </row>
    <row r="62" ht="18.0" customHeight="1">
      <c r="A62" s="235" t="s">
        <v>294</v>
      </c>
      <c r="B62" s="243" t="s">
        <v>129</v>
      </c>
      <c r="C62" s="235" t="s">
        <v>21</v>
      </c>
      <c r="D62" s="235" t="s">
        <v>150</v>
      </c>
      <c r="E62" s="235" t="s">
        <v>246</v>
      </c>
      <c r="F62" s="262">
        <v>0.6</v>
      </c>
      <c r="G62" s="239" t="s">
        <v>152</v>
      </c>
      <c r="H62" s="240">
        <f t="shared" si="5"/>
        <v>0.6</v>
      </c>
      <c r="I62" s="216" t="str">
        <f t="shared" si="6"/>
        <v>VANESSA ESPINOZA ESPINOZAREUNIONMAISFCREUNIÓN SECTOR (2 HRS - X12)</v>
      </c>
      <c r="J62" s="216"/>
      <c r="K62" s="216"/>
    </row>
    <row r="63" ht="18.0" customHeight="1">
      <c r="A63" s="235" t="s">
        <v>295</v>
      </c>
      <c r="B63" s="235" t="s">
        <v>91</v>
      </c>
      <c r="C63" s="235" t="s">
        <v>21</v>
      </c>
      <c r="D63" s="235" t="s">
        <v>56</v>
      </c>
      <c r="E63" s="235" t="s">
        <v>240</v>
      </c>
      <c r="F63" s="262">
        <v>0.6</v>
      </c>
      <c r="G63" s="239" t="s">
        <v>152</v>
      </c>
      <c r="H63" s="240">
        <f t="shared" si="5"/>
        <v>0.6</v>
      </c>
      <c r="I63" s="216" t="str">
        <f t="shared" si="6"/>
        <v>EDGAR CARVAJAL TORRESREUNIONFUNCIONARIOAUTOCUIDADO</v>
      </c>
      <c r="J63" s="216"/>
      <c r="K63" s="216"/>
    </row>
    <row r="64" ht="18.0" customHeight="1">
      <c r="A64" s="235" t="s">
        <v>296</v>
      </c>
      <c r="B64" s="235" t="s">
        <v>91</v>
      </c>
      <c r="C64" s="235" t="s">
        <v>21</v>
      </c>
      <c r="D64" s="235" t="s">
        <v>150</v>
      </c>
      <c r="E64" s="235" t="s">
        <v>242</v>
      </c>
      <c r="F64" s="262">
        <v>0.5</v>
      </c>
      <c r="G64" s="239" t="s">
        <v>152</v>
      </c>
      <c r="H64" s="240">
        <f t="shared" si="5"/>
        <v>0.5</v>
      </c>
      <c r="I64" s="216" t="str">
        <f t="shared" si="6"/>
        <v>EDGAR CARVAJAL TORRESREUNIONMAISFCCONSEJO AMPLIADO</v>
      </c>
      <c r="J64" s="216"/>
      <c r="K64" s="216"/>
    </row>
    <row r="65" ht="18.0" customHeight="1">
      <c r="A65" s="235" t="s">
        <v>297</v>
      </c>
      <c r="B65" s="235" t="s">
        <v>91</v>
      </c>
      <c r="C65" s="235" t="s">
        <v>21</v>
      </c>
      <c r="D65" s="235" t="s">
        <v>150</v>
      </c>
      <c r="E65" s="235" t="s">
        <v>244</v>
      </c>
      <c r="F65" s="262">
        <v>0.5</v>
      </c>
      <c r="G65" s="239" t="s">
        <v>152</v>
      </c>
      <c r="H65" s="240">
        <f t="shared" si="5"/>
        <v>0.5</v>
      </c>
      <c r="I65" s="216" t="str">
        <f t="shared" si="6"/>
        <v>EDGAR CARVAJAL TORRESREUNIONMAISFCREUNIÓN EQUIPO CABECERA</v>
      </c>
      <c r="J65" s="216"/>
      <c r="K65" s="216"/>
    </row>
    <row r="66" ht="18.0" customHeight="1">
      <c r="A66" s="235" t="s">
        <v>298</v>
      </c>
      <c r="B66" s="235" t="s">
        <v>91</v>
      </c>
      <c r="C66" s="235" t="s">
        <v>21</v>
      </c>
      <c r="D66" s="235" t="s">
        <v>150</v>
      </c>
      <c r="E66" s="235" t="s">
        <v>246</v>
      </c>
      <c r="F66" s="262">
        <v>0.6</v>
      </c>
      <c r="G66" s="239" t="s">
        <v>152</v>
      </c>
      <c r="H66" s="240">
        <f t="shared" si="5"/>
        <v>0.6</v>
      </c>
      <c r="I66" s="216" t="str">
        <f t="shared" si="6"/>
        <v>EDGAR CARVAJAL TORRESREUNIONMAISFCREUNIÓN SECTOR (2 HRS - X12)</v>
      </c>
      <c r="J66" s="216"/>
      <c r="K66" s="216"/>
    </row>
    <row r="67" ht="18.0" customHeight="1">
      <c r="A67" s="235" t="s">
        <v>299</v>
      </c>
      <c r="B67" s="235" t="s">
        <v>118</v>
      </c>
      <c r="C67" s="235" t="s">
        <v>21</v>
      </c>
      <c r="D67" s="235" t="s">
        <v>56</v>
      </c>
      <c r="E67" s="235" t="s">
        <v>240</v>
      </c>
      <c r="F67" s="262">
        <v>0.6</v>
      </c>
      <c r="G67" s="239" t="s">
        <v>152</v>
      </c>
      <c r="H67" s="240">
        <f t="shared" si="5"/>
        <v>0.6</v>
      </c>
      <c r="I67" s="216" t="str">
        <f t="shared" si="6"/>
        <v>CLAUDIO PINTO VILLALOBOSREUNIONFUNCIONARIOAUTOCUIDADO</v>
      </c>
      <c r="J67" s="216"/>
      <c r="K67" s="216"/>
    </row>
    <row r="68" ht="18.0" customHeight="1">
      <c r="A68" s="235" t="s">
        <v>300</v>
      </c>
      <c r="B68" s="235" t="s">
        <v>118</v>
      </c>
      <c r="C68" s="235" t="s">
        <v>21</v>
      </c>
      <c r="D68" s="235" t="s">
        <v>150</v>
      </c>
      <c r="E68" s="235" t="s">
        <v>242</v>
      </c>
      <c r="F68" s="262">
        <v>0.5</v>
      </c>
      <c r="G68" s="239" t="s">
        <v>152</v>
      </c>
      <c r="H68" s="240">
        <f t="shared" si="5"/>
        <v>0.5</v>
      </c>
      <c r="I68" s="216" t="str">
        <f t="shared" si="6"/>
        <v>CLAUDIO PINTO VILLALOBOSREUNIONMAISFCCONSEJO AMPLIADO</v>
      </c>
      <c r="J68" s="216"/>
      <c r="K68" s="216"/>
    </row>
    <row r="69" ht="18.0" customHeight="1">
      <c r="A69" s="235" t="s">
        <v>301</v>
      </c>
      <c r="B69" s="235" t="s">
        <v>118</v>
      </c>
      <c r="C69" s="235" t="s">
        <v>21</v>
      </c>
      <c r="D69" s="235" t="s">
        <v>150</v>
      </c>
      <c r="E69" s="235" t="s">
        <v>244</v>
      </c>
      <c r="F69" s="262">
        <v>0.5</v>
      </c>
      <c r="G69" s="239" t="s">
        <v>152</v>
      </c>
      <c r="H69" s="240">
        <f t="shared" si="5"/>
        <v>0.5</v>
      </c>
      <c r="I69" s="216" t="str">
        <f t="shared" si="6"/>
        <v>CLAUDIO PINTO VILLALOBOSREUNIONMAISFCREUNIÓN EQUIPO CABECERA</v>
      </c>
      <c r="J69" s="216"/>
      <c r="K69" s="216"/>
    </row>
    <row r="70" ht="18.0" customHeight="1">
      <c r="A70" s="235" t="s">
        <v>302</v>
      </c>
      <c r="B70" s="235" t="s">
        <v>118</v>
      </c>
      <c r="C70" s="235" t="s">
        <v>21</v>
      </c>
      <c r="D70" s="235" t="s">
        <v>150</v>
      </c>
      <c r="E70" s="235" t="s">
        <v>246</v>
      </c>
      <c r="F70" s="262">
        <v>0.6</v>
      </c>
      <c r="G70" s="239" t="s">
        <v>152</v>
      </c>
      <c r="H70" s="240">
        <f t="shared" si="5"/>
        <v>0.6</v>
      </c>
      <c r="I70" s="216" t="str">
        <f t="shared" si="6"/>
        <v>CLAUDIO PINTO VILLALOBOSREUNIONMAISFCREUNIÓN SECTOR (2 HRS - X12)</v>
      </c>
      <c r="J70" s="216"/>
      <c r="K70" s="216"/>
    </row>
    <row r="71" ht="18.0" customHeight="1">
      <c r="A71" s="212"/>
      <c r="B71" s="212"/>
      <c r="C71" s="212"/>
      <c r="D71" s="212"/>
      <c r="E71" s="212"/>
      <c r="F71" s="260"/>
      <c r="G71" s="248"/>
      <c r="H71" s="240">
        <f t="shared" si="5"/>
        <v>0</v>
      </c>
      <c r="I71" s="216" t="str">
        <f t="shared" si="6"/>
        <v/>
      </c>
      <c r="J71" s="216" t="str">
        <f t="array" ref="J71">IFERROR(IF(B71&lt;&gt;"",XLOOKUP(B71,FUNC!E:E,#REF!,"NO VIGENTE"),""),"")</f>
        <v/>
      </c>
      <c r="K71" s="216"/>
    </row>
    <row r="72" ht="18.0" customHeight="1">
      <c r="A72" s="212"/>
      <c r="B72" s="212"/>
      <c r="C72" s="212"/>
      <c r="D72" s="212"/>
      <c r="E72" s="212"/>
      <c r="F72" s="260"/>
      <c r="G72" s="248"/>
      <c r="H72" s="240">
        <f t="shared" si="5"/>
        <v>0</v>
      </c>
      <c r="I72" s="216" t="str">
        <f t="shared" si="6"/>
        <v/>
      </c>
      <c r="J72" s="216" t="str">
        <f t="array" ref="J72">IFERROR(IF(B72&lt;&gt;"",XLOOKUP(B72,FUNC!E:E,#REF!,"NO VIGENTE"),""),"")</f>
        <v/>
      </c>
      <c r="K72" s="216"/>
    </row>
    <row r="73" ht="18.0" customHeight="1">
      <c r="A73" s="212"/>
      <c r="B73" s="212"/>
      <c r="C73" s="212"/>
      <c r="D73" s="212"/>
      <c r="E73" s="212"/>
      <c r="F73" s="260"/>
      <c r="G73" s="248"/>
      <c r="H73" s="240">
        <f t="shared" si="5"/>
        <v>0</v>
      </c>
      <c r="I73" s="216" t="str">
        <f t="shared" si="6"/>
        <v/>
      </c>
      <c r="J73" s="216" t="str">
        <f t="array" ref="J73">IFERROR(IF(B73&lt;&gt;"",XLOOKUP(B73,FUNC!E:E,#REF!,"NO VIGENTE"),""),"")</f>
        <v/>
      </c>
      <c r="K73" s="216"/>
    </row>
    <row r="74" ht="18.0" customHeight="1">
      <c r="A74" s="212"/>
      <c r="B74" s="212"/>
      <c r="C74" s="212"/>
      <c r="D74" s="212"/>
      <c r="E74" s="212"/>
      <c r="F74" s="260"/>
      <c r="G74" s="248"/>
      <c r="H74" s="240">
        <f t="shared" si="5"/>
        <v>0</v>
      </c>
      <c r="I74" s="216" t="str">
        <f t="shared" si="6"/>
        <v/>
      </c>
      <c r="J74" s="216" t="str">
        <f t="array" ref="J74">IFERROR(IF(B74&lt;&gt;"",XLOOKUP(B74,FUNC!E:E,#REF!,"NO VIGENTE"),""),"")</f>
        <v/>
      </c>
      <c r="K74" s="216"/>
    </row>
    <row r="75" ht="18.0" customHeight="1">
      <c r="A75" s="212"/>
      <c r="B75" s="212"/>
      <c r="C75" s="212"/>
      <c r="D75" s="212"/>
      <c r="E75" s="212"/>
      <c r="F75" s="260"/>
      <c r="G75" s="248"/>
      <c r="H75" s="240">
        <f t="shared" si="5"/>
        <v>0</v>
      </c>
      <c r="I75" s="216" t="str">
        <f t="shared" si="6"/>
        <v/>
      </c>
      <c r="J75" s="216" t="str">
        <f t="array" ref="J75">IFERROR(IF(B75&lt;&gt;"",XLOOKUP(B75,FUNC!E:E,#REF!,"NO VIGENTE"),""),"")</f>
        <v/>
      </c>
      <c r="K75" s="216"/>
    </row>
    <row r="76" ht="18.0" customHeight="1">
      <c r="A76" s="212"/>
      <c r="B76" s="212"/>
      <c r="C76" s="212"/>
      <c r="D76" s="212"/>
      <c r="E76" s="212"/>
      <c r="F76" s="260"/>
      <c r="G76" s="248"/>
      <c r="H76" s="240">
        <f t="shared" si="5"/>
        <v>0</v>
      </c>
      <c r="I76" s="216" t="str">
        <f t="shared" si="6"/>
        <v/>
      </c>
      <c r="J76" s="216" t="str">
        <f t="array" ref="J76">IFERROR(IF(B76&lt;&gt;"",XLOOKUP(B76,FUNC!E:E,#REF!,"NO VIGENTE"),""),"")</f>
        <v/>
      </c>
      <c r="K76" s="216"/>
    </row>
    <row r="77" ht="18.0" customHeight="1">
      <c r="A77" s="212"/>
      <c r="B77" s="212"/>
      <c r="C77" s="212"/>
      <c r="D77" s="212"/>
      <c r="E77" s="212"/>
      <c r="F77" s="260"/>
      <c r="G77" s="248"/>
      <c r="H77" s="240">
        <f t="shared" si="5"/>
        <v>0</v>
      </c>
      <c r="I77" s="216" t="str">
        <f t="shared" si="6"/>
        <v/>
      </c>
      <c r="J77" s="216" t="str">
        <f t="array" ref="J77">IFERROR(IF(B77&lt;&gt;"",XLOOKUP(B77,FUNC!E:E,#REF!,"NO VIGENTE"),""),"")</f>
        <v/>
      </c>
      <c r="K77" s="216"/>
    </row>
    <row r="78" ht="18.0" customHeight="1">
      <c r="A78" s="212"/>
      <c r="B78" s="212"/>
      <c r="C78" s="212"/>
      <c r="D78" s="212"/>
      <c r="E78" s="212"/>
      <c r="F78" s="260"/>
      <c r="G78" s="248"/>
      <c r="H78" s="240">
        <f t="shared" si="5"/>
        <v>0</v>
      </c>
      <c r="I78" s="216" t="str">
        <f t="shared" si="6"/>
        <v/>
      </c>
      <c r="J78" s="216" t="str">
        <f t="array" ref="J78">IFERROR(IF(B78&lt;&gt;"",XLOOKUP(B78,FUNC!E:E,#REF!,"NO VIGENTE"),""),"")</f>
        <v/>
      </c>
      <c r="K78" s="216"/>
    </row>
    <row r="79" ht="18.0" customHeight="1">
      <c r="A79" s="212"/>
      <c r="B79" s="212"/>
      <c r="C79" s="212"/>
      <c r="D79" s="212"/>
      <c r="E79" s="212"/>
      <c r="F79" s="260"/>
      <c r="G79" s="248"/>
      <c r="H79" s="240">
        <f t="shared" si="5"/>
        <v>0</v>
      </c>
      <c r="I79" s="216" t="str">
        <f t="shared" si="6"/>
        <v/>
      </c>
      <c r="J79" s="216" t="str">
        <f t="array" ref="J79">IFERROR(IF(B79&lt;&gt;"",XLOOKUP(B79,FUNC!E:E,#REF!,"NO VIGENTE"),""),"")</f>
        <v/>
      </c>
      <c r="K79" s="216"/>
    </row>
    <row r="80" ht="18.0" customHeight="1">
      <c r="A80" s="212"/>
      <c r="B80" s="212"/>
      <c r="C80" s="212"/>
      <c r="D80" s="212"/>
      <c r="E80" s="212"/>
      <c r="F80" s="260"/>
      <c r="G80" s="248"/>
      <c r="H80" s="240">
        <f t="shared" si="5"/>
        <v>0</v>
      </c>
      <c r="I80" s="216" t="str">
        <f t="shared" si="6"/>
        <v/>
      </c>
      <c r="J80" s="216" t="str">
        <f t="array" ref="J80">IFERROR(IF(B80&lt;&gt;"",XLOOKUP(B80,FUNC!E:E,#REF!,"NO VIGENTE"),""),"")</f>
        <v/>
      </c>
      <c r="K80" s="216"/>
    </row>
    <row r="81" ht="18.0" customHeight="1">
      <c r="A81" s="212"/>
      <c r="B81" s="212"/>
      <c r="C81" s="212"/>
      <c r="D81" s="212"/>
      <c r="E81" s="212"/>
      <c r="F81" s="260"/>
      <c r="G81" s="248"/>
      <c r="H81" s="240">
        <f t="shared" si="5"/>
        <v>0</v>
      </c>
      <c r="I81" s="216" t="str">
        <f t="shared" si="6"/>
        <v/>
      </c>
      <c r="J81" s="216" t="str">
        <f t="array" ref="J81">IFERROR(IF(B81&lt;&gt;"",XLOOKUP(B81,FUNC!E:E,#REF!,"NO VIGENTE"),""),"")</f>
        <v/>
      </c>
      <c r="K81" s="216"/>
    </row>
    <row r="82" ht="18.0" customHeight="1">
      <c r="A82" s="212"/>
      <c r="B82" s="212"/>
      <c r="C82" s="212"/>
      <c r="D82" s="212"/>
      <c r="E82" s="212"/>
      <c r="F82" s="260"/>
      <c r="G82" s="248"/>
      <c r="H82" s="240">
        <f t="shared" si="5"/>
        <v>0</v>
      </c>
      <c r="I82" s="216" t="str">
        <f t="shared" si="6"/>
        <v/>
      </c>
      <c r="J82" s="216" t="str">
        <f t="array" ref="J82">IFERROR(IF(B82&lt;&gt;"",XLOOKUP(B82,FUNC!E:E,#REF!,"NO VIGENTE"),""),"")</f>
        <v/>
      </c>
      <c r="K82" s="216"/>
    </row>
    <row r="83" ht="18.0" customHeight="1">
      <c r="A83" s="212"/>
      <c r="B83" s="212"/>
      <c r="C83" s="212"/>
      <c r="D83" s="212"/>
      <c r="E83" s="212"/>
      <c r="F83" s="260"/>
      <c r="G83" s="248"/>
      <c r="H83" s="240">
        <f t="shared" si="5"/>
        <v>0</v>
      </c>
      <c r="I83" s="216" t="str">
        <f t="shared" si="6"/>
        <v/>
      </c>
      <c r="J83" s="216" t="str">
        <f t="array" ref="J83">IFERROR(IF(B83&lt;&gt;"",XLOOKUP(B83,FUNC!E:E,#REF!,"NO VIGENTE"),""),"")</f>
        <v/>
      </c>
      <c r="K83" s="216"/>
    </row>
    <row r="84" ht="18.0" customHeight="1">
      <c r="A84" s="212"/>
      <c r="B84" s="212"/>
      <c r="C84" s="212"/>
      <c r="D84" s="212"/>
      <c r="E84" s="212"/>
      <c r="F84" s="260"/>
      <c r="G84" s="248"/>
      <c r="H84" s="240">
        <f t="shared" si="5"/>
        <v>0</v>
      </c>
      <c r="I84" s="216" t="str">
        <f t="shared" si="6"/>
        <v/>
      </c>
      <c r="J84" s="216" t="str">
        <f t="array" ref="J84">IFERROR(IF(B84&lt;&gt;"",XLOOKUP(B84,FUNC!E:E,#REF!,"NO VIGENTE"),""),"")</f>
        <v/>
      </c>
      <c r="K84" s="216"/>
    </row>
    <row r="85" ht="18.0" customHeight="1">
      <c r="A85" s="212"/>
      <c r="B85" s="212"/>
      <c r="C85" s="212"/>
      <c r="D85" s="212"/>
      <c r="E85" s="212"/>
      <c r="F85" s="260"/>
      <c r="G85" s="248"/>
      <c r="H85" s="240">
        <f t="shared" si="5"/>
        <v>0</v>
      </c>
      <c r="I85" s="216" t="str">
        <f t="shared" si="6"/>
        <v/>
      </c>
      <c r="J85" s="216" t="str">
        <f t="array" ref="J85">IFERROR(IF(B85&lt;&gt;"",XLOOKUP(B85,FUNC!E:E,#REF!,"NO VIGENTE"),""),"")</f>
        <v/>
      </c>
      <c r="K85" s="216"/>
    </row>
    <row r="86" ht="18.0" customHeight="1">
      <c r="A86" s="212"/>
      <c r="B86" s="212"/>
      <c r="C86" s="212"/>
      <c r="D86" s="212"/>
      <c r="E86" s="212"/>
      <c r="F86" s="260"/>
      <c r="G86" s="248"/>
      <c r="H86" s="240">
        <f t="shared" si="5"/>
        <v>0</v>
      </c>
      <c r="I86" s="216" t="str">
        <f t="shared" si="6"/>
        <v/>
      </c>
      <c r="J86" s="216" t="str">
        <f t="array" ref="J86">IFERROR(IF(B86&lt;&gt;"",XLOOKUP(B86,FUNC!E:E,#REF!,"NO VIGENTE"),""),"")</f>
        <v/>
      </c>
      <c r="K86" s="216"/>
    </row>
    <row r="87" ht="18.0" customHeight="1">
      <c r="A87" s="212"/>
      <c r="B87" s="212"/>
      <c r="C87" s="212"/>
      <c r="D87" s="212"/>
      <c r="E87" s="212"/>
      <c r="F87" s="260"/>
      <c r="G87" s="248"/>
      <c r="H87" s="240">
        <f t="shared" si="5"/>
        <v>0</v>
      </c>
      <c r="I87" s="216" t="str">
        <f t="shared" si="6"/>
        <v/>
      </c>
      <c r="J87" s="216" t="str">
        <f t="array" ref="J87">IFERROR(IF(B87&lt;&gt;"",XLOOKUP(B87,FUNC!E:E,#REF!,"NO VIGENTE"),""),"")</f>
        <v/>
      </c>
      <c r="K87" s="216"/>
    </row>
    <row r="88" ht="18.0" customHeight="1">
      <c r="A88" s="212"/>
      <c r="B88" s="212"/>
      <c r="C88" s="212"/>
      <c r="D88" s="212"/>
      <c r="E88" s="212"/>
      <c r="F88" s="260"/>
      <c r="G88" s="248"/>
      <c r="H88" s="240">
        <f t="shared" si="5"/>
        <v>0</v>
      </c>
      <c r="I88" s="216" t="str">
        <f t="shared" si="6"/>
        <v/>
      </c>
      <c r="J88" s="216" t="str">
        <f t="array" ref="J88">IFERROR(IF(B88&lt;&gt;"",XLOOKUP(B88,FUNC!E:E,#REF!,"NO VIGENTE"),""),"")</f>
        <v/>
      </c>
      <c r="K88" s="216"/>
    </row>
    <row r="89" ht="18.0" customHeight="1">
      <c r="A89" s="212"/>
      <c r="B89" s="212"/>
      <c r="C89" s="212"/>
      <c r="D89" s="212"/>
      <c r="E89" s="212"/>
      <c r="F89" s="260"/>
      <c r="G89" s="248"/>
      <c r="H89" s="240">
        <f t="shared" si="5"/>
        <v>0</v>
      </c>
      <c r="I89" s="216" t="str">
        <f t="shared" si="6"/>
        <v/>
      </c>
      <c r="J89" s="216" t="str">
        <f t="array" ref="J89">IFERROR(IF(B89&lt;&gt;"",XLOOKUP(B89,FUNC!E:E,#REF!,"NO VIGENTE"),""),"")</f>
        <v/>
      </c>
      <c r="K89" s="216"/>
    </row>
    <row r="90" ht="18.0" customHeight="1">
      <c r="A90" s="212"/>
      <c r="B90" s="53"/>
      <c r="C90" s="212"/>
      <c r="D90" s="212"/>
      <c r="E90" s="212"/>
      <c r="F90" s="260"/>
      <c r="G90" s="248"/>
      <c r="H90" s="240">
        <f t="shared" si="5"/>
        <v>0</v>
      </c>
      <c r="I90" s="216" t="str">
        <f t="shared" si="6"/>
        <v/>
      </c>
      <c r="J90" s="216" t="str">
        <f t="array" ref="J90">IFERROR(IF(B90&lt;&gt;"",XLOOKUP(B90,FUNC!E:E,#REF!,"NO VIGENTE"),""),"")</f>
        <v/>
      </c>
      <c r="K90" s="216"/>
    </row>
    <row r="91" ht="18.0" customHeight="1">
      <c r="A91" s="212"/>
      <c r="B91" s="212"/>
      <c r="C91" s="212"/>
      <c r="D91" s="212"/>
      <c r="E91" s="212"/>
      <c r="F91" s="260"/>
      <c r="G91" s="248"/>
      <c r="H91" s="240">
        <f t="shared" si="5"/>
        <v>0</v>
      </c>
      <c r="I91" s="216" t="str">
        <f t="shared" si="6"/>
        <v/>
      </c>
      <c r="J91" s="216" t="str">
        <f t="array" ref="J91">IFERROR(IF(B91&lt;&gt;"",XLOOKUP(B91,FUNC!E:E,#REF!,"NO VIGENTE"),""),"")</f>
        <v/>
      </c>
      <c r="K91" s="216"/>
    </row>
    <row r="92" ht="18.0" customHeight="1">
      <c r="A92" s="212"/>
      <c r="B92" s="212"/>
      <c r="C92" s="212"/>
      <c r="D92" s="212"/>
      <c r="E92" s="212"/>
      <c r="F92" s="260"/>
      <c r="G92" s="248"/>
      <c r="H92" s="240">
        <f t="shared" si="5"/>
        <v>0</v>
      </c>
      <c r="I92" s="216" t="str">
        <f t="shared" si="6"/>
        <v/>
      </c>
      <c r="J92" s="216" t="str">
        <f t="array" ref="J92">IFERROR(IF(B92&lt;&gt;"",XLOOKUP(B92,FUNC!E:E,#REF!,"NO VIGENTE"),""),"")</f>
        <v/>
      </c>
      <c r="K92" s="216"/>
    </row>
    <row r="93" ht="18.0" customHeight="1">
      <c r="A93" s="212"/>
      <c r="B93" s="212"/>
      <c r="C93" s="212"/>
      <c r="D93" s="212"/>
      <c r="E93" s="212"/>
      <c r="F93" s="260"/>
      <c r="G93" s="248"/>
      <c r="H93" s="240">
        <f t="shared" si="5"/>
        <v>0</v>
      </c>
      <c r="I93" s="216" t="str">
        <f t="shared" si="6"/>
        <v/>
      </c>
      <c r="J93" s="216" t="str">
        <f t="array" ref="J93">IFERROR(IF(B93&lt;&gt;"",XLOOKUP(B93,FUNC!E:E,#REF!,"NO VIGENTE"),""),"")</f>
        <v/>
      </c>
      <c r="K93" s="216"/>
    </row>
    <row r="94" ht="18.0" customHeight="1">
      <c r="A94" s="212"/>
      <c r="B94" s="212"/>
      <c r="C94" s="212"/>
      <c r="D94" s="212"/>
      <c r="E94" s="212"/>
      <c r="F94" s="260"/>
      <c r="G94" s="248"/>
      <c r="H94" s="240">
        <f t="shared" si="5"/>
        <v>0</v>
      </c>
      <c r="I94" s="216" t="str">
        <f t="shared" si="6"/>
        <v/>
      </c>
      <c r="J94" s="216" t="str">
        <f t="array" ref="J94">IFERROR(IF(B94&lt;&gt;"",XLOOKUP(B94,FUNC!E:E,#REF!,"NO VIGENTE"),""),"")</f>
        <v/>
      </c>
      <c r="K94" s="216"/>
    </row>
    <row r="95" ht="18.0" customHeight="1">
      <c r="A95" s="212"/>
      <c r="B95" s="212"/>
      <c r="C95" s="212"/>
      <c r="D95" s="212"/>
      <c r="E95" s="212"/>
      <c r="F95" s="260"/>
      <c r="G95" s="248"/>
      <c r="H95" s="240">
        <f t="shared" si="5"/>
        <v>0</v>
      </c>
      <c r="I95" s="216" t="str">
        <f t="shared" si="6"/>
        <v/>
      </c>
      <c r="J95" s="216" t="str">
        <f t="array" ref="J95">IFERROR(IF(B95&lt;&gt;"",XLOOKUP(B95,FUNC!E:E,#REF!,"NO VIGENTE"),""),"")</f>
        <v/>
      </c>
      <c r="K95" s="216"/>
    </row>
    <row r="96" ht="18.0" customHeight="1">
      <c r="A96" s="212"/>
      <c r="B96" s="212"/>
      <c r="C96" s="212"/>
      <c r="D96" s="212"/>
      <c r="E96" s="212"/>
      <c r="F96" s="260"/>
      <c r="G96" s="248"/>
      <c r="H96" s="240">
        <f t="shared" si="5"/>
        <v>0</v>
      </c>
      <c r="I96" s="216" t="str">
        <f t="shared" si="6"/>
        <v/>
      </c>
      <c r="J96" s="216" t="str">
        <f t="array" ref="J96">IFERROR(IF(B96&lt;&gt;"",XLOOKUP(B96,FUNC!E:E,#REF!,"NO VIGENTE"),""),"")</f>
        <v/>
      </c>
      <c r="K96" s="216"/>
    </row>
    <row r="97" ht="18.0" customHeight="1">
      <c r="A97" s="212"/>
      <c r="B97" s="212"/>
      <c r="C97" s="212"/>
      <c r="D97" s="212"/>
      <c r="E97" s="212"/>
      <c r="F97" s="260"/>
      <c r="G97" s="248"/>
      <c r="H97" s="240">
        <f t="shared" si="5"/>
        <v>0</v>
      </c>
      <c r="I97" s="216" t="str">
        <f t="shared" si="6"/>
        <v/>
      </c>
      <c r="J97" s="216" t="str">
        <f t="array" ref="J97">IFERROR(IF(B97&lt;&gt;"",XLOOKUP(B97,FUNC!E:E,#REF!,"NO VIGENTE"),""),"")</f>
        <v/>
      </c>
      <c r="K97" s="216"/>
    </row>
    <row r="98" ht="18.0" customHeight="1">
      <c r="A98" s="212"/>
      <c r="B98" s="212"/>
      <c r="C98" s="212"/>
      <c r="D98" s="212"/>
      <c r="E98" s="212"/>
      <c r="F98" s="260"/>
      <c r="G98" s="248"/>
      <c r="H98" s="240">
        <f t="shared" si="5"/>
        <v>0</v>
      </c>
      <c r="I98" s="216" t="str">
        <f t="shared" si="6"/>
        <v/>
      </c>
      <c r="J98" s="216" t="str">
        <f t="array" ref="J98">IFERROR(IF(B98&lt;&gt;"",XLOOKUP(B98,FUNC!E:E,#REF!,"NO VIGENTE"),""),"")</f>
        <v/>
      </c>
      <c r="K98" s="216"/>
    </row>
    <row r="99" ht="18.0" customHeight="1">
      <c r="A99" s="212"/>
      <c r="B99" s="212"/>
      <c r="C99" s="212"/>
      <c r="D99" s="212"/>
      <c r="E99" s="212"/>
      <c r="F99" s="260"/>
      <c r="G99" s="248"/>
      <c r="H99" s="240">
        <f t="shared" si="5"/>
        <v>0</v>
      </c>
      <c r="I99" s="216" t="str">
        <f t="shared" si="6"/>
        <v/>
      </c>
      <c r="J99" s="216" t="str">
        <f t="array" ref="J99">IFERROR(IF(B99&lt;&gt;"",XLOOKUP(B99,FUNC!E:E,#REF!,"NO VIGENTE"),""),"")</f>
        <v/>
      </c>
      <c r="K99" s="216"/>
    </row>
    <row r="100" ht="18.0" customHeight="1">
      <c r="A100" s="212"/>
      <c r="B100" s="212"/>
      <c r="C100" s="212"/>
      <c r="D100" s="212"/>
      <c r="E100" s="212"/>
      <c r="F100" s="260"/>
      <c r="G100" s="248"/>
      <c r="H100" s="240">
        <f t="shared" si="5"/>
        <v>0</v>
      </c>
      <c r="I100" s="216" t="str">
        <f t="shared" si="6"/>
        <v/>
      </c>
      <c r="J100" s="216" t="str">
        <f t="array" ref="J100">IFERROR(IF(B100&lt;&gt;"",XLOOKUP(B100,FUNC!E:E,#REF!,"NO VIGENTE"),""),"")</f>
        <v/>
      </c>
      <c r="K100" s="216"/>
    </row>
    <row r="101" ht="18.0" customHeight="1">
      <c r="A101" s="212"/>
      <c r="B101" s="212"/>
      <c r="C101" s="212"/>
      <c r="D101" s="212"/>
      <c r="E101" s="212"/>
      <c r="F101" s="260"/>
      <c r="G101" s="248"/>
      <c r="H101" s="240">
        <f t="shared" si="5"/>
        <v>0</v>
      </c>
      <c r="I101" s="216" t="str">
        <f t="shared" si="6"/>
        <v/>
      </c>
      <c r="J101" s="216" t="str">
        <f t="array" ref="J101">IFERROR(IF(B101&lt;&gt;"",XLOOKUP(B101,FUNC!E:E,#REF!,"NO VIGENTE"),""),"")</f>
        <v/>
      </c>
      <c r="K101" s="216"/>
    </row>
    <row r="102" ht="18.0" customHeight="1">
      <c r="A102" s="212"/>
      <c r="B102" s="212"/>
      <c r="C102" s="212"/>
      <c r="D102" s="212"/>
      <c r="E102" s="212"/>
      <c r="F102" s="260"/>
      <c r="G102" s="248"/>
      <c r="H102" s="240">
        <f t="shared" si="5"/>
        <v>0</v>
      </c>
      <c r="I102" s="216" t="str">
        <f t="shared" si="6"/>
        <v/>
      </c>
      <c r="J102" s="216" t="str">
        <f t="array" ref="J102">IFERROR(IF(B102&lt;&gt;"",XLOOKUP(B102,FUNC!E:E,#REF!,"NO VIGENTE"),""),"")</f>
        <v/>
      </c>
      <c r="K102" s="216"/>
    </row>
    <row r="103" ht="18.0" customHeight="1">
      <c r="A103" s="212"/>
      <c r="B103" s="212"/>
      <c r="C103" s="212"/>
      <c r="D103" s="212"/>
      <c r="E103" s="212"/>
      <c r="F103" s="260"/>
      <c r="G103" s="248"/>
      <c r="H103" s="240">
        <f t="shared" si="5"/>
        <v>0</v>
      </c>
      <c r="I103" s="216" t="str">
        <f t="shared" si="6"/>
        <v/>
      </c>
      <c r="J103" s="216" t="str">
        <f t="array" ref="J103">IFERROR(IF(B103&lt;&gt;"",XLOOKUP(B103,FUNC!E:E,#REF!,"NO VIGENTE"),""),"")</f>
        <v/>
      </c>
      <c r="K103" s="216"/>
    </row>
    <row r="104" ht="18.0" customHeight="1">
      <c r="A104" s="212"/>
      <c r="B104" s="212"/>
      <c r="C104" s="212"/>
      <c r="D104" s="212"/>
      <c r="E104" s="212"/>
      <c r="F104" s="260"/>
      <c r="G104" s="248"/>
      <c r="H104" s="240">
        <f t="shared" si="5"/>
        <v>0</v>
      </c>
      <c r="I104" s="216" t="str">
        <f t="shared" si="6"/>
        <v/>
      </c>
      <c r="J104" s="216" t="str">
        <f t="array" ref="J104">IFERROR(IF(B104&lt;&gt;"",XLOOKUP(B104,FUNC!E:E,#REF!,"NO VIGENTE"),""),"")</f>
        <v/>
      </c>
      <c r="K104" s="216"/>
    </row>
    <row r="105" ht="18.0" customHeight="1">
      <c r="A105" s="212"/>
      <c r="B105" s="212"/>
      <c r="C105" s="212"/>
      <c r="D105" s="212"/>
      <c r="E105" s="212"/>
      <c r="F105" s="260"/>
      <c r="G105" s="248"/>
      <c r="H105" s="240">
        <f t="shared" si="5"/>
        <v>0</v>
      </c>
      <c r="I105" s="216" t="str">
        <f t="shared" si="6"/>
        <v/>
      </c>
      <c r="J105" s="216" t="str">
        <f t="array" ref="J105">IFERROR(IF(B105&lt;&gt;"",XLOOKUP(B105,FUNC!E:E,#REF!,"NO VIGENTE"),""),"")</f>
        <v/>
      </c>
      <c r="K105" s="216"/>
    </row>
    <row r="106" ht="18.0" customHeight="1">
      <c r="A106" s="212"/>
      <c r="B106" s="212"/>
      <c r="C106" s="212"/>
      <c r="D106" s="212"/>
      <c r="E106" s="212"/>
      <c r="F106" s="260"/>
      <c r="G106" s="248"/>
      <c r="H106" s="240">
        <f t="shared" si="5"/>
        <v>0</v>
      </c>
      <c r="I106" s="216" t="str">
        <f t="shared" si="6"/>
        <v/>
      </c>
      <c r="J106" s="216" t="str">
        <f t="array" ref="J106">IFERROR(IF(B106&lt;&gt;"",XLOOKUP(B106,FUNC!E:E,#REF!,"NO VIGENTE"),""),"")</f>
        <v/>
      </c>
      <c r="K106" s="216"/>
    </row>
    <row r="107" ht="18.0" customHeight="1">
      <c r="A107" s="212"/>
      <c r="B107" s="212"/>
      <c r="C107" s="212"/>
      <c r="D107" s="212"/>
      <c r="E107" s="212"/>
      <c r="F107" s="260"/>
      <c r="G107" s="248"/>
      <c r="H107" s="240">
        <f t="shared" si="5"/>
        <v>0</v>
      </c>
      <c r="I107" s="216" t="str">
        <f t="shared" si="6"/>
        <v/>
      </c>
      <c r="J107" s="216" t="str">
        <f t="array" ref="J107">IFERROR(IF(B107&lt;&gt;"",XLOOKUP(B107,FUNC!E:E,#REF!,"NO VIGENTE"),""),"")</f>
        <v/>
      </c>
      <c r="K107" s="216"/>
    </row>
    <row r="108" ht="18.0" customHeight="1">
      <c r="A108" s="212"/>
      <c r="B108" s="212"/>
      <c r="C108" s="212"/>
      <c r="D108" s="212"/>
      <c r="E108" s="212"/>
      <c r="F108" s="260"/>
      <c r="G108" s="248"/>
      <c r="H108" s="240">
        <f t="shared" si="5"/>
        <v>0</v>
      </c>
      <c r="I108" s="216" t="str">
        <f t="shared" si="6"/>
        <v/>
      </c>
      <c r="J108" s="216" t="str">
        <f t="array" ref="J108">IFERROR(IF(B108&lt;&gt;"",XLOOKUP(B108,FUNC!E:E,#REF!,"NO VIGENTE"),""),"")</f>
        <v/>
      </c>
      <c r="K108" s="216"/>
    </row>
    <row r="109" ht="18.0" customHeight="1">
      <c r="A109" s="212"/>
      <c r="B109" s="249"/>
      <c r="C109" s="212"/>
      <c r="D109" s="212"/>
      <c r="E109" s="212"/>
      <c r="F109" s="260"/>
      <c r="G109" s="248"/>
      <c r="H109" s="240">
        <f t="shared" si="5"/>
        <v>0</v>
      </c>
      <c r="I109" s="216" t="str">
        <f t="shared" si="6"/>
        <v/>
      </c>
      <c r="J109" s="216" t="str">
        <f t="array" ref="J109">IFERROR(IF(B109&lt;&gt;"",XLOOKUP(B109,FUNC!E:E,#REF!,"NO VIGENTE"),""),"")</f>
        <v/>
      </c>
      <c r="K109" s="216"/>
    </row>
    <row r="110" ht="18.0" customHeight="1">
      <c r="A110" s="212"/>
      <c r="B110" s="212"/>
      <c r="C110" s="212"/>
      <c r="D110" s="212"/>
      <c r="E110" s="212"/>
      <c r="F110" s="260"/>
      <c r="G110" s="248"/>
      <c r="H110" s="240">
        <f t="shared" si="5"/>
        <v>0</v>
      </c>
      <c r="I110" s="216" t="str">
        <f t="shared" si="6"/>
        <v/>
      </c>
      <c r="J110" s="216" t="str">
        <f t="array" ref="J110">IFERROR(IF(B110&lt;&gt;"",XLOOKUP(B110,FUNC!E:E,#REF!,"NO VIGENTE"),""),"")</f>
        <v/>
      </c>
      <c r="K110" s="216"/>
    </row>
    <row r="111" ht="18.0" customHeight="1">
      <c r="A111" s="212"/>
      <c r="B111" s="212"/>
      <c r="C111" s="212"/>
      <c r="D111" s="212"/>
      <c r="E111" s="212"/>
      <c r="F111" s="260"/>
      <c r="G111" s="248"/>
      <c r="H111" s="240">
        <f t="shared" si="5"/>
        <v>0</v>
      </c>
      <c r="I111" s="216" t="str">
        <f t="shared" si="6"/>
        <v/>
      </c>
      <c r="J111" s="216" t="str">
        <f t="array" ref="J111">IFERROR(IF(B111&lt;&gt;"",XLOOKUP(B111,FUNC!E:E,#REF!,"NO VIGENTE"),""),"")</f>
        <v/>
      </c>
      <c r="K111" s="216"/>
    </row>
    <row r="112" ht="18.0" customHeight="1">
      <c r="A112" s="212"/>
      <c r="B112" s="212"/>
      <c r="C112" s="212"/>
      <c r="D112" s="212"/>
      <c r="E112" s="212"/>
      <c r="F112" s="260"/>
      <c r="G112" s="248"/>
      <c r="H112" s="240">
        <f t="shared" si="5"/>
        <v>0</v>
      </c>
      <c r="I112" s="216" t="str">
        <f t="shared" si="6"/>
        <v/>
      </c>
      <c r="J112" s="216" t="str">
        <f t="array" ref="J112">IFERROR(IF(B112&lt;&gt;"",XLOOKUP(B112,FUNC!E:E,#REF!,"NO VIGENTE"),""),"")</f>
        <v/>
      </c>
      <c r="K112" s="216"/>
    </row>
    <row r="113" ht="18.0" customHeight="1">
      <c r="A113" s="212"/>
      <c r="B113" s="212"/>
      <c r="C113" s="212"/>
      <c r="D113" s="212"/>
      <c r="E113" s="212"/>
      <c r="F113" s="260"/>
      <c r="G113" s="248"/>
      <c r="H113" s="240">
        <f t="shared" si="5"/>
        <v>0</v>
      </c>
      <c r="I113" s="216" t="str">
        <f t="shared" si="6"/>
        <v/>
      </c>
      <c r="J113" s="216" t="str">
        <f t="array" ref="J113">IFERROR(IF(B113&lt;&gt;"",XLOOKUP(B113,FUNC!E:E,#REF!,"NO VIGENTE"),""),"")</f>
        <v/>
      </c>
      <c r="K113" s="216"/>
    </row>
    <row r="114" ht="18.0" customHeight="1">
      <c r="A114" s="212"/>
      <c r="B114" s="212"/>
      <c r="C114" s="212"/>
      <c r="D114" s="212"/>
      <c r="E114" s="212"/>
      <c r="F114" s="260"/>
      <c r="G114" s="248"/>
      <c r="H114" s="240">
        <f t="shared" si="5"/>
        <v>0</v>
      </c>
      <c r="I114" s="216" t="str">
        <f t="shared" si="6"/>
        <v/>
      </c>
      <c r="J114" s="216" t="str">
        <f t="array" ref="J114">IFERROR(IF(B114&lt;&gt;"",XLOOKUP(B114,FUNC!E:E,#REF!,"NO VIGENTE"),""),"")</f>
        <v/>
      </c>
      <c r="K114" s="216"/>
    </row>
    <row r="115" ht="18.0" customHeight="1">
      <c r="A115" s="212"/>
      <c r="B115" s="212"/>
      <c r="C115" s="212"/>
      <c r="D115" s="212"/>
      <c r="E115" s="212"/>
      <c r="F115" s="260"/>
      <c r="G115" s="248"/>
      <c r="H115" s="240">
        <f t="shared" si="5"/>
        <v>0</v>
      </c>
      <c r="I115" s="216" t="str">
        <f t="shared" si="6"/>
        <v/>
      </c>
      <c r="J115" s="216" t="str">
        <f t="array" ref="J115">IFERROR(IF(B115&lt;&gt;"",XLOOKUP(B115,FUNC!E:E,#REF!,"NO VIGENTE"),""),"")</f>
        <v/>
      </c>
      <c r="K115" s="216"/>
    </row>
    <row r="116" ht="18.0" customHeight="1">
      <c r="A116" s="212"/>
      <c r="B116" s="212"/>
      <c r="C116" s="212"/>
      <c r="D116" s="212"/>
      <c r="E116" s="212"/>
      <c r="F116" s="260"/>
      <c r="G116" s="248"/>
      <c r="H116" s="240">
        <f t="shared" si="5"/>
        <v>0</v>
      </c>
      <c r="I116" s="216" t="str">
        <f t="shared" si="6"/>
        <v/>
      </c>
      <c r="J116" s="216" t="str">
        <f t="array" ref="J116">IFERROR(IF(B116&lt;&gt;"",XLOOKUP(B116,FUNC!E:E,#REF!,"NO VIGENTE"),""),"")</f>
        <v/>
      </c>
      <c r="K116" s="216"/>
    </row>
    <row r="117" ht="18.0" customHeight="1">
      <c r="A117" s="212"/>
      <c r="B117" s="249"/>
      <c r="C117" s="212"/>
      <c r="D117" s="212"/>
      <c r="E117" s="212"/>
      <c r="F117" s="260"/>
      <c r="G117" s="248"/>
      <c r="H117" s="240">
        <f t="shared" si="5"/>
        <v>0</v>
      </c>
      <c r="I117" s="216" t="str">
        <f t="shared" si="6"/>
        <v/>
      </c>
      <c r="J117" s="216" t="str">
        <f t="array" ref="J117">IFERROR(IF(B117&lt;&gt;"",XLOOKUP(B117,FUNC!E:E,#REF!,"NO VIGENTE"),""),"")</f>
        <v/>
      </c>
      <c r="K117" s="216"/>
    </row>
    <row r="118" ht="18.0" customHeight="1">
      <c r="A118" s="212"/>
      <c r="B118" s="212"/>
      <c r="C118" s="212"/>
      <c r="D118" s="212"/>
      <c r="E118" s="212"/>
      <c r="F118" s="260"/>
      <c r="G118" s="248"/>
      <c r="H118" s="240">
        <f t="shared" si="5"/>
        <v>0</v>
      </c>
      <c r="I118" s="216" t="str">
        <f t="shared" si="6"/>
        <v/>
      </c>
      <c r="J118" s="216" t="str">
        <f t="array" ref="J118">IFERROR(IF(B118&lt;&gt;"",XLOOKUP(B118,FUNC!E:E,#REF!,"NO VIGENTE"),""),"")</f>
        <v/>
      </c>
      <c r="K118" s="216"/>
    </row>
    <row r="119" ht="18.0" customHeight="1">
      <c r="A119" s="212"/>
      <c r="B119" s="212"/>
      <c r="C119" s="212"/>
      <c r="D119" s="212"/>
      <c r="E119" s="212"/>
      <c r="F119" s="260"/>
      <c r="G119" s="248"/>
      <c r="H119" s="240">
        <f t="shared" si="5"/>
        <v>0</v>
      </c>
      <c r="I119" s="216" t="str">
        <f t="shared" si="6"/>
        <v/>
      </c>
      <c r="J119" s="216" t="str">
        <f t="array" ref="J119">IFERROR(IF(B119&lt;&gt;"",XLOOKUP(B119,FUNC!E:E,#REF!,"NO VIGENTE"),""),"")</f>
        <v/>
      </c>
      <c r="K119" s="216"/>
    </row>
    <row r="120" ht="18.0" customHeight="1">
      <c r="A120" s="212"/>
      <c r="B120" s="212"/>
      <c r="C120" s="212"/>
      <c r="D120" s="212"/>
      <c r="E120" s="212"/>
      <c r="F120" s="260"/>
      <c r="G120" s="248"/>
      <c r="H120" s="240">
        <f t="shared" si="5"/>
        <v>0</v>
      </c>
      <c r="I120" s="216" t="str">
        <f t="shared" si="6"/>
        <v/>
      </c>
      <c r="J120" s="216" t="str">
        <f t="array" ref="J120">IFERROR(IF(B120&lt;&gt;"",XLOOKUP(B120,FUNC!E:E,#REF!,"NO VIGENTE"),""),"")</f>
        <v/>
      </c>
      <c r="K120" s="216"/>
    </row>
    <row r="121" ht="18.0" customHeight="1">
      <c r="A121" s="212"/>
      <c r="B121" s="212"/>
      <c r="C121" s="212"/>
      <c r="D121" s="212"/>
      <c r="E121" s="212"/>
      <c r="F121" s="260"/>
      <c r="G121" s="248"/>
      <c r="H121" s="240">
        <f t="shared" si="5"/>
        <v>0</v>
      </c>
      <c r="I121" s="216" t="str">
        <f t="shared" si="6"/>
        <v/>
      </c>
      <c r="J121" s="216" t="str">
        <f t="array" ref="J121">IFERROR(IF(B121&lt;&gt;"",XLOOKUP(B121,FUNC!E:E,#REF!,"NO VIGENTE"),""),"")</f>
        <v/>
      </c>
      <c r="K121" s="216"/>
    </row>
    <row r="122" ht="18.0" customHeight="1">
      <c r="A122" s="212"/>
      <c r="B122" s="212"/>
      <c r="C122" s="212"/>
      <c r="D122" s="212"/>
      <c r="E122" s="212"/>
      <c r="F122" s="260"/>
      <c r="G122" s="248"/>
      <c r="H122" s="240">
        <f t="shared" si="5"/>
        <v>0</v>
      </c>
      <c r="I122" s="216" t="str">
        <f t="shared" si="6"/>
        <v/>
      </c>
      <c r="J122" s="216" t="str">
        <f t="array" ref="J122">IFERROR(IF(B122&lt;&gt;"",XLOOKUP(B122,FUNC!E:E,#REF!,"NO VIGENTE"),""),"")</f>
        <v/>
      </c>
      <c r="K122" s="216"/>
    </row>
    <row r="123" ht="18.0" customHeight="1">
      <c r="A123" s="212"/>
      <c r="B123" s="212"/>
      <c r="C123" s="212"/>
      <c r="D123" s="212"/>
      <c r="E123" s="212"/>
      <c r="F123" s="260"/>
      <c r="G123" s="248"/>
      <c r="H123" s="240">
        <f t="shared" si="5"/>
        <v>0</v>
      </c>
      <c r="I123" s="216" t="str">
        <f t="shared" si="6"/>
        <v/>
      </c>
      <c r="J123" s="216" t="str">
        <f t="array" ref="J123">IFERROR(IF(B123&lt;&gt;"",XLOOKUP(B123,FUNC!E:E,#REF!,"NO VIGENTE"),""),"")</f>
        <v/>
      </c>
      <c r="K123" s="216"/>
    </row>
    <row r="124" ht="18.0" customHeight="1">
      <c r="A124" s="212"/>
      <c r="B124" s="212"/>
      <c r="C124" s="212"/>
      <c r="D124" s="212"/>
      <c r="E124" s="212"/>
      <c r="F124" s="260"/>
      <c r="G124" s="248"/>
      <c r="H124" s="240">
        <f t="shared" si="5"/>
        <v>0</v>
      </c>
      <c r="I124" s="216" t="str">
        <f t="shared" si="6"/>
        <v/>
      </c>
      <c r="J124" s="216" t="str">
        <f t="array" ref="J124">IFERROR(IF(B124&lt;&gt;"",XLOOKUP(B124,FUNC!E:E,#REF!,"NO VIGENTE"),""),"")</f>
        <v/>
      </c>
      <c r="K124" s="216"/>
    </row>
    <row r="125" ht="18.0" customHeight="1">
      <c r="A125" s="212"/>
      <c r="B125" s="212"/>
      <c r="C125" s="212"/>
      <c r="D125" s="212"/>
      <c r="E125" s="212"/>
      <c r="F125" s="260"/>
      <c r="G125" s="248"/>
      <c r="H125" s="240">
        <f t="shared" si="5"/>
        <v>0</v>
      </c>
      <c r="I125" s="216" t="str">
        <f t="shared" si="6"/>
        <v/>
      </c>
      <c r="J125" s="216" t="str">
        <f t="array" ref="J125">IFERROR(IF(B125&lt;&gt;"",XLOOKUP(B125,FUNC!E:E,#REF!,"NO VIGENTE"),""),"")</f>
        <v/>
      </c>
      <c r="K125" s="216"/>
    </row>
    <row r="126" ht="18.0" customHeight="1">
      <c r="A126" s="212"/>
      <c r="B126" s="212"/>
      <c r="C126" s="212"/>
      <c r="D126" s="212"/>
      <c r="E126" s="212"/>
      <c r="F126" s="260"/>
      <c r="G126" s="248"/>
      <c r="H126" s="240">
        <f t="shared" si="5"/>
        <v>0</v>
      </c>
      <c r="I126" s="216" t="str">
        <f t="shared" si="6"/>
        <v/>
      </c>
      <c r="J126" s="216" t="str">
        <f t="array" ref="J126">IFERROR(IF(B126&lt;&gt;"",XLOOKUP(B126,FUNC!E:E,#REF!,"NO VIGENTE"),""),"")</f>
        <v/>
      </c>
      <c r="K126" s="216"/>
    </row>
    <row r="127" ht="18.0" customHeight="1">
      <c r="A127" s="212"/>
      <c r="B127" s="212"/>
      <c r="C127" s="212"/>
      <c r="D127" s="212"/>
      <c r="E127" s="212"/>
      <c r="F127" s="260"/>
      <c r="G127" s="248"/>
      <c r="H127" s="240">
        <f t="shared" si="5"/>
        <v>0</v>
      </c>
      <c r="I127" s="216" t="str">
        <f t="shared" si="6"/>
        <v/>
      </c>
      <c r="J127" s="216" t="str">
        <f t="array" ref="J127">IFERROR(IF(B127&lt;&gt;"",XLOOKUP(B127,FUNC!E:E,#REF!,"NO VIGENTE"),""),"")</f>
        <v/>
      </c>
      <c r="K127" s="216"/>
    </row>
    <row r="128" ht="18.0" customHeight="1">
      <c r="A128" s="212"/>
      <c r="B128" s="212"/>
      <c r="C128" s="212"/>
      <c r="D128" s="212"/>
      <c r="E128" s="212"/>
      <c r="F128" s="260"/>
      <c r="G128" s="248"/>
      <c r="H128" s="240">
        <f t="shared" si="5"/>
        <v>0</v>
      </c>
      <c r="I128" s="216" t="str">
        <f t="shared" si="6"/>
        <v/>
      </c>
      <c r="J128" s="216" t="str">
        <f t="array" ref="J128">IFERROR(IF(B128&lt;&gt;"",XLOOKUP(B128,FUNC!E:E,#REF!,"NO VIGENTE"),""),"")</f>
        <v/>
      </c>
      <c r="K128" s="216"/>
    </row>
    <row r="129" ht="18.0" customHeight="1">
      <c r="A129" s="212"/>
      <c r="B129" s="212"/>
      <c r="C129" s="212"/>
      <c r="D129" s="212"/>
      <c r="E129" s="212"/>
      <c r="F129" s="260"/>
      <c r="G129" s="248"/>
      <c r="H129" s="240">
        <f t="shared" si="5"/>
        <v>0</v>
      </c>
      <c r="I129" s="216" t="str">
        <f t="shared" si="6"/>
        <v/>
      </c>
      <c r="J129" s="216" t="str">
        <f t="array" ref="J129">IFERROR(IF(B129&lt;&gt;"",XLOOKUP(B129,FUNC!E:E,#REF!,"NO VIGENTE"),""),"")</f>
        <v/>
      </c>
      <c r="K129" s="216"/>
    </row>
    <row r="130" ht="18.0" customHeight="1">
      <c r="A130" s="212"/>
      <c r="B130" s="212"/>
      <c r="C130" s="212"/>
      <c r="D130" s="212"/>
      <c r="E130" s="212"/>
      <c r="F130" s="260"/>
      <c r="G130" s="248"/>
      <c r="H130" s="240">
        <f t="shared" si="5"/>
        <v>0</v>
      </c>
      <c r="I130" s="216" t="str">
        <f t="shared" si="6"/>
        <v/>
      </c>
      <c r="J130" s="216" t="str">
        <f t="array" ref="J130">IFERROR(IF(B130&lt;&gt;"",XLOOKUP(B130,FUNC!E:E,#REF!,"NO VIGENTE"),""),"")</f>
        <v/>
      </c>
      <c r="K130" s="216"/>
    </row>
    <row r="131" ht="18.0" customHeight="1">
      <c r="A131" s="212"/>
      <c r="B131" s="212"/>
      <c r="C131" s="212"/>
      <c r="D131" s="212"/>
      <c r="E131" s="212"/>
      <c r="F131" s="260"/>
      <c r="G131" s="248"/>
      <c r="H131" s="240">
        <f t="shared" si="5"/>
        <v>0</v>
      </c>
      <c r="I131" s="216" t="str">
        <f t="shared" si="6"/>
        <v/>
      </c>
      <c r="J131" s="216" t="str">
        <f t="array" ref="J131">IFERROR(IF(B131&lt;&gt;"",XLOOKUP(B131,FUNC!E:E,#REF!,"NO VIGENTE"),""),"")</f>
        <v/>
      </c>
      <c r="K131" s="216"/>
    </row>
    <row r="132" ht="18.0" customHeight="1">
      <c r="A132" s="212"/>
      <c r="B132" s="212"/>
      <c r="C132" s="212"/>
      <c r="D132" s="212"/>
      <c r="E132" s="212"/>
      <c r="F132" s="260"/>
      <c r="G132" s="248"/>
      <c r="H132" s="240">
        <f t="shared" si="5"/>
        <v>0</v>
      </c>
      <c r="I132" s="216" t="str">
        <f t="shared" si="6"/>
        <v/>
      </c>
      <c r="J132" s="216" t="str">
        <f t="array" ref="J132">IFERROR(IF(B132&lt;&gt;"",XLOOKUP(B132,FUNC!E:E,#REF!,"NO VIGENTE"),""),"")</f>
        <v/>
      </c>
      <c r="K132" s="216"/>
    </row>
    <row r="133" ht="18.0" customHeight="1">
      <c r="A133" s="212"/>
      <c r="B133" s="212"/>
      <c r="C133" s="212"/>
      <c r="D133" s="212"/>
      <c r="E133" s="212"/>
      <c r="F133" s="260"/>
      <c r="G133" s="248"/>
      <c r="H133" s="240">
        <f t="shared" si="5"/>
        <v>0</v>
      </c>
      <c r="I133" s="216" t="str">
        <f t="shared" si="6"/>
        <v/>
      </c>
      <c r="J133" s="216" t="str">
        <f t="array" ref="J133">IFERROR(IF(B133&lt;&gt;"",XLOOKUP(B133,FUNC!E:E,#REF!,"NO VIGENTE"),""),"")</f>
        <v/>
      </c>
      <c r="K133" s="216"/>
    </row>
    <row r="134" ht="18.0" customHeight="1">
      <c r="A134" s="212"/>
      <c r="B134" s="212"/>
      <c r="C134" s="212"/>
      <c r="D134" s="212"/>
      <c r="E134" s="212"/>
      <c r="F134" s="260"/>
      <c r="G134" s="248"/>
      <c r="H134" s="240">
        <f t="shared" si="5"/>
        <v>0</v>
      </c>
      <c r="I134" s="216" t="str">
        <f t="shared" si="6"/>
        <v/>
      </c>
      <c r="J134" s="216" t="str">
        <f t="array" ref="J134">IFERROR(IF(B134&lt;&gt;"",XLOOKUP(B134,FUNC!E:E,#REF!,"NO VIGENTE"),""),"")</f>
        <v/>
      </c>
      <c r="K134" s="216"/>
    </row>
    <row r="135" ht="18.0" customHeight="1">
      <c r="A135" s="212"/>
      <c r="B135" s="212"/>
      <c r="C135" s="212"/>
      <c r="D135" s="212"/>
      <c r="E135" s="212"/>
      <c r="F135" s="260"/>
      <c r="G135" s="248"/>
      <c r="H135" s="240">
        <f t="shared" si="5"/>
        <v>0</v>
      </c>
      <c r="I135" s="216" t="str">
        <f t="shared" si="6"/>
        <v/>
      </c>
      <c r="J135" s="216" t="str">
        <f t="array" ref="J135">IFERROR(IF(B135&lt;&gt;"",XLOOKUP(B135,FUNC!E:E,#REF!,"NO VIGENTE"),""),"")</f>
        <v/>
      </c>
      <c r="K135" s="216"/>
    </row>
    <row r="136" ht="18.0" customHeight="1">
      <c r="A136" s="212"/>
      <c r="B136" s="212"/>
      <c r="C136" s="212"/>
      <c r="D136" s="212"/>
      <c r="E136" s="212"/>
      <c r="F136" s="260"/>
      <c r="G136" s="248"/>
      <c r="H136" s="240">
        <f t="shared" si="5"/>
        <v>0</v>
      </c>
      <c r="I136" s="216" t="str">
        <f t="shared" si="6"/>
        <v/>
      </c>
      <c r="J136" s="216" t="str">
        <f t="array" ref="J136">IFERROR(IF(B136&lt;&gt;"",XLOOKUP(B136,FUNC!E:E,#REF!,"NO VIGENTE"),""),"")</f>
        <v/>
      </c>
      <c r="K136" s="216"/>
    </row>
    <row r="137" ht="18.0" customHeight="1">
      <c r="A137" s="212"/>
      <c r="B137" s="212"/>
      <c r="C137" s="212"/>
      <c r="D137" s="212"/>
      <c r="E137" s="212"/>
      <c r="F137" s="260"/>
      <c r="G137" s="248"/>
      <c r="H137" s="240">
        <f t="shared" si="5"/>
        <v>0</v>
      </c>
      <c r="I137" s="216" t="str">
        <f t="shared" si="6"/>
        <v/>
      </c>
      <c r="J137" s="216" t="str">
        <f t="array" ref="J137">IFERROR(IF(B137&lt;&gt;"",XLOOKUP(B137,FUNC!E:E,#REF!,"NO VIGENTE"),""),"")</f>
        <v/>
      </c>
      <c r="K137" s="216"/>
    </row>
    <row r="138" ht="18.0" customHeight="1">
      <c r="A138" s="212"/>
      <c r="B138" s="212"/>
      <c r="C138" s="212"/>
      <c r="D138" s="212"/>
      <c r="E138" s="212"/>
      <c r="F138" s="260"/>
      <c r="G138" s="248"/>
      <c r="H138" s="240">
        <f t="shared" si="5"/>
        <v>0</v>
      </c>
      <c r="I138" s="216" t="str">
        <f t="shared" si="6"/>
        <v/>
      </c>
      <c r="J138" s="216" t="str">
        <f t="array" ref="J138">IFERROR(IF(B138&lt;&gt;"",XLOOKUP(B138,FUNC!E:E,#REF!,"NO VIGENTE"),""),"")</f>
        <v/>
      </c>
      <c r="K138" s="216"/>
    </row>
    <row r="139" ht="18.0" customHeight="1">
      <c r="A139" s="212"/>
      <c r="B139" s="212"/>
      <c r="C139" s="212"/>
      <c r="D139" s="212"/>
      <c r="E139" s="212"/>
      <c r="F139" s="260"/>
      <c r="G139" s="248"/>
      <c r="H139" s="240">
        <f t="shared" si="5"/>
        <v>0</v>
      </c>
      <c r="I139" s="216" t="str">
        <f t="shared" si="6"/>
        <v/>
      </c>
      <c r="J139" s="216" t="str">
        <f t="array" ref="J139">IFERROR(IF(B139&lt;&gt;"",XLOOKUP(B139,FUNC!E:E,#REF!,"NO VIGENTE"),""),"")</f>
        <v/>
      </c>
      <c r="K139" s="216"/>
    </row>
    <row r="140" ht="18.0" customHeight="1">
      <c r="A140" s="212"/>
      <c r="B140" s="212"/>
      <c r="C140" s="212"/>
      <c r="D140" s="212"/>
      <c r="E140" s="212"/>
      <c r="F140" s="260"/>
      <c r="G140" s="248"/>
      <c r="H140" s="240">
        <f t="shared" si="5"/>
        <v>0</v>
      </c>
      <c r="I140" s="216" t="str">
        <f t="shared" si="6"/>
        <v/>
      </c>
      <c r="J140" s="216" t="str">
        <f t="array" ref="J140">IFERROR(IF(B140&lt;&gt;"",XLOOKUP(B140,FUNC!E:E,#REF!,"NO VIGENTE"),""),"")</f>
        <v/>
      </c>
      <c r="K140" s="216"/>
    </row>
    <row r="141" ht="18.0" customHeight="1">
      <c r="A141" s="212"/>
      <c r="B141" s="212"/>
      <c r="C141" s="212"/>
      <c r="D141" s="212"/>
      <c r="E141" s="212"/>
      <c r="F141" s="260"/>
      <c r="G141" s="248"/>
      <c r="H141" s="240">
        <f t="shared" si="5"/>
        <v>0</v>
      </c>
      <c r="I141" s="216" t="str">
        <f t="shared" si="6"/>
        <v/>
      </c>
      <c r="J141" s="216" t="str">
        <f t="array" ref="J141">IFERROR(IF(B141&lt;&gt;"",XLOOKUP(B141,FUNC!E:E,#REF!,"NO VIGENTE"),""),"")</f>
        <v/>
      </c>
      <c r="K141" s="216"/>
    </row>
    <row r="142" ht="18.0" customHeight="1">
      <c r="A142" s="212"/>
      <c r="B142" s="212"/>
      <c r="C142" s="212"/>
      <c r="D142" s="212"/>
      <c r="E142" s="212"/>
      <c r="F142" s="260"/>
      <c r="G142" s="248"/>
      <c r="H142" s="240">
        <f t="shared" si="5"/>
        <v>0</v>
      </c>
      <c r="I142" s="216" t="str">
        <f t="shared" si="6"/>
        <v/>
      </c>
      <c r="J142" s="216" t="str">
        <f t="array" ref="J142">IFERROR(IF(B142&lt;&gt;"",XLOOKUP(B142,FUNC!E:E,#REF!,"NO VIGENTE"),""),"")</f>
        <v/>
      </c>
      <c r="K142" s="216"/>
    </row>
    <row r="143" ht="18.0" customHeight="1">
      <c r="A143" s="212"/>
      <c r="B143" s="212"/>
      <c r="C143" s="212"/>
      <c r="D143" s="212"/>
      <c r="E143" s="212"/>
      <c r="F143" s="260"/>
      <c r="G143" s="248"/>
      <c r="H143" s="240">
        <f t="shared" si="5"/>
        <v>0</v>
      </c>
      <c r="I143" s="216" t="str">
        <f t="shared" si="6"/>
        <v/>
      </c>
      <c r="J143" s="216" t="str">
        <f t="array" ref="J143">IFERROR(IF(B143&lt;&gt;"",XLOOKUP(B143,FUNC!E:E,#REF!,"NO VIGENTE"),""),"")</f>
        <v/>
      </c>
      <c r="K143" s="216"/>
    </row>
    <row r="144" ht="18.0" customHeight="1">
      <c r="A144" s="212"/>
      <c r="B144" s="212"/>
      <c r="C144" s="212"/>
      <c r="D144" s="212"/>
      <c r="E144" s="212"/>
      <c r="F144" s="260"/>
      <c r="G144" s="248"/>
      <c r="H144" s="240">
        <f t="shared" si="5"/>
        <v>0</v>
      </c>
      <c r="I144" s="216" t="str">
        <f t="shared" si="6"/>
        <v/>
      </c>
      <c r="J144" s="216" t="str">
        <f t="array" ref="J144">IFERROR(IF(B144&lt;&gt;"",XLOOKUP(B144,FUNC!E:E,#REF!,"NO VIGENTE"),""),"")</f>
        <v/>
      </c>
      <c r="K144" s="216"/>
    </row>
    <row r="145" ht="18.0" customHeight="1">
      <c r="A145" s="212"/>
      <c r="B145" s="212"/>
      <c r="C145" s="212"/>
      <c r="D145" s="212"/>
      <c r="E145" s="212"/>
      <c r="F145" s="260"/>
      <c r="G145" s="248"/>
      <c r="H145" s="240">
        <f t="shared" si="5"/>
        <v>0</v>
      </c>
      <c r="I145" s="216" t="str">
        <f t="shared" si="6"/>
        <v/>
      </c>
      <c r="J145" s="216" t="str">
        <f t="array" ref="J145">IFERROR(IF(B145&lt;&gt;"",XLOOKUP(B145,FUNC!E:E,#REF!,"NO VIGENTE"),""),"")</f>
        <v/>
      </c>
      <c r="K145" s="216"/>
    </row>
    <row r="146" ht="18.0" customHeight="1">
      <c r="A146" s="212"/>
      <c r="B146" s="212"/>
      <c r="C146" s="212"/>
      <c r="D146" s="212"/>
      <c r="E146" s="212"/>
      <c r="F146" s="260"/>
      <c r="G146" s="248"/>
      <c r="H146" s="240">
        <f t="shared" si="5"/>
        <v>0</v>
      </c>
      <c r="I146" s="216" t="str">
        <f t="shared" si="6"/>
        <v/>
      </c>
      <c r="J146" s="216" t="str">
        <f t="array" ref="J146">IFERROR(IF(B146&lt;&gt;"",XLOOKUP(B146,FUNC!E:E,#REF!,"NO VIGENTE"),""),"")</f>
        <v/>
      </c>
      <c r="K146" s="216"/>
    </row>
    <row r="147" ht="18.0" customHeight="1">
      <c r="A147" s="212"/>
      <c r="B147" s="212"/>
      <c r="C147" s="212"/>
      <c r="D147" s="212"/>
      <c r="E147" s="212"/>
      <c r="F147" s="260"/>
      <c r="G147" s="248"/>
      <c r="H147" s="240">
        <f t="shared" si="5"/>
        <v>0</v>
      </c>
      <c r="I147" s="216" t="str">
        <f t="shared" si="6"/>
        <v/>
      </c>
      <c r="J147" s="216" t="str">
        <f t="array" ref="J147">IFERROR(IF(B147&lt;&gt;"",XLOOKUP(B147,FUNC!E:E,#REF!,"NO VIGENTE"),""),"")</f>
        <v/>
      </c>
      <c r="K147" s="216"/>
    </row>
    <row r="148" ht="18.0" customHeight="1">
      <c r="A148" s="212"/>
      <c r="B148" s="212"/>
      <c r="C148" s="212"/>
      <c r="D148" s="212"/>
      <c r="E148" s="212"/>
      <c r="F148" s="260"/>
      <c r="G148" s="248"/>
      <c r="H148" s="240">
        <f t="shared" si="5"/>
        <v>0</v>
      </c>
      <c r="I148" s="216" t="str">
        <f t="shared" si="6"/>
        <v/>
      </c>
      <c r="J148" s="216" t="str">
        <f t="array" ref="J148">IFERROR(IF(B148&lt;&gt;"",XLOOKUP(B148,FUNC!E:E,#REF!,"NO VIGENTE"),""),"")</f>
        <v/>
      </c>
      <c r="K148" s="216"/>
    </row>
    <row r="149" ht="18.0" customHeight="1">
      <c r="A149" s="212"/>
      <c r="B149" s="212"/>
      <c r="C149" s="212"/>
      <c r="D149" s="212"/>
      <c r="E149" s="212"/>
      <c r="F149" s="260"/>
      <c r="G149" s="248"/>
      <c r="H149" s="240">
        <f t="shared" si="5"/>
        <v>0</v>
      </c>
      <c r="I149" s="216" t="str">
        <f t="shared" si="6"/>
        <v/>
      </c>
      <c r="J149" s="216" t="str">
        <f t="array" ref="J149">IFERROR(IF(B149&lt;&gt;"",XLOOKUP(B149,FUNC!E:E,#REF!,"NO VIGENTE"),""),"")</f>
        <v/>
      </c>
      <c r="K149" s="216"/>
    </row>
    <row r="150" ht="18.0" customHeight="1">
      <c r="A150" s="212"/>
      <c r="B150" s="212"/>
      <c r="C150" s="212"/>
      <c r="D150" s="212"/>
      <c r="E150" s="212"/>
      <c r="F150" s="260"/>
      <c r="G150" s="248"/>
      <c r="H150" s="240">
        <f t="shared" si="5"/>
        <v>0</v>
      </c>
      <c r="I150" s="216" t="str">
        <f t="shared" si="6"/>
        <v/>
      </c>
      <c r="J150" s="216" t="str">
        <f t="array" ref="J150">IFERROR(IF(B150&lt;&gt;"",XLOOKUP(B150,FUNC!E:E,#REF!,"NO VIGENTE"),""),"")</f>
        <v/>
      </c>
      <c r="K150" s="216"/>
    </row>
    <row r="151" ht="18.0" customHeight="1">
      <c r="A151" s="212"/>
      <c r="B151" s="212"/>
      <c r="C151" s="212"/>
      <c r="D151" s="212"/>
      <c r="E151" s="212"/>
      <c r="F151" s="260"/>
      <c r="G151" s="248"/>
      <c r="H151" s="240">
        <f t="shared" si="5"/>
        <v>0</v>
      </c>
      <c r="I151" s="216" t="str">
        <f t="shared" si="6"/>
        <v/>
      </c>
      <c r="J151" s="216" t="str">
        <f t="array" ref="J151">IFERROR(IF(B151&lt;&gt;"",XLOOKUP(B151,FUNC!E:E,#REF!,"NO VIGENTE"),""),"")</f>
        <v/>
      </c>
      <c r="K151" s="216"/>
    </row>
    <row r="152" ht="18.0" customHeight="1">
      <c r="A152" s="212"/>
      <c r="B152" s="212"/>
      <c r="C152" s="212"/>
      <c r="D152" s="212"/>
      <c r="E152" s="212"/>
      <c r="F152" s="260"/>
      <c r="G152" s="248"/>
      <c r="H152" s="240">
        <f t="shared" si="5"/>
        <v>0</v>
      </c>
      <c r="I152" s="216" t="str">
        <f t="shared" si="6"/>
        <v/>
      </c>
      <c r="J152" s="216" t="str">
        <f t="array" ref="J152">IFERROR(IF(B152&lt;&gt;"",XLOOKUP(B152,FUNC!E:E,#REF!,"NO VIGENTE"),""),"")</f>
        <v/>
      </c>
      <c r="K152" s="216"/>
    </row>
    <row r="153" ht="18.0" customHeight="1">
      <c r="A153" s="212"/>
      <c r="B153" s="212"/>
      <c r="C153" s="212"/>
      <c r="D153" s="212"/>
      <c r="E153" s="212"/>
      <c r="F153" s="260"/>
      <c r="G153" s="248"/>
      <c r="H153" s="240">
        <f t="shared" si="5"/>
        <v>0</v>
      </c>
      <c r="I153" s="216" t="str">
        <f t="shared" si="6"/>
        <v/>
      </c>
      <c r="J153" s="216" t="str">
        <f t="array" ref="J153">IFERROR(IF(B153&lt;&gt;"",XLOOKUP(B153,FUNC!E:E,#REF!,"NO VIGENTE"),""),"")</f>
        <v/>
      </c>
      <c r="K153" s="216"/>
    </row>
    <row r="154" ht="18.0" customHeight="1">
      <c r="A154" s="212"/>
      <c r="B154" s="212"/>
      <c r="C154" s="212"/>
      <c r="D154" s="212"/>
      <c r="E154" s="212"/>
      <c r="F154" s="260"/>
      <c r="G154" s="248"/>
      <c r="H154" s="240">
        <f t="shared" si="5"/>
        <v>0</v>
      </c>
      <c r="I154" s="216" t="str">
        <f t="shared" si="6"/>
        <v/>
      </c>
      <c r="J154" s="216" t="str">
        <f t="array" ref="J154">IFERROR(IF(B154&lt;&gt;"",XLOOKUP(B154,FUNC!E:E,#REF!,"NO VIGENTE"),""),"")</f>
        <v/>
      </c>
      <c r="K154" s="216"/>
    </row>
    <row r="155" ht="18.0" customHeight="1">
      <c r="A155" s="212"/>
      <c r="B155" s="212"/>
      <c r="C155" s="212"/>
      <c r="D155" s="212"/>
      <c r="E155" s="212"/>
      <c r="F155" s="260"/>
      <c r="G155" s="248"/>
      <c r="H155" s="240">
        <f t="shared" si="5"/>
        <v>0</v>
      </c>
      <c r="I155" s="216" t="str">
        <f t="shared" si="6"/>
        <v/>
      </c>
      <c r="J155" s="216" t="str">
        <f t="array" ref="J155">IFERROR(IF(B155&lt;&gt;"",XLOOKUP(B155,FUNC!E:E,#REF!,"NO VIGENTE"),""),"")</f>
        <v/>
      </c>
      <c r="K155" s="216"/>
    </row>
    <row r="156" ht="18.0" customHeight="1">
      <c r="A156" s="212"/>
      <c r="B156" s="212"/>
      <c r="C156" s="212"/>
      <c r="D156" s="212"/>
      <c r="E156" s="212"/>
      <c r="F156" s="260"/>
      <c r="G156" s="248"/>
      <c r="H156" s="240">
        <f t="shared" si="5"/>
        <v>0</v>
      </c>
      <c r="I156" s="216" t="str">
        <f t="shared" si="6"/>
        <v/>
      </c>
      <c r="J156" s="216" t="str">
        <f t="array" ref="J156">IFERROR(IF(B156&lt;&gt;"",XLOOKUP(B156,FUNC!E:E,#REF!,"NO VIGENTE"),""),"")</f>
        <v/>
      </c>
      <c r="K156" s="216"/>
    </row>
    <row r="157" ht="18.0" customHeight="1">
      <c r="A157" s="212"/>
      <c r="B157" s="212"/>
      <c r="C157" s="212"/>
      <c r="D157" s="212"/>
      <c r="E157" s="212"/>
      <c r="F157" s="260"/>
      <c r="G157" s="248"/>
      <c r="H157" s="240">
        <f t="shared" si="5"/>
        <v>0</v>
      </c>
      <c r="I157" s="216" t="str">
        <f t="shared" si="6"/>
        <v/>
      </c>
      <c r="J157" s="216" t="str">
        <f t="array" ref="J157">IFERROR(IF(B157&lt;&gt;"",XLOOKUP(B157,FUNC!E:E,#REF!,"NO VIGENTE"),""),"")</f>
        <v/>
      </c>
      <c r="K157" s="216"/>
    </row>
    <row r="158" ht="18.0" customHeight="1">
      <c r="A158" s="212"/>
      <c r="B158" s="212"/>
      <c r="C158" s="212"/>
      <c r="D158" s="212"/>
      <c r="E158" s="212"/>
      <c r="F158" s="260"/>
      <c r="G158" s="248"/>
      <c r="H158" s="240">
        <f t="shared" si="5"/>
        <v>0</v>
      </c>
      <c r="I158" s="216" t="str">
        <f t="shared" si="6"/>
        <v/>
      </c>
      <c r="J158" s="216" t="str">
        <f t="array" ref="J158">IFERROR(IF(B158&lt;&gt;"",XLOOKUP(B158,FUNC!E:E,#REF!,"NO VIGENTE"),""),"")</f>
        <v/>
      </c>
      <c r="K158" s="216"/>
    </row>
    <row r="159" ht="18.0" customHeight="1">
      <c r="A159" s="212"/>
      <c r="B159" s="212"/>
      <c r="C159" s="212"/>
      <c r="D159" s="212"/>
      <c r="E159" s="212"/>
      <c r="F159" s="260"/>
      <c r="G159" s="248"/>
      <c r="H159" s="240">
        <f t="shared" si="5"/>
        <v>0</v>
      </c>
      <c r="I159" s="216" t="str">
        <f t="shared" si="6"/>
        <v/>
      </c>
      <c r="J159" s="216" t="str">
        <f t="array" ref="J159">IFERROR(IF(B159&lt;&gt;"",XLOOKUP(B159,FUNC!E:E,#REF!,"NO VIGENTE"),""),"")</f>
        <v/>
      </c>
      <c r="K159" s="216"/>
    </row>
    <row r="160" ht="18.0" customHeight="1">
      <c r="A160" s="212"/>
      <c r="B160" s="212"/>
      <c r="C160" s="212"/>
      <c r="D160" s="212"/>
      <c r="E160" s="212"/>
      <c r="F160" s="260"/>
      <c r="G160" s="248"/>
      <c r="H160" s="240">
        <f t="shared" si="5"/>
        <v>0</v>
      </c>
      <c r="I160" s="216" t="str">
        <f t="shared" si="6"/>
        <v/>
      </c>
      <c r="J160" s="216" t="str">
        <f t="array" ref="J160">IFERROR(IF(B160&lt;&gt;"",XLOOKUP(B160,FUNC!E:E,#REF!,"NO VIGENTE"),""),"")</f>
        <v/>
      </c>
      <c r="K160" s="216"/>
    </row>
    <row r="161" ht="18.0" customHeight="1">
      <c r="A161" s="212"/>
      <c r="B161" s="212"/>
      <c r="C161" s="212"/>
      <c r="D161" s="212"/>
      <c r="E161" s="212"/>
      <c r="F161" s="260"/>
      <c r="G161" s="248"/>
      <c r="H161" s="240">
        <f t="shared" si="5"/>
        <v>0</v>
      </c>
      <c r="I161" s="216" t="str">
        <f t="shared" si="6"/>
        <v/>
      </c>
      <c r="J161" s="216" t="str">
        <f t="array" ref="J161">IFERROR(IF(B161&lt;&gt;"",XLOOKUP(B161,FUNC!E:E,#REF!,"NO VIGENTE"),""),"")</f>
        <v/>
      </c>
      <c r="K161" s="216"/>
    </row>
    <row r="162" ht="18.0" customHeight="1">
      <c r="A162" s="212"/>
      <c r="B162" s="212"/>
      <c r="C162" s="212"/>
      <c r="D162" s="212"/>
      <c r="E162" s="212"/>
      <c r="F162" s="260"/>
      <c r="G162" s="248"/>
      <c r="H162" s="240">
        <f t="shared" si="5"/>
        <v>0</v>
      </c>
      <c r="I162" s="216" t="str">
        <f t="shared" si="6"/>
        <v/>
      </c>
      <c r="J162" s="216" t="str">
        <f t="array" ref="J162">IFERROR(IF(B162&lt;&gt;"",XLOOKUP(B162,FUNC!E:E,#REF!,"NO VIGENTE"),""),"")</f>
        <v/>
      </c>
      <c r="K162" s="216"/>
    </row>
    <row r="163" ht="18.0" customHeight="1">
      <c r="A163" s="212"/>
      <c r="B163" s="212"/>
      <c r="C163" s="212"/>
      <c r="D163" s="212"/>
      <c r="E163" s="212"/>
      <c r="F163" s="260"/>
      <c r="G163" s="248"/>
      <c r="H163" s="240">
        <f t="shared" si="5"/>
        <v>0</v>
      </c>
      <c r="I163" s="216" t="str">
        <f t="shared" si="6"/>
        <v/>
      </c>
      <c r="J163" s="216" t="str">
        <f t="array" ref="J163">IFERROR(IF(B163&lt;&gt;"",XLOOKUP(B163,FUNC!E:E,#REF!,"NO VIGENTE"),""),"")</f>
        <v/>
      </c>
      <c r="K163" s="216"/>
    </row>
    <row r="164" ht="18.0" customHeight="1">
      <c r="A164" s="212"/>
      <c r="B164" s="249"/>
      <c r="C164" s="212"/>
      <c r="D164" s="212"/>
      <c r="E164" s="212"/>
      <c r="F164" s="260"/>
      <c r="G164" s="248"/>
      <c r="H164" s="240">
        <f t="shared" si="5"/>
        <v>0</v>
      </c>
      <c r="I164" s="216" t="str">
        <f t="shared" si="6"/>
        <v/>
      </c>
      <c r="J164" s="216" t="str">
        <f t="array" ref="J164">IFERROR(IF(B164&lt;&gt;"",XLOOKUP(B164,FUNC!E:E,#REF!,"NO VIGENTE"),""),"")</f>
        <v/>
      </c>
      <c r="K164" s="216"/>
    </row>
    <row r="165" ht="18.0" customHeight="1">
      <c r="A165" s="212"/>
      <c r="B165" s="212"/>
      <c r="C165" s="212"/>
      <c r="D165" s="212"/>
      <c r="E165" s="212"/>
      <c r="F165" s="260"/>
      <c r="G165" s="248"/>
      <c r="H165" s="240">
        <f t="shared" si="5"/>
        <v>0</v>
      </c>
      <c r="I165" s="216" t="str">
        <f t="shared" si="6"/>
        <v/>
      </c>
      <c r="J165" s="216" t="str">
        <f t="array" ref="J165">IFERROR(IF(B165&lt;&gt;"",XLOOKUP(B165,FUNC!E:E,#REF!,"NO VIGENTE"),""),"")</f>
        <v/>
      </c>
      <c r="K165" s="216"/>
    </row>
    <row r="166" ht="18.0" customHeight="1">
      <c r="A166" s="212"/>
      <c r="B166" s="212"/>
      <c r="C166" s="212"/>
      <c r="D166" s="212"/>
      <c r="E166" s="212"/>
      <c r="F166" s="260"/>
      <c r="G166" s="248"/>
      <c r="H166" s="240">
        <f t="shared" si="5"/>
        <v>0</v>
      </c>
      <c r="I166" s="216" t="str">
        <f t="shared" si="6"/>
        <v/>
      </c>
      <c r="J166" s="216" t="str">
        <f t="array" ref="J166">IFERROR(IF(B166&lt;&gt;"",XLOOKUP(B166,FUNC!E:E,#REF!,"NO VIGENTE"),""),"")</f>
        <v/>
      </c>
      <c r="K166" s="216"/>
    </row>
    <row r="167" ht="18.0" customHeight="1">
      <c r="A167" s="212"/>
      <c r="B167" s="212"/>
      <c r="C167" s="212"/>
      <c r="D167" s="212"/>
      <c r="E167" s="212"/>
      <c r="F167" s="260"/>
      <c r="G167" s="248"/>
      <c r="H167" s="240">
        <f t="shared" si="5"/>
        <v>0</v>
      </c>
      <c r="I167" s="216" t="str">
        <f t="shared" si="6"/>
        <v/>
      </c>
      <c r="J167" s="216" t="str">
        <f t="array" ref="J167">IFERROR(IF(B167&lt;&gt;"",XLOOKUP(B167,FUNC!E:E,#REF!,"NO VIGENTE"),""),"")</f>
        <v/>
      </c>
      <c r="K167" s="216"/>
    </row>
    <row r="168" ht="18.0" customHeight="1">
      <c r="A168" s="212"/>
      <c r="B168" s="212"/>
      <c r="C168" s="212"/>
      <c r="D168" s="212"/>
      <c r="E168" s="212"/>
      <c r="F168" s="260"/>
      <c r="G168" s="248"/>
      <c r="H168" s="240">
        <f t="shared" si="5"/>
        <v>0</v>
      </c>
      <c r="I168" s="216" t="str">
        <f t="shared" si="6"/>
        <v/>
      </c>
      <c r="J168" s="216" t="str">
        <f t="array" ref="J168">IFERROR(IF(B168&lt;&gt;"",XLOOKUP(B168,FUNC!E:E,#REF!,"NO VIGENTE"),""),"")</f>
        <v/>
      </c>
      <c r="K168" s="216"/>
    </row>
    <row r="169" ht="18.0" customHeight="1">
      <c r="A169" s="212"/>
      <c r="B169" s="212"/>
      <c r="C169" s="212"/>
      <c r="D169" s="212"/>
      <c r="E169" s="212"/>
      <c r="F169" s="260"/>
      <c r="G169" s="248"/>
      <c r="H169" s="240">
        <f t="shared" si="5"/>
        <v>0</v>
      </c>
      <c r="I169" s="216" t="str">
        <f t="shared" si="6"/>
        <v/>
      </c>
      <c r="J169" s="216" t="str">
        <f t="array" ref="J169">IFERROR(IF(B169&lt;&gt;"",XLOOKUP(B169,FUNC!E:E,#REF!,"NO VIGENTE"),""),"")</f>
        <v/>
      </c>
      <c r="K169" s="216"/>
    </row>
    <row r="170" ht="18.0" customHeight="1">
      <c r="A170" s="212"/>
      <c r="B170" s="212"/>
      <c r="C170" s="212"/>
      <c r="D170" s="212"/>
      <c r="E170" s="212"/>
      <c r="F170" s="260"/>
      <c r="G170" s="248"/>
      <c r="H170" s="240">
        <f t="shared" si="5"/>
        <v>0</v>
      </c>
      <c r="I170" s="216" t="str">
        <f t="shared" si="6"/>
        <v/>
      </c>
      <c r="J170" s="216" t="str">
        <f t="array" ref="J170">IFERROR(IF(B170&lt;&gt;"",XLOOKUP(B170,FUNC!E:E,#REF!,"NO VIGENTE"),""),"")</f>
        <v/>
      </c>
      <c r="K170" s="216"/>
    </row>
    <row r="171" ht="18.0" customHeight="1">
      <c r="A171" s="212"/>
      <c r="B171" s="249"/>
      <c r="C171" s="212"/>
      <c r="D171" s="212"/>
      <c r="E171" s="212"/>
      <c r="F171" s="260"/>
      <c r="G171" s="248"/>
      <c r="H171" s="240">
        <f t="shared" si="5"/>
        <v>0</v>
      </c>
      <c r="I171" s="216" t="str">
        <f t="shared" si="6"/>
        <v/>
      </c>
      <c r="J171" s="216" t="str">
        <f t="array" ref="J171">IFERROR(IF(B171&lt;&gt;"",XLOOKUP(B171,FUNC!E:E,#REF!,"NO VIGENTE"),""),"")</f>
        <v/>
      </c>
      <c r="K171" s="216"/>
    </row>
    <row r="172" ht="18.0" customHeight="1">
      <c r="A172" s="212"/>
      <c r="B172" s="212"/>
      <c r="C172" s="212"/>
      <c r="D172" s="212"/>
      <c r="E172" s="212"/>
      <c r="F172" s="260"/>
      <c r="G172" s="248"/>
      <c r="H172" s="240">
        <f t="shared" si="5"/>
        <v>0</v>
      </c>
      <c r="I172" s="216" t="str">
        <f t="shared" si="6"/>
        <v/>
      </c>
      <c r="J172" s="216" t="str">
        <f t="array" ref="J172">IFERROR(IF(B172&lt;&gt;"",XLOOKUP(B172,FUNC!E:E,#REF!,"NO VIGENTE"),""),"")</f>
        <v/>
      </c>
      <c r="K172" s="216"/>
    </row>
    <row r="173" ht="18.0" customHeight="1">
      <c r="A173" s="212"/>
      <c r="B173" s="212"/>
      <c r="C173" s="212"/>
      <c r="D173" s="212"/>
      <c r="E173" s="212"/>
      <c r="F173" s="260"/>
      <c r="G173" s="248"/>
      <c r="H173" s="240">
        <f t="shared" si="5"/>
        <v>0</v>
      </c>
      <c r="I173" s="216" t="str">
        <f t="shared" si="6"/>
        <v/>
      </c>
      <c r="J173" s="216" t="str">
        <f t="array" ref="J173">IFERROR(IF(B173&lt;&gt;"",XLOOKUP(B173,FUNC!E:E,#REF!,"NO VIGENTE"),""),"")</f>
        <v/>
      </c>
      <c r="K173" s="216"/>
    </row>
    <row r="174" ht="18.0" customHeight="1">
      <c r="A174" s="212"/>
      <c r="B174" s="212"/>
      <c r="C174" s="212"/>
      <c r="D174" s="212"/>
      <c r="E174" s="212"/>
      <c r="F174" s="260"/>
      <c r="G174" s="248"/>
      <c r="H174" s="240">
        <f t="shared" si="5"/>
        <v>0</v>
      </c>
      <c r="I174" s="216" t="str">
        <f t="shared" si="6"/>
        <v/>
      </c>
      <c r="J174" s="216" t="str">
        <f t="array" ref="J174">IFERROR(IF(B174&lt;&gt;"",XLOOKUP(B174,FUNC!E:E,#REF!,"NO VIGENTE"),""),"")</f>
        <v/>
      </c>
      <c r="K174" s="216"/>
    </row>
    <row r="175" ht="18.0" customHeight="1">
      <c r="A175" s="212"/>
      <c r="B175" s="212"/>
      <c r="C175" s="212"/>
      <c r="D175" s="212"/>
      <c r="E175" s="212"/>
      <c r="F175" s="260"/>
      <c r="G175" s="248"/>
      <c r="H175" s="240">
        <f t="shared" si="5"/>
        <v>0</v>
      </c>
      <c r="I175" s="216" t="str">
        <f t="shared" si="6"/>
        <v/>
      </c>
      <c r="J175" s="216" t="str">
        <f t="array" ref="J175">IFERROR(IF(B175&lt;&gt;"",XLOOKUP(B175,FUNC!E:E,#REF!,"NO VIGENTE"),""),"")</f>
        <v/>
      </c>
      <c r="K175" s="216"/>
    </row>
    <row r="176" ht="18.0" customHeight="1">
      <c r="A176" s="212"/>
      <c r="B176" s="212"/>
      <c r="C176" s="212"/>
      <c r="D176" s="212"/>
      <c r="E176" s="212"/>
      <c r="F176" s="260"/>
      <c r="G176" s="248"/>
      <c r="H176" s="240">
        <f t="shared" si="5"/>
        <v>0</v>
      </c>
      <c r="I176" s="216" t="str">
        <f t="shared" si="6"/>
        <v/>
      </c>
      <c r="J176" s="216" t="str">
        <f t="array" ref="J176">IFERROR(IF(B176&lt;&gt;"",XLOOKUP(B176,FUNC!E:E,#REF!,"NO VIGENTE"),""),"")</f>
        <v/>
      </c>
      <c r="K176" s="216"/>
    </row>
    <row r="177" ht="18.0" customHeight="1">
      <c r="A177" s="212"/>
      <c r="B177" s="212"/>
      <c r="C177" s="212"/>
      <c r="D177" s="212"/>
      <c r="E177" s="212"/>
      <c r="F177" s="260"/>
      <c r="G177" s="248"/>
      <c r="H177" s="240">
        <f t="shared" si="5"/>
        <v>0</v>
      </c>
      <c r="I177" s="216" t="str">
        <f t="shared" si="6"/>
        <v/>
      </c>
      <c r="J177" s="216" t="str">
        <f t="array" ref="J177">IFERROR(IF(B177&lt;&gt;"",XLOOKUP(B177,FUNC!E:E,#REF!,"NO VIGENTE"),""),"")</f>
        <v/>
      </c>
      <c r="K177" s="216"/>
    </row>
    <row r="178" ht="18.0" customHeight="1">
      <c r="A178" s="212"/>
      <c r="B178" s="212"/>
      <c r="C178" s="212"/>
      <c r="D178" s="212"/>
      <c r="E178" s="212"/>
      <c r="F178" s="260"/>
      <c r="G178" s="248"/>
      <c r="H178" s="240">
        <f t="shared" si="5"/>
        <v>0</v>
      </c>
      <c r="I178" s="216" t="str">
        <f t="shared" si="6"/>
        <v/>
      </c>
      <c r="J178" s="216" t="str">
        <f t="array" ref="J178">IFERROR(IF(B178&lt;&gt;"",XLOOKUP(B178,FUNC!E:E,#REF!,"NO VIGENTE"),""),"")</f>
        <v/>
      </c>
      <c r="K178" s="216"/>
    </row>
    <row r="179" ht="18.0" customHeight="1">
      <c r="A179" s="212"/>
      <c r="B179" s="53"/>
      <c r="C179" s="212"/>
      <c r="D179" s="212"/>
      <c r="E179" s="212"/>
      <c r="F179" s="260"/>
      <c r="G179" s="248"/>
      <c r="H179" s="240">
        <f t="shared" si="5"/>
        <v>0</v>
      </c>
      <c r="I179" s="216" t="str">
        <f t="shared" si="6"/>
        <v/>
      </c>
      <c r="J179" s="216" t="str">
        <f t="array" ref="J179">IFERROR(IF(B179&lt;&gt;"",XLOOKUP(B179,FUNC!E:E,#REF!,"NO VIGENTE"),""),"")</f>
        <v/>
      </c>
      <c r="K179" s="216"/>
    </row>
    <row r="180" ht="18.0" customHeight="1">
      <c r="A180" s="212"/>
      <c r="B180" s="53"/>
      <c r="C180" s="212"/>
      <c r="D180" s="212"/>
      <c r="E180" s="212"/>
      <c r="F180" s="260"/>
      <c r="G180" s="248"/>
      <c r="H180" s="240">
        <f t="shared" si="5"/>
        <v>0</v>
      </c>
      <c r="I180" s="216" t="str">
        <f t="shared" si="6"/>
        <v/>
      </c>
      <c r="J180" s="216" t="str">
        <f t="array" ref="J180">IFERROR(IF(B180&lt;&gt;"",XLOOKUP(B180,FUNC!E:E,#REF!,"NO VIGENTE"),""),"")</f>
        <v/>
      </c>
      <c r="K180" s="216"/>
    </row>
    <row r="181" ht="18.0" customHeight="1">
      <c r="A181" s="212"/>
      <c r="B181" s="53"/>
      <c r="C181" s="212"/>
      <c r="D181" s="212"/>
      <c r="E181" s="212"/>
      <c r="F181" s="260"/>
      <c r="G181" s="248"/>
      <c r="H181" s="240">
        <f t="shared" si="5"/>
        <v>0</v>
      </c>
      <c r="I181" s="216" t="str">
        <f t="shared" si="6"/>
        <v/>
      </c>
      <c r="J181" s="216" t="str">
        <f t="array" ref="J181">IFERROR(IF(B181&lt;&gt;"",XLOOKUP(B181,FUNC!E:E,#REF!,"NO VIGENTE"),""),"")</f>
        <v/>
      </c>
      <c r="K181" s="216"/>
    </row>
    <row r="182" ht="18.0" customHeight="1">
      <c r="A182" s="212"/>
      <c r="B182" s="212"/>
      <c r="C182" s="212"/>
      <c r="D182" s="212"/>
      <c r="E182" s="212"/>
      <c r="F182" s="260"/>
      <c r="G182" s="248"/>
      <c r="H182" s="240">
        <f t="shared" si="5"/>
        <v>0</v>
      </c>
      <c r="I182" s="216" t="str">
        <f t="shared" si="6"/>
        <v/>
      </c>
      <c r="J182" s="216" t="str">
        <f t="array" ref="J182">IFERROR(IF(B182&lt;&gt;"",XLOOKUP(B182,FUNC!E:E,#REF!,"NO VIGENTE"),""),"")</f>
        <v/>
      </c>
      <c r="K182" s="216"/>
    </row>
    <row r="183" ht="18.0" customHeight="1">
      <c r="A183" s="212"/>
      <c r="B183" s="212"/>
      <c r="C183" s="212"/>
      <c r="D183" s="212"/>
      <c r="E183" s="212"/>
      <c r="F183" s="260"/>
      <c r="G183" s="248"/>
      <c r="H183" s="240">
        <f t="shared" si="5"/>
        <v>0</v>
      </c>
      <c r="I183" s="216" t="str">
        <f t="shared" si="6"/>
        <v/>
      </c>
      <c r="J183" s="216" t="str">
        <f t="array" ref="J183">IFERROR(IF(B183&lt;&gt;"",XLOOKUP(B183,FUNC!E:E,#REF!,"NO VIGENTE"),""),"")</f>
        <v/>
      </c>
      <c r="K183" s="216"/>
    </row>
    <row r="184" ht="18.0" customHeight="1">
      <c r="A184" s="212"/>
      <c r="B184" s="212"/>
      <c r="C184" s="212"/>
      <c r="D184" s="212"/>
      <c r="E184" s="212"/>
      <c r="F184" s="260"/>
      <c r="G184" s="248"/>
      <c r="H184" s="240">
        <f t="shared" si="5"/>
        <v>0</v>
      </c>
      <c r="I184" s="216" t="str">
        <f t="shared" si="6"/>
        <v/>
      </c>
      <c r="J184" s="216" t="str">
        <f t="array" ref="J184">IFERROR(IF(B184&lt;&gt;"",XLOOKUP(B184,FUNC!E:E,#REF!,"NO VIGENTE"),""),"")</f>
        <v/>
      </c>
      <c r="K184" s="216"/>
    </row>
    <row r="185" ht="18.0" customHeight="1">
      <c r="A185" s="212"/>
      <c r="B185" s="212"/>
      <c r="C185" s="212"/>
      <c r="D185" s="212"/>
      <c r="E185" s="212"/>
      <c r="F185" s="260"/>
      <c r="G185" s="248"/>
      <c r="H185" s="240">
        <f t="shared" si="5"/>
        <v>0</v>
      </c>
      <c r="I185" s="216" t="str">
        <f t="shared" si="6"/>
        <v/>
      </c>
      <c r="J185" s="216" t="str">
        <f t="array" ref="J185">IFERROR(IF(B185&lt;&gt;"",XLOOKUP(B185,FUNC!E:E,#REF!,"NO VIGENTE"),""),"")</f>
        <v/>
      </c>
      <c r="K185" s="216"/>
    </row>
    <row r="186" ht="18.0" customHeight="1">
      <c r="A186" s="212"/>
      <c r="B186" s="212"/>
      <c r="C186" s="212"/>
      <c r="D186" s="212"/>
      <c r="E186" s="212"/>
      <c r="F186" s="260"/>
      <c r="G186" s="248"/>
      <c r="H186" s="240">
        <f t="shared" si="5"/>
        <v>0</v>
      </c>
      <c r="I186" s="216" t="str">
        <f t="shared" si="6"/>
        <v/>
      </c>
      <c r="J186" s="216" t="str">
        <f t="array" ref="J186">IFERROR(IF(B186&lt;&gt;"",XLOOKUP(B186,FUNC!E:E,#REF!,"NO VIGENTE"),""),"")</f>
        <v/>
      </c>
      <c r="K186" s="216"/>
    </row>
    <row r="187" ht="18.0" customHeight="1">
      <c r="A187" s="212"/>
      <c r="B187" s="212"/>
      <c r="C187" s="212"/>
      <c r="D187" s="212"/>
      <c r="E187" s="212"/>
      <c r="F187" s="260"/>
      <c r="G187" s="248"/>
      <c r="H187" s="240">
        <f t="shared" si="5"/>
        <v>0</v>
      </c>
      <c r="I187" s="216" t="str">
        <f t="shared" si="6"/>
        <v/>
      </c>
      <c r="J187" s="216" t="str">
        <f t="array" ref="J187">IFERROR(IF(B187&lt;&gt;"",XLOOKUP(B187,FUNC!E:E,#REF!,"NO VIGENTE"),""),"")</f>
        <v/>
      </c>
      <c r="K187" s="216"/>
    </row>
    <row r="188" ht="18.0" customHeight="1">
      <c r="A188" s="212"/>
      <c r="B188" s="212"/>
      <c r="C188" s="212"/>
      <c r="D188" s="212"/>
      <c r="E188" s="212"/>
      <c r="F188" s="260"/>
      <c r="G188" s="248"/>
      <c r="H188" s="240">
        <f t="shared" si="5"/>
        <v>0</v>
      </c>
      <c r="I188" s="216" t="str">
        <f t="shared" si="6"/>
        <v/>
      </c>
      <c r="J188" s="216" t="str">
        <f t="array" ref="J188">IFERROR(IF(B188&lt;&gt;"",XLOOKUP(B188,FUNC!E:E,#REF!,"NO VIGENTE"),""),"")</f>
        <v/>
      </c>
      <c r="K188" s="216"/>
    </row>
    <row r="189" ht="18.0" customHeight="1">
      <c r="A189" s="212"/>
      <c r="B189" s="212"/>
      <c r="C189" s="212"/>
      <c r="D189" s="212"/>
      <c r="E189" s="212"/>
      <c r="F189" s="260"/>
      <c r="G189" s="248"/>
      <c r="H189" s="240">
        <f t="shared" si="5"/>
        <v>0</v>
      </c>
      <c r="I189" s="216" t="str">
        <f t="shared" si="6"/>
        <v/>
      </c>
      <c r="J189" s="216" t="str">
        <f t="array" ref="J189">IFERROR(IF(B189&lt;&gt;"",XLOOKUP(B189,FUNC!E:E,#REF!,"NO VIGENTE"),""),"")</f>
        <v/>
      </c>
      <c r="K189" s="216"/>
    </row>
    <row r="190" ht="18.0" customHeight="1">
      <c r="A190" s="212"/>
      <c r="B190" s="212"/>
      <c r="C190" s="212"/>
      <c r="D190" s="212"/>
      <c r="E190" s="212"/>
      <c r="F190" s="260"/>
      <c r="G190" s="248"/>
      <c r="H190" s="240">
        <f t="shared" si="5"/>
        <v>0</v>
      </c>
      <c r="I190" s="216" t="str">
        <f t="shared" si="6"/>
        <v/>
      </c>
      <c r="J190" s="216" t="str">
        <f t="array" ref="J190">IFERROR(IF(B190&lt;&gt;"",XLOOKUP(B190,FUNC!E:E,#REF!,"NO VIGENTE"),""),"")</f>
        <v/>
      </c>
      <c r="K190" s="216"/>
    </row>
    <row r="191" ht="18.0" customHeight="1">
      <c r="A191" s="212"/>
      <c r="B191" s="212"/>
      <c r="C191" s="212"/>
      <c r="D191" s="212"/>
      <c r="E191" s="212"/>
      <c r="F191" s="260"/>
      <c r="G191" s="248"/>
      <c r="H191" s="240">
        <f t="shared" si="5"/>
        <v>0</v>
      </c>
      <c r="I191" s="216" t="str">
        <f t="shared" si="6"/>
        <v/>
      </c>
      <c r="J191" s="216" t="str">
        <f t="array" ref="J191">IFERROR(IF(B191&lt;&gt;"",XLOOKUP(B191,FUNC!E:E,#REF!,"NO VIGENTE"),""),"")</f>
        <v/>
      </c>
      <c r="K191" s="216"/>
    </row>
    <row r="192" ht="18.0" customHeight="1">
      <c r="A192" s="212"/>
      <c r="B192" s="212"/>
      <c r="C192" s="212"/>
      <c r="D192" s="212"/>
      <c r="E192" s="212"/>
      <c r="F192" s="260"/>
      <c r="G192" s="248"/>
      <c r="H192" s="240">
        <f t="shared" si="5"/>
        <v>0</v>
      </c>
      <c r="I192" s="216" t="str">
        <f t="shared" si="6"/>
        <v/>
      </c>
      <c r="J192" s="216" t="str">
        <f t="array" ref="J192">IFERROR(IF(B192&lt;&gt;"",XLOOKUP(B192,FUNC!E:E,#REF!,"NO VIGENTE"),""),"")</f>
        <v/>
      </c>
      <c r="K192" s="216"/>
    </row>
    <row r="193" ht="18.0" customHeight="1">
      <c r="A193" s="212"/>
      <c r="B193" s="212"/>
      <c r="C193" s="212"/>
      <c r="D193" s="212"/>
      <c r="E193" s="212"/>
      <c r="F193" s="260"/>
      <c r="G193" s="248"/>
      <c r="H193" s="240">
        <f t="shared" si="5"/>
        <v>0</v>
      </c>
      <c r="I193" s="216" t="str">
        <f t="shared" si="6"/>
        <v/>
      </c>
      <c r="J193" s="216" t="str">
        <f t="array" ref="J193">IFERROR(IF(B193&lt;&gt;"",XLOOKUP(B193,FUNC!E:E,#REF!,"NO VIGENTE"),""),"")</f>
        <v/>
      </c>
      <c r="K193" s="216"/>
    </row>
    <row r="194" ht="18.0" customHeight="1">
      <c r="A194" s="212"/>
      <c r="B194" s="212"/>
      <c r="C194" s="212"/>
      <c r="D194" s="212"/>
      <c r="E194" s="212"/>
      <c r="F194" s="260"/>
      <c r="G194" s="248"/>
      <c r="H194" s="240">
        <f t="shared" si="5"/>
        <v>0</v>
      </c>
      <c r="I194" s="216" t="str">
        <f t="shared" si="6"/>
        <v/>
      </c>
      <c r="J194" s="216" t="str">
        <f t="array" ref="J194">IFERROR(IF(B194&lt;&gt;"",XLOOKUP(B194,FUNC!E:E,#REF!,"NO VIGENTE"),""),"")</f>
        <v/>
      </c>
      <c r="K194" s="216"/>
    </row>
    <row r="195" ht="18.0" customHeight="1">
      <c r="A195" s="212"/>
      <c r="B195" s="212"/>
      <c r="C195" s="212"/>
      <c r="D195" s="212"/>
      <c r="E195" s="212"/>
      <c r="F195" s="260"/>
      <c r="G195" s="248"/>
      <c r="H195" s="240">
        <f t="shared" si="5"/>
        <v>0</v>
      </c>
      <c r="I195" s="216" t="str">
        <f t="shared" si="6"/>
        <v/>
      </c>
      <c r="J195" s="216" t="str">
        <f t="array" ref="J195">IFERROR(IF(B195&lt;&gt;"",XLOOKUP(B195,FUNC!E:E,#REF!,"NO VIGENTE"),""),"")</f>
        <v/>
      </c>
      <c r="K195" s="216"/>
    </row>
    <row r="196" ht="18.0" customHeight="1">
      <c r="A196" s="212"/>
      <c r="B196" s="212"/>
      <c r="C196" s="212"/>
      <c r="D196" s="212"/>
      <c r="E196" s="212"/>
      <c r="F196" s="260"/>
      <c r="G196" s="248"/>
      <c r="H196" s="240">
        <f t="shared" si="5"/>
        <v>0</v>
      </c>
      <c r="I196" s="216" t="str">
        <f t="shared" si="6"/>
        <v/>
      </c>
      <c r="J196" s="216" t="str">
        <f t="array" ref="J196">IFERROR(IF(B196&lt;&gt;"",XLOOKUP(B196,FUNC!E:E,#REF!,"NO VIGENTE"),""),"")</f>
        <v/>
      </c>
      <c r="K196" s="216"/>
    </row>
    <row r="197" ht="18.0" customHeight="1">
      <c r="A197" s="212"/>
      <c r="B197" s="212"/>
      <c r="C197" s="212"/>
      <c r="D197" s="212"/>
      <c r="E197" s="212"/>
      <c r="F197" s="260"/>
      <c r="G197" s="248"/>
      <c r="H197" s="240">
        <f t="shared" si="5"/>
        <v>0</v>
      </c>
      <c r="I197" s="216" t="str">
        <f t="shared" si="6"/>
        <v/>
      </c>
      <c r="J197" s="216" t="str">
        <f t="array" ref="J197">IFERROR(IF(B197&lt;&gt;"",XLOOKUP(B197,FUNC!E:E,#REF!,"NO VIGENTE"),""),"")</f>
        <v/>
      </c>
      <c r="K197" s="216"/>
    </row>
    <row r="198" ht="18.0" customHeight="1">
      <c r="A198" s="212"/>
      <c r="B198" s="212"/>
      <c r="C198" s="212"/>
      <c r="D198" s="212"/>
      <c r="E198" s="212"/>
      <c r="F198" s="260"/>
      <c r="G198" s="248"/>
      <c r="H198" s="240">
        <f t="shared" si="5"/>
        <v>0</v>
      </c>
      <c r="I198" s="216" t="str">
        <f t="shared" si="6"/>
        <v/>
      </c>
      <c r="J198" s="216" t="str">
        <f t="array" ref="J198">IFERROR(IF(B198&lt;&gt;"",XLOOKUP(B198,FUNC!E:E,#REF!,"NO VIGENTE"),""),"")</f>
        <v/>
      </c>
      <c r="K198" s="216"/>
    </row>
    <row r="199" ht="18.0" customHeight="1">
      <c r="A199" s="212"/>
      <c r="B199" s="212"/>
      <c r="C199" s="212"/>
      <c r="D199" s="212"/>
      <c r="E199" s="212"/>
      <c r="F199" s="260"/>
      <c r="G199" s="248"/>
      <c r="H199" s="240">
        <f t="shared" si="5"/>
        <v>0</v>
      </c>
      <c r="I199" s="216" t="str">
        <f t="shared" si="6"/>
        <v/>
      </c>
      <c r="J199" s="216" t="str">
        <f t="array" ref="J199">IFERROR(IF(B199&lt;&gt;"",XLOOKUP(B199,FUNC!E:E,#REF!,"NO VIGENTE"),""),"")</f>
        <v/>
      </c>
      <c r="K199" s="216"/>
    </row>
    <row r="200" ht="18.0" customHeight="1">
      <c r="A200" s="212"/>
      <c r="B200" s="249"/>
      <c r="C200" s="212"/>
      <c r="D200" s="212"/>
      <c r="E200" s="212"/>
      <c r="F200" s="260"/>
      <c r="G200" s="248"/>
      <c r="H200" s="240">
        <f t="shared" si="5"/>
        <v>0</v>
      </c>
      <c r="I200" s="216" t="str">
        <f t="shared" si="6"/>
        <v/>
      </c>
      <c r="J200" s="216" t="str">
        <f t="array" ref="J200">IFERROR(IF(B200&lt;&gt;"",XLOOKUP(B200,FUNC!E:E,#REF!,"NO VIGENTE"),""),"")</f>
        <v/>
      </c>
      <c r="K200" s="216"/>
    </row>
    <row r="201" ht="18.0" customHeight="1">
      <c r="A201" s="212"/>
      <c r="B201" s="212"/>
      <c r="C201" s="212"/>
      <c r="D201" s="212"/>
      <c r="E201" s="212"/>
      <c r="F201" s="260"/>
      <c r="G201" s="248"/>
      <c r="H201" s="240">
        <f t="shared" si="5"/>
        <v>0</v>
      </c>
      <c r="I201" s="216" t="str">
        <f t="shared" si="6"/>
        <v/>
      </c>
      <c r="J201" s="216" t="str">
        <f t="array" ref="J201">IFERROR(IF(B201&lt;&gt;"",XLOOKUP(B201,FUNC!E:E,#REF!,"NO VIGENTE"),""),"")</f>
        <v/>
      </c>
      <c r="K201" s="216"/>
    </row>
    <row r="202" ht="18.0" customHeight="1">
      <c r="A202" s="212"/>
      <c r="B202" s="212"/>
      <c r="C202" s="212"/>
      <c r="D202" s="212"/>
      <c r="E202" s="212"/>
      <c r="F202" s="260"/>
      <c r="G202" s="248"/>
      <c r="H202" s="240">
        <f t="shared" si="5"/>
        <v>0</v>
      </c>
      <c r="I202" s="216" t="str">
        <f t="shared" si="6"/>
        <v/>
      </c>
      <c r="J202" s="216" t="str">
        <f t="array" ref="J202">IFERROR(IF(B202&lt;&gt;"",XLOOKUP(B202,FUNC!E:E,#REF!,"NO VIGENTE"),""),"")</f>
        <v/>
      </c>
      <c r="K202" s="216"/>
    </row>
    <row r="203" ht="18.0" customHeight="1">
      <c r="A203" s="212"/>
      <c r="B203" s="212"/>
      <c r="C203" s="212"/>
      <c r="D203" s="212"/>
      <c r="E203" s="212"/>
      <c r="F203" s="260"/>
      <c r="G203" s="248"/>
      <c r="H203" s="240">
        <f t="shared" si="5"/>
        <v>0</v>
      </c>
      <c r="I203" s="216" t="str">
        <f t="shared" si="6"/>
        <v/>
      </c>
      <c r="J203" s="216" t="str">
        <f t="array" ref="J203">IFERROR(IF(B203&lt;&gt;"",XLOOKUP(B203,FUNC!E:E,#REF!,"NO VIGENTE"),""),"")</f>
        <v/>
      </c>
      <c r="K203" s="216"/>
    </row>
    <row r="204" ht="18.0" customHeight="1">
      <c r="A204" s="212"/>
      <c r="B204" s="212"/>
      <c r="C204" s="212"/>
      <c r="D204" s="212"/>
      <c r="E204" s="212"/>
      <c r="F204" s="260"/>
      <c r="G204" s="248"/>
      <c r="H204" s="240">
        <f t="shared" si="5"/>
        <v>0</v>
      </c>
      <c r="I204" s="216" t="str">
        <f t="shared" si="6"/>
        <v/>
      </c>
      <c r="J204" s="216" t="str">
        <f t="array" ref="J204">IFERROR(IF(B204&lt;&gt;"",XLOOKUP(B204,FUNC!E:E,#REF!,"NO VIGENTE"),""),"")</f>
        <v/>
      </c>
      <c r="K204" s="216"/>
    </row>
    <row r="205" ht="18.0" customHeight="1">
      <c r="A205" s="212"/>
      <c r="B205" s="212"/>
      <c r="C205" s="212"/>
      <c r="D205" s="212"/>
      <c r="E205" s="212"/>
      <c r="F205" s="260"/>
      <c r="G205" s="248"/>
      <c r="H205" s="240">
        <f t="shared" si="5"/>
        <v>0</v>
      </c>
      <c r="I205" s="216" t="str">
        <f t="shared" si="6"/>
        <v/>
      </c>
      <c r="J205" s="216" t="str">
        <f t="array" ref="J205">IFERROR(IF(B205&lt;&gt;"",XLOOKUP(B205,FUNC!E:E,#REF!,"NO VIGENTE"),""),"")</f>
        <v/>
      </c>
      <c r="K205" s="216"/>
    </row>
    <row r="206" ht="18.0" customHeight="1">
      <c r="A206" s="212"/>
      <c r="B206" s="212"/>
      <c r="C206" s="212"/>
      <c r="D206" s="212"/>
      <c r="E206" s="212"/>
      <c r="F206" s="260"/>
      <c r="G206" s="248"/>
      <c r="H206" s="240">
        <f t="shared" si="5"/>
        <v>0</v>
      </c>
      <c r="I206" s="216" t="str">
        <f t="shared" si="6"/>
        <v/>
      </c>
      <c r="J206" s="216" t="str">
        <f t="array" ref="J206">IFERROR(IF(B206&lt;&gt;"",XLOOKUP(B206,FUNC!E:E,#REF!,"NO VIGENTE"),""),"")</f>
        <v/>
      </c>
      <c r="K206" s="216"/>
    </row>
    <row r="207" ht="18.0" customHeight="1">
      <c r="A207" s="212"/>
      <c r="B207" s="212"/>
      <c r="C207" s="212"/>
      <c r="D207" s="212"/>
      <c r="E207" s="212"/>
      <c r="F207" s="260"/>
      <c r="G207" s="248"/>
      <c r="H207" s="240">
        <f t="shared" si="5"/>
        <v>0</v>
      </c>
      <c r="I207" s="216" t="str">
        <f t="shared" si="6"/>
        <v/>
      </c>
      <c r="J207" s="216" t="str">
        <f t="array" ref="J207">IFERROR(IF(B207&lt;&gt;"",XLOOKUP(B207,FUNC!E:E,#REF!,"NO VIGENTE"),""),"")</f>
        <v/>
      </c>
      <c r="K207" s="216"/>
    </row>
    <row r="208" ht="18.0" customHeight="1">
      <c r="A208" s="212"/>
      <c r="B208" s="212"/>
      <c r="C208" s="212"/>
      <c r="D208" s="212"/>
      <c r="E208" s="212"/>
      <c r="F208" s="260"/>
      <c r="G208" s="248"/>
      <c r="H208" s="240">
        <f t="shared" si="5"/>
        <v>0</v>
      </c>
      <c r="I208" s="216" t="str">
        <f t="shared" si="6"/>
        <v/>
      </c>
      <c r="J208" s="216" t="str">
        <f t="array" ref="J208">IFERROR(IF(B208&lt;&gt;"",XLOOKUP(B208,FUNC!E:E,#REF!,"NO VIGENTE"),""),"")</f>
        <v/>
      </c>
      <c r="K208" s="216"/>
    </row>
    <row r="209" ht="18.0" customHeight="1">
      <c r="A209" s="212"/>
      <c r="B209" s="212"/>
      <c r="C209" s="212"/>
      <c r="D209" s="212"/>
      <c r="E209" s="212"/>
      <c r="F209" s="260"/>
      <c r="G209" s="248"/>
      <c r="H209" s="240">
        <f t="shared" si="5"/>
        <v>0</v>
      </c>
      <c r="I209" s="216" t="str">
        <f t="shared" si="6"/>
        <v/>
      </c>
      <c r="J209" s="216" t="str">
        <f t="array" ref="J209">IFERROR(IF(B209&lt;&gt;"",XLOOKUP(B209,FUNC!E:E,#REF!,"NO VIGENTE"),""),"")</f>
        <v/>
      </c>
      <c r="K209" s="216"/>
    </row>
    <row r="210" ht="18.0" customHeight="1">
      <c r="A210" s="212"/>
      <c r="B210" s="212"/>
      <c r="C210" s="212"/>
      <c r="D210" s="212"/>
      <c r="E210" s="212"/>
      <c r="F210" s="260"/>
      <c r="G210" s="248"/>
      <c r="H210" s="240">
        <f t="shared" si="5"/>
        <v>0</v>
      </c>
      <c r="I210" s="216" t="str">
        <f t="shared" si="6"/>
        <v/>
      </c>
      <c r="J210" s="216" t="str">
        <f t="array" ref="J210">IFERROR(IF(B210&lt;&gt;"",XLOOKUP(B210,FUNC!E:E,#REF!,"NO VIGENTE"),""),"")</f>
        <v/>
      </c>
      <c r="K210" s="216"/>
    </row>
    <row r="211" ht="18.0" customHeight="1">
      <c r="A211" s="212"/>
      <c r="B211" s="212"/>
      <c r="C211" s="212"/>
      <c r="D211" s="212"/>
      <c r="E211" s="212"/>
      <c r="F211" s="260"/>
      <c r="G211" s="248"/>
      <c r="H211" s="240">
        <f t="shared" si="5"/>
        <v>0</v>
      </c>
      <c r="I211" s="216" t="str">
        <f t="shared" si="6"/>
        <v/>
      </c>
      <c r="J211" s="216" t="str">
        <f t="array" ref="J211">IFERROR(IF(B211&lt;&gt;"",XLOOKUP(B211,FUNC!E:E,#REF!,"NO VIGENTE"),""),"")</f>
        <v/>
      </c>
      <c r="K211" s="216"/>
    </row>
    <row r="212" ht="18.0" customHeight="1">
      <c r="A212" s="212"/>
      <c r="B212" s="212"/>
      <c r="C212" s="212"/>
      <c r="D212" s="212"/>
      <c r="E212" s="212"/>
      <c r="F212" s="260"/>
      <c r="G212" s="248"/>
      <c r="H212" s="240">
        <f t="shared" si="5"/>
        <v>0</v>
      </c>
      <c r="I212" s="216" t="str">
        <f t="shared" si="6"/>
        <v/>
      </c>
      <c r="J212" s="216" t="str">
        <f t="array" ref="J212">IFERROR(IF(B212&lt;&gt;"",XLOOKUP(B212,FUNC!E:E,#REF!,"NO VIGENTE"),""),"")</f>
        <v/>
      </c>
      <c r="K212" s="216"/>
    </row>
    <row r="213" ht="18.0" customHeight="1">
      <c r="A213" s="212"/>
      <c r="B213" s="212"/>
      <c r="C213" s="212"/>
      <c r="D213" s="212"/>
      <c r="E213" s="212"/>
      <c r="F213" s="260"/>
      <c r="G213" s="248"/>
      <c r="H213" s="240">
        <f t="shared" si="5"/>
        <v>0</v>
      </c>
      <c r="I213" s="216" t="str">
        <f t="shared" si="6"/>
        <v/>
      </c>
      <c r="J213" s="216" t="str">
        <f t="array" ref="J213">IFERROR(IF(B213&lt;&gt;"",XLOOKUP(B213,FUNC!E:E,#REF!,"NO VIGENTE"),""),"")</f>
        <v/>
      </c>
      <c r="K213" s="216"/>
    </row>
    <row r="214" ht="18.0" customHeight="1">
      <c r="A214" s="212"/>
      <c r="B214" s="212"/>
      <c r="C214" s="212"/>
      <c r="D214" s="212"/>
      <c r="E214" s="212"/>
      <c r="F214" s="260"/>
      <c r="G214" s="248"/>
      <c r="H214" s="240">
        <f t="shared" si="5"/>
        <v>0</v>
      </c>
      <c r="I214" s="216" t="str">
        <f t="shared" si="6"/>
        <v/>
      </c>
      <c r="J214" s="216" t="str">
        <f t="array" ref="J214">IFERROR(IF(B214&lt;&gt;"",XLOOKUP(B214,FUNC!E:E,#REF!,"NO VIGENTE"),""),"")</f>
        <v/>
      </c>
      <c r="K214" s="216"/>
    </row>
    <row r="215" ht="18.0" customHeight="1">
      <c r="A215" s="212"/>
      <c r="B215" s="249"/>
      <c r="C215" s="212"/>
      <c r="D215" s="212"/>
      <c r="E215" s="212"/>
      <c r="F215" s="260"/>
      <c r="G215" s="248"/>
      <c r="H215" s="240">
        <f t="shared" si="5"/>
        <v>0</v>
      </c>
      <c r="I215" s="216" t="str">
        <f t="shared" si="6"/>
        <v/>
      </c>
      <c r="J215" s="216" t="str">
        <f t="array" ref="J215">IFERROR(IF(B215&lt;&gt;"",XLOOKUP(B215,FUNC!E:E,#REF!,"NO VIGENTE"),""),"")</f>
        <v/>
      </c>
      <c r="K215" s="216"/>
    </row>
    <row r="216" ht="18.0" customHeight="1">
      <c r="A216" s="212"/>
      <c r="B216" s="212"/>
      <c r="C216" s="212"/>
      <c r="D216" s="212"/>
      <c r="E216" s="212"/>
      <c r="F216" s="260"/>
      <c r="G216" s="248"/>
      <c r="H216" s="240">
        <f t="shared" si="5"/>
        <v>0</v>
      </c>
      <c r="I216" s="216" t="str">
        <f t="shared" si="6"/>
        <v/>
      </c>
      <c r="J216" s="216" t="str">
        <f t="array" ref="J216">IFERROR(IF(B216&lt;&gt;"",XLOOKUP(B216,FUNC!E:E,#REF!,"NO VIGENTE"),""),"")</f>
        <v/>
      </c>
      <c r="K216" s="216"/>
    </row>
    <row r="217" ht="18.0" customHeight="1">
      <c r="A217" s="212"/>
      <c r="B217" s="212"/>
      <c r="C217" s="212"/>
      <c r="D217" s="212"/>
      <c r="E217" s="212"/>
      <c r="F217" s="260"/>
      <c r="G217" s="248"/>
      <c r="H217" s="240">
        <f t="shared" si="5"/>
        <v>0</v>
      </c>
      <c r="I217" s="216" t="str">
        <f t="shared" si="6"/>
        <v/>
      </c>
      <c r="J217" s="216" t="str">
        <f t="array" ref="J217">IFERROR(IF(B217&lt;&gt;"",XLOOKUP(B217,FUNC!E:E,#REF!,"NO VIGENTE"),""),"")</f>
        <v/>
      </c>
      <c r="K217" s="216"/>
    </row>
    <row r="218" ht="18.0" customHeight="1">
      <c r="A218" s="212"/>
      <c r="B218" s="212"/>
      <c r="C218" s="212"/>
      <c r="D218" s="212"/>
      <c r="E218" s="212"/>
      <c r="F218" s="260"/>
      <c r="G218" s="248"/>
      <c r="H218" s="240">
        <f t="shared" si="5"/>
        <v>0</v>
      </c>
      <c r="I218" s="216" t="str">
        <f t="shared" si="6"/>
        <v/>
      </c>
      <c r="J218" s="216" t="str">
        <f t="array" ref="J218">IFERROR(IF(B218&lt;&gt;"",XLOOKUP(B218,FUNC!E:E,#REF!,"NO VIGENTE"),""),"")</f>
        <v/>
      </c>
      <c r="K218" s="216"/>
    </row>
    <row r="219" ht="18.0" customHeight="1">
      <c r="A219" s="212"/>
      <c r="B219" s="212"/>
      <c r="C219" s="212"/>
      <c r="D219" s="212"/>
      <c r="E219" s="212"/>
      <c r="F219" s="260"/>
      <c r="G219" s="248"/>
      <c r="H219" s="240">
        <f t="shared" si="5"/>
        <v>0</v>
      </c>
      <c r="I219" s="216" t="str">
        <f t="shared" si="6"/>
        <v/>
      </c>
      <c r="J219" s="216" t="str">
        <f t="array" ref="J219">IFERROR(IF(B219&lt;&gt;"",XLOOKUP(B219,FUNC!E:E,#REF!,"NO VIGENTE"),""),"")</f>
        <v/>
      </c>
      <c r="K219" s="216"/>
    </row>
    <row r="220" ht="18.0" customHeight="1">
      <c r="A220" s="212"/>
      <c r="B220" s="212"/>
      <c r="C220" s="212"/>
      <c r="D220" s="212"/>
      <c r="E220" s="212"/>
      <c r="F220" s="260"/>
      <c r="G220" s="248"/>
      <c r="H220" s="240">
        <f t="shared" si="5"/>
        <v>0</v>
      </c>
      <c r="I220" s="216" t="str">
        <f t="shared" si="6"/>
        <v/>
      </c>
      <c r="J220" s="216" t="str">
        <f t="array" ref="J220">IFERROR(IF(B220&lt;&gt;"",XLOOKUP(B220,FUNC!E:E,#REF!,"NO VIGENTE"),""),"")</f>
        <v/>
      </c>
      <c r="K220" s="216"/>
    </row>
    <row r="221" ht="18.0" customHeight="1">
      <c r="A221" s="212"/>
      <c r="B221" s="212"/>
      <c r="C221" s="212"/>
      <c r="D221" s="212"/>
      <c r="E221" s="212"/>
      <c r="F221" s="260"/>
      <c r="G221" s="248"/>
      <c r="H221" s="240">
        <f t="shared" si="5"/>
        <v>0</v>
      </c>
      <c r="I221" s="216" t="str">
        <f t="shared" si="6"/>
        <v/>
      </c>
      <c r="J221" s="216" t="str">
        <f t="array" ref="J221">IFERROR(IF(B221&lt;&gt;"",XLOOKUP(B221,FUNC!E:E,#REF!,"NO VIGENTE"),""),"")</f>
        <v/>
      </c>
      <c r="K221" s="216"/>
    </row>
    <row r="222" ht="18.0" customHeight="1">
      <c r="A222" s="212"/>
      <c r="B222" s="212"/>
      <c r="C222" s="212"/>
      <c r="D222" s="212"/>
      <c r="E222" s="212"/>
      <c r="F222" s="260"/>
      <c r="G222" s="248"/>
      <c r="H222" s="240">
        <f t="shared" si="5"/>
        <v>0</v>
      </c>
      <c r="I222" s="216" t="str">
        <f t="shared" si="6"/>
        <v/>
      </c>
      <c r="J222" s="216" t="str">
        <f t="array" ref="J222">IFERROR(IF(B222&lt;&gt;"",XLOOKUP(B222,FUNC!E:E,#REF!,"NO VIGENTE"),""),"")</f>
        <v/>
      </c>
      <c r="K222" s="216"/>
    </row>
    <row r="223" ht="18.0" customHeight="1">
      <c r="A223" s="212"/>
      <c r="B223" s="212"/>
      <c r="C223" s="212"/>
      <c r="D223" s="212"/>
      <c r="E223" s="212"/>
      <c r="F223" s="260"/>
      <c r="G223" s="248"/>
      <c r="H223" s="240">
        <f t="shared" si="5"/>
        <v>0</v>
      </c>
      <c r="I223" s="216" t="str">
        <f t="shared" si="6"/>
        <v/>
      </c>
      <c r="J223" s="216" t="str">
        <f t="array" ref="J223">IFERROR(IF(B223&lt;&gt;"",XLOOKUP(B223,FUNC!E:E,#REF!,"NO VIGENTE"),""),"")</f>
        <v/>
      </c>
      <c r="K223" s="216"/>
    </row>
    <row r="224" ht="18.0" customHeight="1">
      <c r="A224" s="212"/>
      <c r="B224" s="212"/>
      <c r="C224" s="212"/>
      <c r="D224" s="212"/>
      <c r="E224" s="212"/>
      <c r="F224" s="260"/>
      <c r="G224" s="248"/>
      <c r="H224" s="240">
        <f t="shared" si="5"/>
        <v>0</v>
      </c>
      <c r="I224" s="216" t="str">
        <f t="shared" si="6"/>
        <v/>
      </c>
      <c r="J224" s="216" t="str">
        <f t="array" ref="J224">IFERROR(IF(B224&lt;&gt;"",XLOOKUP(B224,FUNC!E:E,#REF!,"NO VIGENTE"),""),"")</f>
        <v/>
      </c>
      <c r="K224" s="216"/>
    </row>
    <row r="225" ht="18.0" customHeight="1">
      <c r="A225" s="212"/>
      <c r="B225" s="212"/>
      <c r="C225" s="212"/>
      <c r="D225" s="212"/>
      <c r="E225" s="212"/>
      <c r="F225" s="260"/>
      <c r="G225" s="248"/>
      <c r="H225" s="240">
        <f t="shared" si="5"/>
        <v>0</v>
      </c>
      <c r="I225" s="216" t="str">
        <f t="shared" si="6"/>
        <v/>
      </c>
      <c r="J225" s="216" t="str">
        <f t="array" ref="J225">IFERROR(IF(B225&lt;&gt;"",XLOOKUP(B225,FUNC!E:E,#REF!,"NO VIGENTE"),""),"")</f>
        <v/>
      </c>
      <c r="K225" s="216"/>
    </row>
    <row r="226" ht="18.0" customHeight="1">
      <c r="A226" s="212"/>
      <c r="B226" s="212"/>
      <c r="C226" s="212"/>
      <c r="D226" s="212"/>
      <c r="E226" s="212"/>
      <c r="F226" s="260"/>
      <c r="G226" s="248"/>
      <c r="H226" s="240">
        <f t="shared" si="5"/>
        <v>0</v>
      </c>
      <c r="I226" s="216" t="str">
        <f t="shared" si="6"/>
        <v/>
      </c>
      <c r="J226" s="216" t="str">
        <f t="array" ref="J226">IFERROR(IF(B226&lt;&gt;"",XLOOKUP(B226,FUNC!E:E,#REF!,"NO VIGENTE"),""),"")</f>
        <v/>
      </c>
      <c r="K226" s="216"/>
    </row>
    <row r="227" ht="18.0" customHeight="1">
      <c r="A227" s="212"/>
      <c r="B227" s="212"/>
      <c r="C227" s="212"/>
      <c r="D227" s="212"/>
      <c r="E227" s="212"/>
      <c r="F227" s="260"/>
      <c r="G227" s="248"/>
      <c r="H227" s="240">
        <f t="shared" si="5"/>
        <v>0</v>
      </c>
      <c r="I227" s="216" t="str">
        <f t="shared" si="6"/>
        <v/>
      </c>
      <c r="J227" s="216" t="str">
        <f t="array" ref="J227">IFERROR(IF(B227&lt;&gt;"",XLOOKUP(B227,FUNC!E:E,#REF!,"NO VIGENTE"),""),"")</f>
        <v/>
      </c>
      <c r="K227" s="216"/>
    </row>
    <row r="228" ht="18.0" customHeight="1">
      <c r="A228" s="212"/>
      <c r="B228" s="212"/>
      <c r="C228" s="212"/>
      <c r="D228" s="212"/>
      <c r="E228" s="212"/>
      <c r="F228" s="260"/>
      <c r="G228" s="248"/>
      <c r="H228" s="240">
        <f t="shared" si="5"/>
        <v>0</v>
      </c>
      <c r="I228" s="216" t="str">
        <f t="shared" si="6"/>
        <v/>
      </c>
      <c r="J228" s="216" t="str">
        <f t="array" ref="J228">IFERROR(IF(B228&lt;&gt;"",XLOOKUP(B228,FUNC!E:E,#REF!,"NO VIGENTE"),""),"")</f>
        <v/>
      </c>
      <c r="K228" s="216"/>
    </row>
    <row r="229" ht="18.0" customHeight="1">
      <c r="A229" s="212"/>
      <c r="B229" s="212"/>
      <c r="C229" s="212"/>
      <c r="D229" s="212"/>
      <c r="E229" s="212"/>
      <c r="F229" s="260"/>
      <c r="G229" s="248"/>
      <c r="H229" s="240">
        <f t="shared" si="5"/>
        <v>0</v>
      </c>
      <c r="I229" s="216" t="str">
        <f t="shared" si="6"/>
        <v/>
      </c>
      <c r="J229" s="216" t="str">
        <f t="array" ref="J229">IFERROR(IF(B229&lt;&gt;"",XLOOKUP(B229,FUNC!E:E,#REF!,"NO VIGENTE"),""),"")</f>
        <v/>
      </c>
      <c r="K229" s="216"/>
    </row>
    <row r="230" ht="18.0" customHeight="1">
      <c r="A230" s="212"/>
      <c r="B230" s="212"/>
      <c r="C230" s="212"/>
      <c r="D230" s="212"/>
      <c r="E230" s="212"/>
      <c r="F230" s="260"/>
      <c r="G230" s="248"/>
      <c r="H230" s="240">
        <f t="shared" si="5"/>
        <v>0</v>
      </c>
      <c r="I230" s="216" t="str">
        <f t="shared" si="6"/>
        <v/>
      </c>
      <c r="J230" s="216" t="str">
        <f t="array" ref="J230">IFERROR(IF(B230&lt;&gt;"",XLOOKUP(B230,FUNC!E:E,#REF!,"NO VIGENTE"),""),"")</f>
        <v/>
      </c>
      <c r="K230" s="216"/>
    </row>
    <row r="231" ht="18.0" customHeight="1">
      <c r="A231" s="212"/>
      <c r="B231" s="249"/>
      <c r="C231" s="212"/>
      <c r="D231" s="212"/>
      <c r="E231" s="212"/>
      <c r="F231" s="260"/>
      <c r="G231" s="248"/>
      <c r="H231" s="240">
        <f t="shared" si="5"/>
        <v>0</v>
      </c>
      <c r="I231" s="216" t="str">
        <f t="shared" si="6"/>
        <v/>
      </c>
      <c r="J231" s="216" t="str">
        <f t="array" ref="J231">IFERROR(IF(B231&lt;&gt;"",XLOOKUP(B231,FUNC!E:E,#REF!,"NO VIGENTE"),""),"")</f>
        <v/>
      </c>
      <c r="K231" s="216"/>
    </row>
    <row r="232" ht="18.0" customHeight="1">
      <c r="A232" s="212"/>
      <c r="B232" s="53"/>
      <c r="C232" s="212"/>
      <c r="D232" s="212"/>
      <c r="E232" s="212"/>
      <c r="F232" s="260"/>
      <c r="G232" s="248"/>
      <c r="H232" s="240">
        <f t="shared" si="5"/>
        <v>0</v>
      </c>
      <c r="I232" s="216" t="str">
        <f t="shared" si="6"/>
        <v/>
      </c>
      <c r="J232" s="216" t="str">
        <f t="array" ref="J232">IFERROR(IF(B232&lt;&gt;"",XLOOKUP(B232,FUNC!E:E,#REF!,"NO VIGENTE"),""),"")</f>
        <v/>
      </c>
      <c r="K232" s="216"/>
    </row>
    <row r="233" ht="18.0" customHeight="1">
      <c r="A233" s="212"/>
      <c r="B233" s="212"/>
      <c r="C233" s="212"/>
      <c r="D233" s="212"/>
      <c r="E233" s="212"/>
      <c r="F233" s="260"/>
      <c r="G233" s="248"/>
      <c r="H233" s="240">
        <f t="shared" si="5"/>
        <v>0</v>
      </c>
      <c r="I233" s="216" t="str">
        <f t="shared" si="6"/>
        <v/>
      </c>
      <c r="J233" s="216" t="str">
        <f t="array" ref="J233">IFERROR(IF(B233&lt;&gt;"",XLOOKUP(B233,FUNC!E:E,#REF!,"NO VIGENTE"),""),"")</f>
        <v/>
      </c>
      <c r="K233" s="216"/>
    </row>
    <row r="234" ht="18.0" customHeight="1">
      <c r="A234" s="212"/>
      <c r="B234" s="212"/>
      <c r="C234" s="212"/>
      <c r="D234" s="212"/>
      <c r="E234" s="212"/>
      <c r="F234" s="260"/>
      <c r="G234" s="248"/>
      <c r="H234" s="240">
        <f t="shared" si="5"/>
        <v>0</v>
      </c>
      <c r="I234" s="216" t="str">
        <f t="shared" si="6"/>
        <v/>
      </c>
      <c r="J234" s="216" t="str">
        <f t="array" ref="J234">IFERROR(IF(B234&lt;&gt;"",XLOOKUP(B234,FUNC!E:E,#REF!,"NO VIGENTE"),""),"")</f>
        <v/>
      </c>
      <c r="K234" s="216"/>
    </row>
    <row r="235" ht="18.0" customHeight="1">
      <c r="A235" s="212"/>
      <c r="B235" s="212"/>
      <c r="C235" s="212"/>
      <c r="D235" s="212"/>
      <c r="E235" s="212"/>
      <c r="F235" s="260"/>
      <c r="G235" s="248"/>
      <c r="H235" s="240">
        <f t="shared" si="5"/>
        <v>0</v>
      </c>
      <c r="I235" s="216" t="str">
        <f t="shared" si="6"/>
        <v/>
      </c>
      <c r="J235" s="216" t="str">
        <f t="array" ref="J235">IFERROR(IF(B235&lt;&gt;"",XLOOKUP(B235,FUNC!E:E,#REF!,"NO VIGENTE"),""),"")</f>
        <v/>
      </c>
      <c r="K235" s="216"/>
    </row>
    <row r="236" ht="18.0" customHeight="1">
      <c r="A236" s="212"/>
      <c r="B236" s="212"/>
      <c r="C236" s="212"/>
      <c r="D236" s="212"/>
      <c r="E236" s="212"/>
      <c r="F236" s="260"/>
      <c r="G236" s="248"/>
      <c r="H236" s="240">
        <f t="shared" si="5"/>
        <v>0</v>
      </c>
      <c r="I236" s="216" t="str">
        <f t="shared" si="6"/>
        <v/>
      </c>
      <c r="J236" s="216" t="str">
        <f t="array" ref="J236">IFERROR(IF(B236&lt;&gt;"",XLOOKUP(B236,FUNC!E:E,#REF!,"NO VIGENTE"),""),"")</f>
        <v/>
      </c>
      <c r="K236" s="216"/>
    </row>
    <row r="237" ht="18.0" customHeight="1">
      <c r="A237" s="212"/>
      <c r="B237" s="212"/>
      <c r="C237" s="212"/>
      <c r="D237" s="212"/>
      <c r="E237" s="212"/>
      <c r="F237" s="260"/>
      <c r="G237" s="248"/>
      <c r="H237" s="240">
        <f t="shared" si="5"/>
        <v>0</v>
      </c>
      <c r="I237" s="216" t="str">
        <f t="shared" si="6"/>
        <v/>
      </c>
      <c r="J237" s="216" t="str">
        <f t="array" ref="J237">IFERROR(IF(B237&lt;&gt;"",XLOOKUP(B237,FUNC!E:E,#REF!,"NO VIGENTE"),""),"")</f>
        <v/>
      </c>
      <c r="K237" s="216"/>
    </row>
    <row r="238" ht="18.0" customHeight="1">
      <c r="A238" s="212"/>
      <c r="B238" s="212"/>
      <c r="C238" s="212"/>
      <c r="D238" s="212"/>
      <c r="E238" s="212"/>
      <c r="F238" s="260"/>
      <c r="G238" s="248"/>
      <c r="H238" s="240">
        <f t="shared" si="5"/>
        <v>0</v>
      </c>
      <c r="I238" s="216" t="str">
        <f t="shared" si="6"/>
        <v/>
      </c>
      <c r="J238" s="216" t="str">
        <f t="array" ref="J238">IFERROR(IF(B238&lt;&gt;"",XLOOKUP(B238,FUNC!E:E,#REF!,"NO VIGENTE"),""),"")</f>
        <v/>
      </c>
      <c r="K238" s="216"/>
    </row>
    <row r="239" ht="18.0" customHeight="1">
      <c r="A239" s="212"/>
      <c r="B239" s="212"/>
      <c r="C239" s="212"/>
      <c r="D239" s="212"/>
      <c r="E239" s="212"/>
      <c r="F239" s="260"/>
      <c r="G239" s="248"/>
      <c r="H239" s="240">
        <f t="shared" si="5"/>
        <v>0</v>
      </c>
      <c r="I239" s="216" t="str">
        <f t="shared" si="6"/>
        <v/>
      </c>
      <c r="J239" s="216" t="str">
        <f t="array" ref="J239">IFERROR(IF(B239&lt;&gt;"",XLOOKUP(B239,FUNC!E:E,#REF!,"NO VIGENTE"),""),"")</f>
        <v/>
      </c>
      <c r="K239" s="216"/>
    </row>
    <row r="240" ht="18.0" customHeight="1">
      <c r="A240" s="212"/>
      <c r="B240" s="212"/>
      <c r="C240" s="212"/>
      <c r="D240" s="212"/>
      <c r="E240" s="212"/>
      <c r="F240" s="260"/>
      <c r="G240" s="248"/>
      <c r="H240" s="240">
        <f t="shared" si="5"/>
        <v>0</v>
      </c>
      <c r="I240" s="216" t="str">
        <f t="shared" si="6"/>
        <v/>
      </c>
      <c r="J240" s="216" t="str">
        <f t="array" ref="J240">IFERROR(IF(B240&lt;&gt;"",XLOOKUP(B240,FUNC!E:E,#REF!,"NO VIGENTE"),""),"")</f>
        <v/>
      </c>
      <c r="K240" s="216"/>
    </row>
    <row r="241" ht="18.0" customHeight="1">
      <c r="A241" s="212"/>
      <c r="B241" s="212"/>
      <c r="C241" s="212"/>
      <c r="D241" s="212"/>
      <c r="E241" s="212"/>
      <c r="F241" s="260"/>
      <c r="G241" s="248"/>
      <c r="H241" s="240">
        <f t="shared" si="5"/>
        <v>0</v>
      </c>
      <c r="I241" s="216" t="str">
        <f t="shared" si="6"/>
        <v/>
      </c>
      <c r="J241" s="216" t="str">
        <f t="array" ref="J241">IFERROR(IF(B241&lt;&gt;"",XLOOKUP(B241,FUNC!E:E,#REF!,"NO VIGENTE"),""),"")</f>
        <v/>
      </c>
      <c r="K241" s="216"/>
    </row>
    <row r="242" ht="18.0" customHeight="1">
      <c r="A242" s="212"/>
      <c r="B242" s="212"/>
      <c r="C242" s="212"/>
      <c r="D242" s="212"/>
      <c r="E242" s="212"/>
      <c r="F242" s="260"/>
      <c r="G242" s="248"/>
      <c r="H242" s="240">
        <f t="shared" si="5"/>
        <v>0</v>
      </c>
      <c r="I242" s="216" t="str">
        <f t="shared" si="6"/>
        <v/>
      </c>
      <c r="J242" s="216" t="str">
        <f t="array" ref="J242">IFERROR(IF(B242&lt;&gt;"",XLOOKUP(B242,FUNC!E:E,#REF!,"NO VIGENTE"),""),"")</f>
        <v/>
      </c>
      <c r="K242" s="216"/>
    </row>
    <row r="243" ht="18.0" customHeight="1">
      <c r="A243" s="212"/>
      <c r="B243" s="212"/>
      <c r="C243" s="212"/>
      <c r="D243" s="212"/>
      <c r="E243" s="212"/>
      <c r="F243" s="260"/>
      <c r="G243" s="248"/>
      <c r="H243" s="240">
        <f t="shared" si="5"/>
        <v>0</v>
      </c>
      <c r="I243" s="216" t="str">
        <f t="shared" si="6"/>
        <v/>
      </c>
      <c r="J243" s="216" t="str">
        <f t="array" ref="J243">IFERROR(IF(B243&lt;&gt;"",XLOOKUP(B243,FUNC!E:E,#REF!,"NO VIGENTE"),""),"")</f>
        <v/>
      </c>
      <c r="K243" s="216"/>
    </row>
    <row r="244" ht="18.0" customHeight="1">
      <c r="A244" s="212"/>
      <c r="B244" s="212"/>
      <c r="C244" s="212"/>
      <c r="D244" s="212"/>
      <c r="E244" s="212"/>
      <c r="F244" s="260"/>
      <c r="G244" s="248"/>
      <c r="H244" s="240">
        <f t="shared" si="5"/>
        <v>0</v>
      </c>
      <c r="I244" s="216" t="str">
        <f t="shared" si="6"/>
        <v/>
      </c>
      <c r="J244" s="216" t="str">
        <f t="array" ref="J244">IFERROR(IF(B244&lt;&gt;"",XLOOKUP(B244,FUNC!E:E,#REF!,"NO VIGENTE"),""),"")</f>
        <v/>
      </c>
      <c r="K244" s="216"/>
    </row>
    <row r="245" ht="18.0" customHeight="1">
      <c r="A245" s="212"/>
      <c r="B245" s="212"/>
      <c r="C245" s="212"/>
      <c r="D245" s="212"/>
      <c r="E245" s="212"/>
      <c r="F245" s="260"/>
      <c r="G245" s="248"/>
      <c r="H245" s="240">
        <f t="shared" si="5"/>
        <v>0</v>
      </c>
      <c r="I245" s="216" t="str">
        <f t="shared" si="6"/>
        <v/>
      </c>
      <c r="J245" s="216" t="str">
        <f t="array" ref="J245">IFERROR(IF(B245&lt;&gt;"",XLOOKUP(B245,FUNC!E:E,#REF!,"NO VIGENTE"),""),"")</f>
        <v/>
      </c>
      <c r="K245" s="216"/>
    </row>
    <row r="246" ht="18.0" customHeight="1">
      <c r="A246" s="212"/>
      <c r="B246" s="212"/>
      <c r="C246" s="212"/>
      <c r="D246" s="212"/>
      <c r="E246" s="212"/>
      <c r="F246" s="260"/>
      <c r="G246" s="248"/>
      <c r="H246" s="240">
        <f t="shared" si="5"/>
        <v>0</v>
      </c>
      <c r="I246" s="216" t="str">
        <f t="shared" si="6"/>
        <v/>
      </c>
      <c r="J246" s="216" t="str">
        <f t="array" ref="J246">IFERROR(IF(B246&lt;&gt;"",XLOOKUP(B246,FUNC!E:E,#REF!,"NO VIGENTE"),""),"")</f>
        <v/>
      </c>
      <c r="K246" s="216"/>
    </row>
    <row r="247" ht="18.0" customHeight="1">
      <c r="A247" s="212"/>
      <c r="B247" s="212"/>
      <c r="C247" s="212"/>
      <c r="D247" s="212"/>
      <c r="E247" s="212"/>
      <c r="F247" s="260"/>
      <c r="G247" s="248"/>
      <c r="H247" s="240">
        <f t="shared" si="5"/>
        <v>0</v>
      </c>
      <c r="I247" s="216" t="str">
        <f t="shared" si="6"/>
        <v/>
      </c>
      <c r="J247" s="216" t="str">
        <f t="array" ref="J247">IFERROR(IF(B247&lt;&gt;"",XLOOKUP(B247,FUNC!E:E,#REF!,"NO VIGENTE"),""),"")</f>
        <v/>
      </c>
      <c r="K247" s="216"/>
    </row>
    <row r="248" ht="18.0" customHeight="1">
      <c r="A248" s="212"/>
      <c r="B248" s="212"/>
      <c r="C248" s="212"/>
      <c r="D248" s="212"/>
      <c r="E248" s="212"/>
      <c r="F248" s="260"/>
      <c r="G248" s="248"/>
      <c r="H248" s="240">
        <f t="shared" si="5"/>
        <v>0</v>
      </c>
      <c r="I248" s="216" t="str">
        <f t="shared" si="6"/>
        <v/>
      </c>
      <c r="J248" s="216" t="str">
        <f t="array" ref="J248">IFERROR(IF(B248&lt;&gt;"",XLOOKUP(B248,FUNC!E:E,#REF!,"NO VIGENTE"),""),"")</f>
        <v/>
      </c>
      <c r="K248" s="216"/>
    </row>
    <row r="249" ht="18.0" customHeight="1">
      <c r="A249" s="212"/>
      <c r="B249" s="212"/>
      <c r="C249" s="212"/>
      <c r="D249" s="212"/>
      <c r="E249" s="212"/>
      <c r="F249" s="260"/>
      <c r="G249" s="248"/>
      <c r="H249" s="240">
        <f t="shared" si="5"/>
        <v>0</v>
      </c>
      <c r="I249" s="216" t="str">
        <f t="shared" si="6"/>
        <v/>
      </c>
      <c r="J249" s="216" t="str">
        <f t="array" ref="J249">IFERROR(IF(B249&lt;&gt;"",XLOOKUP(B249,FUNC!E:E,#REF!,"NO VIGENTE"),""),"")</f>
        <v/>
      </c>
      <c r="K249" s="216"/>
    </row>
    <row r="250" ht="18.0" customHeight="1">
      <c r="A250" s="212"/>
      <c r="B250" s="212"/>
      <c r="C250" s="212"/>
      <c r="D250" s="212"/>
      <c r="E250" s="212"/>
      <c r="F250" s="260"/>
      <c r="G250" s="248"/>
      <c r="H250" s="240">
        <f t="shared" si="5"/>
        <v>0</v>
      </c>
      <c r="I250" s="216" t="str">
        <f t="shared" si="6"/>
        <v/>
      </c>
      <c r="J250" s="216" t="str">
        <f t="array" ref="J250">IFERROR(IF(B250&lt;&gt;"",XLOOKUP(B250,FUNC!E:E,#REF!,"NO VIGENTE"),""),"")</f>
        <v/>
      </c>
      <c r="K250" s="216"/>
    </row>
    <row r="251" ht="18.0" customHeight="1">
      <c r="A251" s="212"/>
      <c r="B251" s="212"/>
      <c r="C251" s="212"/>
      <c r="D251" s="212"/>
      <c r="E251" s="212"/>
      <c r="F251" s="260"/>
      <c r="G251" s="248"/>
      <c r="H251" s="240">
        <f t="shared" si="5"/>
        <v>0</v>
      </c>
      <c r="I251" s="216" t="str">
        <f t="shared" si="6"/>
        <v/>
      </c>
      <c r="J251" s="216" t="str">
        <f t="array" ref="J251">IFERROR(IF(B251&lt;&gt;"",XLOOKUP(B251,FUNC!E:E,#REF!,"NO VIGENTE"),""),"")</f>
        <v/>
      </c>
      <c r="K251" s="216"/>
    </row>
    <row r="252" ht="18.0" customHeight="1">
      <c r="A252" s="212"/>
      <c r="B252" s="212"/>
      <c r="C252" s="212"/>
      <c r="D252" s="212"/>
      <c r="E252" s="212"/>
      <c r="F252" s="260"/>
      <c r="G252" s="248"/>
      <c r="H252" s="240">
        <f t="shared" si="5"/>
        <v>0</v>
      </c>
      <c r="I252" s="216" t="str">
        <f t="shared" si="6"/>
        <v/>
      </c>
      <c r="J252" s="216" t="str">
        <f t="array" ref="J252">IFERROR(IF(B252&lt;&gt;"",XLOOKUP(B252,FUNC!E:E,#REF!,"NO VIGENTE"),""),"")</f>
        <v/>
      </c>
      <c r="K252" s="216"/>
    </row>
    <row r="253" ht="18.0" customHeight="1">
      <c r="A253" s="212"/>
      <c r="B253" s="212"/>
      <c r="C253" s="212"/>
      <c r="D253" s="212"/>
      <c r="E253" s="212"/>
      <c r="F253" s="260"/>
      <c r="G253" s="248"/>
      <c r="H253" s="240">
        <f t="shared" si="5"/>
        <v>0</v>
      </c>
      <c r="I253" s="216" t="str">
        <f t="shared" si="6"/>
        <v/>
      </c>
      <c r="J253" s="216" t="str">
        <f t="array" ref="J253">IFERROR(IF(B253&lt;&gt;"",XLOOKUP(B253,FUNC!E:E,#REF!,"NO VIGENTE"),""),"")</f>
        <v/>
      </c>
      <c r="K253" s="216"/>
    </row>
    <row r="254" ht="18.0" customHeight="1">
      <c r="A254" s="212"/>
      <c r="B254" s="212"/>
      <c r="C254" s="212"/>
      <c r="D254" s="212"/>
      <c r="E254" s="212"/>
      <c r="F254" s="260"/>
      <c r="G254" s="248"/>
      <c r="H254" s="240">
        <f t="shared" si="5"/>
        <v>0</v>
      </c>
      <c r="I254" s="216" t="str">
        <f t="shared" si="6"/>
        <v/>
      </c>
      <c r="J254" s="216" t="str">
        <f t="array" ref="J254">IFERROR(IF(B254&lt;&gt;"",XLOOKUP(B254,FUNC!E:E,#REF!,"NO VIGENTE"),""),"")</f>
        <v/>
      </c>
      <c r="K254" s="216"/>
    </row>
    <row r="255" ht="18.0" customHeight="1">
      <c r="A255" s="212"/>
      <c r="B255" s="212"/>
      <c r="C255" s="212"/>
      <c r="D255" s="212"/>
      <c r="E255" s="212"/>
      <c r="F255" s="260"/>
      <c r="G255" s="248"/>
      <c r="H255" s="240">
        <f t="shared" si="5"/>
        <v>0</v>
      </c>
      <c r="I255" s="216" t="str">
        <f t="shared" si="6"/>
        <v/>
      </c>
      <c r="J255" s="216" t="str">
        <f t="array" ref="J255">IFERROR(IF(B255&lt;&gt;"",XLOOKUP(B255,FUNC!E:E,#REF!,"NO VIGENTE"),""),"")</f>
        <v/>
      </c>
      <c r="K255" s="216"/>
    </row>
    <row r="256" ht="18.0" customHeight="1">
      <c r="A256" s="212"/>
      <c r="B256" s="212"/>
      <c r="C256" s="212"/>
      <c r="D256" s="212"/>
      <c r="E256" s="212"/>
      <c r="F256" s="260"/>
      <c r="G256" s="248"/>
      <c r="H256" s="240">
        <f t="shared" si="5"/>
        <v>0</v>
      </c>
      <c r="I256" s="216" t="str">
        <f t="shared" si="6"/>
        <v/>
      </c>
      <c r="J256" s="216" t="str">
        <f t="array" ref="J256">IFERROR(IF(B256&lt;&gt;"",XLOOKUP(B256,FUNC!E:E,#REF!,"NO VIGENTE"),""),"")</f>
        <v/>
      </c>
      <c r="K256" s="216"/>
    </row>
    <row r="257" ht="18.0" customHeight="1">
      <c r="A257" s="212"/>
      <c r="B257" s="249"/>
      <c r="C257" s="212"/>
      <c r="D257" s="212"/>
      <c r="E257" s="212"/>
      <c r="F257" s="260"/>
      <c r="G257" s="248"/>
      <c r="H257" s="240">
        <f t="shared" si="5"/>
        <v>0</v>
      </c>
      <c r="I257" s="216" t="str">
        <f t="shared" si="6"/>
        <v/>
      </c>
      <c r="J257" s="216" t="str">
        <f t="array" ref="J257">IFERROR(IF(B257&lt;&gt;"",XLOOKUP(B257,FUNC!E:E,#REF!,"NO VIGENTE"),""),"")</f>
        <v/>
      </c>
      <c r="K257" s="216"/>
    </row>
    <row r="258" ht="18.0" customHeight="1">
      <c r="A258" s="212"/>
      <c r="B258" s="212"/>
      <c r="C258" s="212"/>
      <c r="D258" s="212"/>
      <c r="E258" s="212"/>
      <c r="F258" s="260"/>
      <c r="G258" s="248"/>
      <c r="H258" s="240">
        <f t="shared" si="5"/>
        <v>0</v>
      </c>
      <c r="I258" s="216" t="str">
        <f t="shared" si="6"/>
        <v/>
      </c>
      <c r="J258" s="216" t="str">
        <f t="array" ref="J258">IFERROR(IF(B258&lt;&gt;"",XLOOKUP(B258,FUNC!E:E,#REF!,"NO VIGENTE"),""),"")</f>
        <v/>
      </c>
      <c r="K258" s="216"/>
    </row>
    <row r="259" ht="18.0" customHeight="1">
      <c r="A259" s="212"/>
      <c r="B259" s="212"/>
      <c r="C259" s="212"/>
      <c r="D259" s="212"/>
      <c r="E259" s="212"/>
      <c r="F259" s="260"/>
      <c r="G259" s="248"/>
      <c r="H259" s="240">
        <f t="shared" si="5"/>
        <v>0</v>
      </c>
      <c r="I259" s="216" t="str">
        <f t="shared" si="6"/>
        <v/>
      </c>
      <c r="J259" s="216" t="str">
        <f t="array" ref="J259">IFERROR(IF(B259&lt;&gt;"",XLOOKUP(B259,FUNC!E:E,#REF!,"NO VIGENTE"),""),"")</f>
        <v/>
      </c>
      <c r="K259" s="216"/>
    </row>
    <row r="260" ht="18.0" customHeight="1">
      <c r="A260" s="212"/>
      <c r="B260" s="249"/>
      <c r="C260" s="212"/>
      <c r="D260" s="212"/>
      <c r="E260" s="212"/>
      <c r="F260" s="260"/>
      <c r="G260" s="248"/>
      <c r="H260" s="240">
        <f t="shared" si="5"/>
        <v>0</v>
      </c>
      <c r="I260" s="216" t="str">
        <f t="shared" si="6"/>
        <v/>
      </c>
      <c r="J260" s="216" t="str">
        <f t="array" ref="J260">IFERROR(IF(B260&lt;&gt;"",XLOOKUP(B260,FUNC!E:E,#REF!,"NO VIGENTE"),""),"")</f>
        <v/>
      </c>
      <c r="K260" s="216"/>
    </row>
    <row r="261" ht="18.0" customHeight="1">
      <c r="A261" s="212"/>
      <c r="B261" s="212"/>
      <c r="C261" s="212"/>
      <c r="D261" s="212"/>
      <c r="E261" s="212"/>
      <c r="F261" s="260"/>
      <c r="G261" s="248"/>
      <c r="H261" s="240">
        <f t="shared" si="5"/>
        <v>0</v>
      </c>
      <c r="I261" s="216" t="str">
        <f t="shared" si="6"/>
        <v/>
      </c>
      <c r="J261" s="216" t="str">
        <f t="array" ref="J261">IFERROR(IF(B261&lt;&gt;"",XLOOKUP(B261,FUNC!E:E,#REF!,"NO VIGENTE"),""),"")</f>
        <v/>
      </c>
      <c r="K261" s="216"/>
    </row>
    <row r="262" ht="18.0" customHeight="1">
      <c r="A262" s="212"/>
      <c r="B262" s="212"/>
      <c r="C262" s="212"/>
      <c r="D262" s="212"/>
      <c r="E262" s="212"/>
      <c r="F262" s="260"/>
      <c r="G262" s="248"/>
      <c r="H262" s="240">
        <f t="shared" si="5"/>
        <v>0</v>
      </c>
      <c r="I262" s="216" t="str">
        <f t="shared" si="6"/>
        <v/>
      </c>
      <c r="J262" s="216" t="str">
        <f t="array" ref="J262">IFERROR(IF(B262&lt;&gt;"",XLOOKUP(B262,FUNC!E:E,#REF!,"NO VIGENTE"),""),"")</f>
        <v/>
      </c>
      <c r="K262" s="216"/>
    </row>
    <row r="263" ht="18.0" customHeight="1">
      <c r="A263" s="212"/>
      <c r="B263" s="212"/>
      <c r="C263" s="212"/>
      <c r="D263" s="212"/>
      <c r="E263" s="212"/>
      <c r="F263" s="260"/>
      <c r="G263" s="248"/>
      <c r="H263" s="240">
        <f t="shared" si="5"/>
        <v>0</v>
      </c>
      <c r="I263" s="216" t="str">
        <f t="shared" si="6"/>
        <v/>
      </c>
      <c r="J263" s="216" t="str">
        <f t="array" ref="J263">IFERROR(IF(B263&lt;&gt;"",XLOOKUP(B263,FUNC!E:E,#REF!,"NO VIGENTE"),""),"")</f>
        <v/>
      </c>
      <c r="K263" s="216"/>
    </row>
    <row r="264" ht="18.0" customHeight="1">
      <c r="A264" s="212"/>
      <c r="B264" s="212"/>
      <c r="C264" s="212"/>
      <c r="D264" s="212"/>
      <c r="E264" s="212"/>
      <c r="F264" s="260"/>
      <c r="G264" s="248"/>
      <c r="H264" s="240">
        <f t="shared" si="5"/>
        <v>0</v>
      </c>
      <c r="I264" s="216" t="str">
        <f t="shared" si="6"/>
        <v/>
      </c>
      <c r="J264" s="216" t="str">
        <f t="array" ref="J264">IFERROR(IF(B264&lt;&gt;"",XLOOKUP(B264,FUNC!E:E,#REF!,"NO VIGENTE"),""),"")</f>
        <v/>
      </c>
      <c r="K264" s="216"/>
    </row>
    <row r="265" ht="18.0" customHeight="1">
      <c r="A265" s="212"/>
      <c r="B265" s="212"/>
      <c r="C265" s="212"/>
      <c r="D265" s="212"/>
      <c r="E265" s="212"/>
      <c r="F265" s="260"/>
      <c r="G265" s="248"/>
      <c r="H265" s="240">
        <f t="shared" si="5"/>
        <v>0</v>
      </c>
      <c r="I265" s="216" t="str">
        <f t="shared" si="6"/>
        <v/>
      </c>
      <c r="J265" s="216" t="str">
        <f t="array" ref="J265">IFERROR(IF(B265&lt;&gt;"",XLOOKUP(B265,FUNC!E:E,#REF!,"NO VIGENTE"),""),"")</f>
        <v/>
      </c>
      <c r="K265" s="216"/>
    </row>
    <row r="266" ht="18.0" customHeight="1">
      <c r="A266" s="212"/>
      <c r="B266" s="212"/>
      <c r="C266" s="212"/>
      <c r="D266" s="212"/>
      <c r="E266" s="212"/>
      <c r="F266" s="260"/>
      <c r="G266" s="248"/>
      <c r="H266" s="240">
        <f t="shared" si="5"/>
        <v>0</v>
      </c>
      <c r="I266" s="216" t="str">
        <f t="shared" si="6"/>
        <v/>
      </c>
      <c r="J266" s="216" t="str">
        <f t="array" ref="J266">IFERROR(IF(B266&lt;&gt;"",XLOOKUP(B266,FUNC!E:E,#REF!,"NO VIGENTE"),""),"")</f>
        <v/>
      </c>
      <c r="K266" s="216"/>
    </row>
    <row r="267" ht="18.0" customHeight="1">
      <c r="A267" s="212"/>
      <c r="B267" s="212"/>
      <c r="C267" s="212"/>
      <c r="D267" s="212"/>
      <c r="E267" s="212"/>
      <c r="F267" s="260"/>
      <c r="G267" s="248"/>
      <c r="H267" s="240">
        <f t="shared" si="5"/>
        <v>0</v>
      </c>
      <c r="I267" s="216" t="str">
        <f t="shared" si="6"/>
        <v/>
      </c>
      <c r="J267" s="216" t="str">
        <f t="array" ref="J267">IFERROR(IF(B267&lt;&gt;"",XLOOKUP(B267,FUNC!E:E,#REF!,"NO VIGENTE"),""),"")</f>
        <v/>
      </c>
      <c r="K267" s="216"/>
    </row>
    <row r="268" ht="18.0" customHeight="1">
      <c r="A268" s="212"/>
      <c r="B268" s="212"/>
      <c r="C268" s="212"/>
      <c r="D268" s="212"/>
      <c r="E268" s="212"/>
      <c r="F268" s="260"/>
      <c r="G268" s="248"/>
      <c r="H268" s="240">
        <f t="shared" si="5"/>
        <v>0</v>
      </c>
      <c r="I268" s="216" t="str">
        <f t="shared" si="6"/>
        <v/>
      </c>
      <c r="J268" s="216" t="str">
        <f t="array" ref="J268">IFERROR(IF(B268&lt;&gt;"",XLOOKUP(B268,FUNC!E:E,#REF!,"NO VIGENTE"),""),"")</f>
        <v/>
      </c>
      <c r="K268" s="216"/>
    </row>
    <row r="269" ht="18.0" customHeight="1">
      <c r="A269" s="212"/>
      <c r="B269" s="212"/>
      <c r="C269" s="212"/>
      <c r="D269" s="212"/>
      <c r="E269" s="212"/>
      <c r="F269" s="260"/>
      <c r="G269" s="248"/>
      <c r="H269" s="240">
        <f t="shared" si="5"/>
        <v>0</v>
      </c>
      <c r="I269" s="216" t="str">
        <f t="shared" si="6"/>
        <v/>
      </c>
      <c r="J269" s="216" t="str">
        <f t="array" ref="J269">IFERROR(IF(B269&lt;&gt;"",XLOOKUP(B269,FUNC!E:E,#REF!,"NO VIGENTE"),""),"")</f>
        <v/>
      </c>
      <c r="K269" s="216"/>
    </row>
    <row r="270" ht="18.0" customHeight="1">
      <c r="A270" s="212"/>
      <c r="B270" s="212"/>
      <c r="C270" s="212"/>
      <c r="D270" s="212"/>
      <c r="E270" s="212"/>
      <c r="F270" s="260"/>
      <c r="G270" s="248"/>
      <c r="H270" s="240">
        <f t="shared" si="5"/>
        <v>0</v>
      </c>
      <c r="I270" s="216" t="str">
        <f t="shared" si="6"/>
        <v/>
      </c>
      <c r="J270" s="216" t="str">
        <f t="array" ref="J270">IFERROR(IF(B270&lt;&gt;"",XLOOKUP(B270,FUNC!E:E,#REF!,"NO VIGENTE"),""),"")</f>
        <v/>
      </c>
      <c r="K270" s="216"/>
    </row>
    <row r="271" ht="18.0" customHeight="1">
      <c r="A271" s="212"/>
      <c r="B271" s="212"/>
      <c r="C271" s="212"/>
      <c r="D271" s="212"/>
      <c r="E271" s="212"/>
      <c r="F271" s="260"/>
      <c r="G271" s="248"/>
      <c r="H271" s="240">
        <f t="shared" si="5"/>
        <v>0</v>
      </c>
      <c r="I271" s="216" t="str">
        <f t="shared" si="6"/>
        <v/>
      </c>
      <c r="J271" s="216" t="str">
        <f t="array" ref="J271">IFERROR(IF(B271&lt;&gt;"",XLOOKUP(B271,FUNC!E:E,#REF!,"NO VIGENTE"),""),"")</f>
        <v/>
      </c>
      <c r="K271" s="216"/>
    </row>
    <row r="272" ht="18.0" customHeight="1">
      <c r="A272" s="212"/>
      <c r="B272" s="212"/>
      <c r="C272" s="212"/>
      <c r="D272" s="212"/>
      <c r="E272" s="212"/>
      <c r="F272" s="260"/>
      <c r="G272" s="248"/>
      <c r="H272" s="240">
        <f t="shared" si="5"/>
        <v>0</v>
      </c>
      <c r="I272" s="216" t="str">
        <f t="shared" si="6"/>
        <v/>
      </c>
      <c r="J272" s="216" t="str">
        <f t="array" ref="J272">IFERROR(IF(B272&lt;&gt;"",XLOOKUP(B272,FUNC!E:E,#REF!,"NO VIGENTE"),""),"")</f>
        <v/>
      </c>
      <c r="K272" s="216"/>
    </row>
    <row r="273" ht="18.0" customHeight="1">
      <c r="A273" s="212"/>
      <c r="B273" s="212"/>
      <c r="C273" s="212"/>
      <c r="D273" s="212"/>
      <c r="E273" s="212"/>
      <c r="F273" s="260"/>
      <c r="G273" s="248"/>
      <c r="H273" s="240">
        <f t="shared" si="5"/>
        <v>0</v>
      </c>
      <c r="I273" s="216" t="str">
        <f t="shared" si="6"/>
        <v/>
      </c>
      <c r="J273" s="216" t="str">
        <f t="array" ref="J273">IFERROR(IF(B273&lt;&gt;"",XLOOKUP(B273,FUNC!E:E,#REF!,"NO VIGENTE"),""),"")</f>
        <v/>
      </c>
      <c r="K273" s="216"/>
    </row>
    <row r="274" ht="18.0" customHeight="1">
      <c r="A274" s="212"/>
      <c r="B274" s="249"/>
      <c r="C274" s="212"/>
      <c r="D274" s="212"/>
      <c r="E274" s="212"/>
      <c r="F274" s="260"/>
      <c r="G274" s="248"/>
      <c r="H274" s="240">
        <f t="shared" si="5"/>
        <v>0</v>
      </c>
      <c r="I274" s="216" t="str">
        <f t="shared" si="6"/>
        <v/>
      </c>
      <c r="J274" s="216" t="str">
        <f t="array" ref="J274">IFERROR(IF(B274&lt;&gt;"",XLOOKUP(B274,FUNC!E:E,#REF!,"NO VIGENTE"),""),"")</f>
        <v/>
      </c>
      <c r="K274" s="216"/>
    </row>
    <row r="275" ht="18.0" customHeight="1">
      <c r="A275" s="212"/>
      <c r="B275" s="212"/>
      <c r="C275" s="212"/>
      <c r="D275" s="212"/>
      <c r="E275" s="212"/>
      <c r="F275" s="260"/>
      <c r="G275" s="248"/>
      <c r="H275" s="240">
        <f t="shared" si="5"/>
        <v>0</v>
      </c>
      <c r="I275" s="216" t="str">
        <f t="shared" si="6"/>
        <v/>
      </c>
      <c r="J275" s="216" t="str">
        <f t="array" ref="J275">IFERROR(IF(B275&lt;&gt;"",XLOOKUP(B275,FUNC!E:E,#REF!,"NO VIGENTE"),""),"")</f>
        <v/>
      </c>
      <c r="K275" s="216"/>
    </row>
    <row r="276" ht="18.0" customHeight="1">
      <c r="A276" s="212"/>
      <c r="B276" s="212"/>
      <c r="C276" s="212"/>
      <c r="D276" s="212"/>
      <c r="E276" s="212"/>
      <c r="F276" s="260"/>
      <c r="G276" s="248"/>
      <c r="H276" s="240">
        <f t="shared" si="5"/>
        <v>0</v>
      </c>
      <c r="I276" s="216" t="str">
        <f t="shared" si="6"/>
        <v/>
      </c>
      <c r="J276" s="216" t="str">
        <f t="array" ref="J276">IFERROR(IF(B276&lt;&gt;"",XLOOKUP(B276,FUNC!E:E,#REF!,"NO VIGENTE"),""),"")</f>
        <v/>
      </c>
      <c r="K276" s="216"/>
    </row>
    <row r="277" ht="18.0" customHeight="1">
      <c r="A277" s="212"/>
      <c r="B277" s="212"/>
      <c r="C277" s="212"/>
      <c r="D277" s="212"/>
      <c r="E277" s="212"/>
      <c r="F277" s="260"/>
      <c r="G277" s="248"/>
      <c r="H277" s="240">
        <f t="shared" si="5"/>
        <v>0</v>
      </c>
      <c r="I277" s="216" t="str">
        <f t="shared" si="6"/>
        <v/>
      </c>
      <c r="J277" s="216" t="str">
        <f t="array" ref="J277">IFERROR(IF(B277&lt;&gt;"",XLOOKUP(B277,FUNC!E:E,#REF!,"NO VIGENTE"),""),"")</f>
        <v/>
      </c>
      <c r="K277" s="216"/>
    </row>
    <row r="278" ht="18.0" customHeight="1">
      <c r="A278" s="212"/>
      <c r="B278" s="212"/>
      <c r="C278" s="212"/>
      <c r="D278" s="212"/>
      <c r="E278" s="212"/>
      <c r="F278" s="260"/>
      <c r="G278" s="248"/>
      <c r="H278" s="240">
        <f t="shared" si="5"/>
        <v>0</v>
      </c>
      <c r="I278" s="216" t="str">
        <f t="shared" si="6"/>
        <v/>
      </c>
      <c r="J278" s="216" t="str">
        <f t="array" ref="J278">IFERROR(IF(B278&lt;&gt;"",XLOOKUP(B278,FUNC!E:E,#REF!,"NO VIGENTE"),""),"")</f>
        <v/>
      </c>
      <c r="K278" s="216"/>
    </row>
    <row r="279" ht="18.0" customHeight="1">
      <c r="A279" s="212"/>
      <c r="B279" s="212"/>
      <c r="C279" s="212"/>
      <c r="D279" s="212"/>
      <c r="E279" s="212"/>
      <c r="F279" s="260"/>
      <c r="G279" s="248"/>
      <c r="H279" s="240">
        <f t="shared" si="5"/>
        <v>0</v>
      </c>
      <c r="I279" s="216" t="str">
        <f t="shared" si="6"/>
        <v/>
      </c>
      <c r="J279" s="216" t="str">
        <f t="array" ref="J279">IFERROR(IF(B279&lt;&gt;"",XLOOKUP(B279,FUNC!E:E,#REF!,"NO VIGENTE"),""),"")</f>
        <v/>
      </c>
      <c r="K279" s="216"/>
    </row>
    <row r="280" ht="18.0" customHeight="1">
      <c r="A280" s="212"/>
      <c r="B280" s="212"/>
      <c r="C280" s="212"/>
      <c r="D280" s="212"/>
      <c r="E280" s="212"/>
      <c r="F280" s="260"/>
      <c r="G280" s="248"/>
      <c r="H280" s="240">
        <f t="shared" si="5"/>
        <v>0</v>
      </c>
      <c r="I280" s="216" t="str">
        <f t="shared" si="6"/>
        <v/>
      </c>
      <c r="J280" s="216" t="str">
        <f t="array" ref="J280">IFERROR(IF(B280&lt;&gt;"",XLOOKUP(B280,FUNC!E:E,#REF!,"NO VIGENTE"),""),"")</f>
        <v/>
      </c>
      <c r="K280" s="216"/>
    </row>
    <row r="281" ht="18.0" customHeight="1">
      <c r="A281" s="212"/>
      <c r="B281" s="212"/>
      <c r="C281" s="212"/>
      <c r="D281" s="212"/>
      <c r="E281" s="212"/>
      <c r="F281" s="260"/>
      <c r="G281" s="248"/>
      <c r="H281" s="240">
        <f t="shared" si="5"/>
        <v>0</v>
      </c>
      <c r="I281" s="216" t="str">
        <f t="shared" si="6"/>
        <v/>
      </c>
      <c r="J281" s="216" t="str">
        <f t="array" ref="J281">IFERROR(IF(B281&lt;&gt;"",XLOOKUP(B281,FUNC!E:E,#REF!,"NO VIGENTE"),""),"")</f>
        <v/>
      </c>
      <c r="K281" s="216"/>
    </row>
    <row r="282" ht="18.0" customHeight="1">
      <c r="A282" s="212"/>
      <c r="B282" s="53"/>
      <c r="C282" s="212"/>
      <c r="D282" s="212"/>
      <c r="E282" s="212"/>
      <c r="F282" s="260"/>
      <c r="G282" s="248"/>
      <c r="H282" s="240">
        <f t="shared" si="5"/>
        <v>0</v>
      </c>
      <c r="I282" s="216" t="str">
        <f t="shared" si="6"/>
        <v/>
      </c>
      <c r="J282" s="216" t="str">
        <f t="array" ref="J282">IFERROR(IF(B282&lt;&gt;"",XLOOKUP(B282,FUNC!E:E,#REF!,"NO VIGENTE"),""),"")</f>
        <v/>
      </c>
      <c r="K282" s="216"/>
    </row>
    <row r="283" ht="18.0" customHeight="1">
      <c r="A283" s="212"/>
      <c r="B283" s="212"/>
      <c r="C283" s="212"/>
      <c r="D283" s="212"/>
      <c r="E283" s="212"/>
      <c r="F283" s="260"/>
      <c r="G283" s="248"/>
      <c r="H283" s="240">
        <f t="shared" si="5"/>
        <v>0</v>
      </c>
      <c r="I283" s="216" t="str">
        <f t="shared" si="6"/>
        <v/>
      </c>
      <c r="J283" s="216" t="str">
        <f t="array" ref="J283">IFERROR(IF(B283&lt;&gt;"",XLOOKUP(B283,FUNC!E:E,#REF!,"NO VIGENTE"),""),"")</f>
        <v/>
      </c>
      <c r="K283" s="216"/>
    </row>
    <row r="284" ht="18.0" customHeight="1">
      <c r="A284" s="212"/>
      <c r="B284" s="212"/>
      <c r="C284" s="212"/>
      <c r="D284" s="212"/>
      <c r="E284" s="212"/>
      <c r="F284" s="260"/>
      <c r="G284" s="248"/>
      <c r="H284" s="240">
        <f t="shared" si="5"/>
        <v>0</v>
      </c>
      <c r="I284" s="216" t="str">
        <f t="shared" si="6"/>
        <v/>
      </c>
      <c r="J284" s="216" t="str">
        <f t="array" ref="J284">IFERROR(IF(B284&lt;&gt;"",XLOOKUP(B284,FUNC!E:E,#REF!,"NO VIGENTE"),""),"")</f>
        <v/>
      </c>
      <c r="K284" s="216"/>
    </row>
    <row r="285" ht="18.0" customHeight="1">
      <c r="A285" s="212"/>
      <c r="B285" s="212"/>
      <c r="C285" s="212"/>
      <c r="D285" s="212"/>
      <c r="E285" s="212"/>
      <c r="F285" s="260"/>
      <c r="G285" s="248"/>
      <c r="H285" s="240">
        <f t="shared" si="5"/>
        <v>0</v>
      </c>
      <c r="I285" s="216" t="str">
        <f t="shared" si="6"/>
        <v/>
      </c>
      <c r="J285" s="216" t="str">
        <f t="array" ref="J285">IFERROR(IF(B285&lt;&gt;"",XLOOKUP(B285,FUNC!E:E,#REF!,"NO VIGENTE"),""),"")</f>
        <v/>
      </c>
      <c r="K285" s="216"/>
    </row>
    <row r="286" ht="18.0" customHeight="1">
      <c r="A286" s="212"/>
      <c r="B286" s="212"/>
      <c r="C286" s="212"/>
      <c r="D286" s="212"/>
      <c r="E286" s="212"/>
      <c r="F286" s="260"/>
      <c r="G286" s="248"/>
      <c r="H286" s="240">
        <f t="shared" si="5"/>
        <v>0</v>
      </c>
      <c r="I286" s="216" t="str">
        <f t="shared" si="6"/>
        <v/>
      </c>
      <c r="J286" s="216" t="str">
        <f t="array" ref="J286">IFERROR(IF(B286&lt;&gt;"",XLOOKUP(B286,FUNC!E:E,#REF!,"NO VIGENTE"),""),"")</f>
        <v/>
      </c>
      <c r="K286" s="216"/>
    </row>
    <row r="287" ht="18.0" customHeight="1">
      <c r="A287" s="212"/>
      <c r="B287" s="212"/>
      <c r="C287" s="212"/>
      <c r="D287" s="212"/>
      <c r="E287" s="212"/>
      <c r="F287" s="260"/>
      <c r="G287" s="248"/>
      <c r="H287" s="240">
        <f t="shared" si="5"/>
        <v>0</v>
      </c>
      <c r="I287" s="216" t="str">
        <f t="shared" si="6"/>
        <v/>
      </c>
      <c r="J287" s="216" t="str">
        <f t="array" ref="J287">IFERROR(IF(B287&lt;&gt;"",XLOOKUP(B287,FUNC!E:E,#REF!,"NO VIGENTE"),""),"")</f>
        <v/>
      </c>
      <c r="K287" s="216"/>
    </row>
    <row r="288" ht="18.0" customHeight="1">
      <c r="A288" s="212"/>
      <c r="B288" s="212"/>
      <c r="C288" s="212"/>
      <c r="D288" s="212"/>
      <c r="E288" s="212"/>
      <c r="F288" s="260"/>
      <c r="G288" s="248"/>
      <c r="H288" s="240">
        <f t="shared" si="5"/>
        <v>0</v>
      </c>
      <c r="I288" s="216" t="str">
        <f t="shared" si="6"/>
        <v/>
      </c>
      <c r="J288" s="216" t="str">
        <f t="array" ref="J288">IFERROR(IF(B288&lt;&gt;"",XLOOKUP(B288,FUNC!E:E,#REF!,"NO VIGENTE"),""),"")</f>
        <v/>
      </c>
      <c r="K288" s="216"/>
    </row>
    <row r="289" ht="18.0" customHeight="1">
      <c r="A289" s="212"/>
      <c r="B289" s="212"/>
      <c r="C289" s="212"/>
      <c r="D289" s="212"/>
      <c r="E289" s="212"/>
      <c r="F289" s="260"/>
      <c r="G289" s="248"/>
      <c r="H289" s="240">
        <f t="shared" si="5"/>
        <v>0</v>
      </c>
      <c r="I289" s="216" t="str">
        <f t="shared" si="6"/>
        <v/>
      </c>
      <c r="J289" s="216" t="str">
        <f t="array" ref="J289">IFERROR(IF(B289&lt;&gt;"",XLOOKUP(B289,FUNC!E:E,#REF!,"NO VIGENTE"),""),"")</f>
        <v/>
      </c>
      <c r="K289" s="216"/>
    </row>
    <row r="290" ht="18.0" customHeight="1">
      <c r="A290" s="212"/>
      <c r="B290" s="212"/>
      <c r="C290" s="212"/>
      <c r="D290" s="212"/>
      <c r="E290" s="212"/>
      <c r="F290" s="260"/>
      <c r="G290" s="248"/>
      <c r="H290" s="240">
        <f t="shared" si="5"/>
        <v>0</v>
      </c>
      <c r="I290" s="216" t="str">
        <f t="shared" si="6"/>
        <v/>
      </c>
      <c r="J290" s="216" t="str">
        <f t="array" ref="J290">IFERROR(IF(B290&lt;&gt;"",XLOOKUP(B290,FUNC!E:E,#REF!,"NO VIGENTE"),""),"")</f>
        <v/>
      </c>
      <c r="K290" s="216"/>
    </row>
    <row r="291" ht="18.0" customHeight="1">
      <c r="A291" s="212"/>
      <c r="B291" s="212"/>
      <c r="C291" s="212"/>
      <c r="D291" s="212"/>
      <c r="E291" s="212"/>
      <c r="F291" s="260"/>
      <c r="G291" s="248"/>
      <c r="H291" s="240">
        <f t="shared" si="5"/>
        <v>0</v>
      </c>
      <c r="I291" s="216" t="str">
        <f t="shared" si="6"/>
        <v/>
      </c>
      <c r="J291" s="216" t="str">
        <f t="array" ref="J291">IFERROR(IF(B291&lt;&gt;"",XLOOKUP(B291,FUNC!E:E,#REF!,"NO VIGENTE"),""),"")</f>
        <v/>
      </c>
      <c r="K291" s="216"/>
    </row>
    <row r="292" ht="18.0" customHeight="1">
      <c r="A292" s="212"/>
      <c r="B292" s="212"/>
      <c r="C292" s="212"/>
      <c r="D292" s="212"/>
      <c r="E292" s="212"/>
      <c r="F292" s="260"/>
      <c r="G292" s="248"/>
      <c r="H292" s="240">
        <f t="shared" si="5"/>
        <v>0</v>
      </c>
      <c r="I292" s="216" t="str">
        <f t="shared" si="6"/>
        <v/>
      </c>
      <c r="J292" s="216" t="str">
        <f t="array" ref="J292">IFERROR(IF(B292&lt;&gt;"",XLOOKUP(B292,FUNC!E:E,#REF!,"NO VIGENTE"),""),"")</f>
        <v/>
      </c>
      <c r="K292" s="216"/>
    </row>
    <row r="293" ht="18.0" customHeight="1">
      <c r="A293" s="212"/>
      <c r="B293" s="212"/>
      <c r="C293" s="212"/>
      <c r="D293" s="212"/>
      <c r="E293" s="212"/>
      <c r="F293" s="260"/>
      <c r="G293" s="248"/>
      <c r="H293" s="240">
        <f t="shared" si="5"/>
        <v>0</v>
      </c>
      <c r="I293" s="216" t="str">
        <f t="shared" si="6"/>
        <v/>
      </c>
      <c r="J293" s="216" t="str">
        <f t="array" ref="J293">IFERROR(IF(B293&lt;&gt;"",XLOOKUP(B293,FUNC!E:E,#REF!,"NO VIGENTE"),""),"")</f>
        <v/>
      </c>
      <c r="K293" s="216"/>
    </row>
    <row r="294" ht="18.0" customHeight="1">
      <c r="A294" s="212"/>
      <c r="B294" s="212"/>
      <c r="C294" s="212"/>
      <c r="D294" s="212"/>
      <c r="E294" s="212"/>
      <c r="F294" s="260"/>
      <c r="G294" s="248"/>
      <c r="H294" s="240">
        <f t="shared" si="5"/>
        <v>0</v>
      </c>
      <c r="I294" s="216" t="str">
        <f t="shared" si="6"/>
        <v/>
      </c>
      <c r="J294" s="216" t="str">
        <f t="array" ref="J294">IFERROR(IF(B294&lt;&gt;"",XLOOKUP(B294,FUNC!E:E,#REF!,"NO VIGENTE"),""),"")</f>
        <v/>
      </c>
      <c r="K294" s="216"/>
    </row>
    <row r="295" ht="18.0" customHeight="1">
      <c r="A295" s="212"/>
      <c r="B295" s="212"/>
      <c r="C295" s="212"/>
      <c r="D295" s="212"/>
      <c r="E295" s="212"/>
      <c r="F295" s="260"/>
      <c r="G295" s="248"/>
      <c r="H295" s="240">
        <f t="shared" si="5"/>
        <v>0</v>
      </c>
      <c r="I295" s="216" t="str">
        <f t="shared" si="6"/>
        <v/>
      </c>
      <c r="J295" s="216" t="str">
        <f t="array" ref="J295">IFERROR(IF(B295&lt;&gt;"",XLOOKUP(B295,FUNC!E:E,#REF!,"NO VIGENTE"),""),"")</f>
        <v/>
      </c>
      <c r="K295" s="216"/>
    </row>
    <row r="296" ht="18.0" customHeight="1">
      <c r="A296" s="212"/>
      <c r="B296" s="212"/>
      <c r="C296" s="212"/>
      <c r="D296" s="212"/>
      <c r="E296" s="212"/>
      <c r="F296" s="260"/>
      <c r="G296" s="248"/>
      <c r="H296" s="240">
        <f t="shared" si="5"/>
        <v>0</v>
      </c>
      <c r="I296" s="216" t="str">
        <f t="shared" si="6"/>
        <v/>
      </c>
      <c r="J296" s="216" t="str">
        <f t="array" ref="J296">IFERROR(IF(B296&lt;&gt;"",XLOOKUP(B296,FUNC!E:E,#REF!,"NO VIGENTE"),""),"")</f>
        <v/>
      </c>
      <c r="K296" s="216"/>
    </row>
    <row r="297" ht="18.0" customHeight="1">
      <c r="A297" s="212"/>
      <c r="B297" s="212"/>
      <c r="C297" s="212"/>
      <c r="D297" s="212"/>
      <c r="E297" s="212"/>
      <c r="F297" s="260"/>
      <c r="G297" s="248"/>
      <c r="H297" s="240">
        <f t="shared" si="5"/>
        <v>0</v>
      </c>
      <c r="I297" s="216" t="str">
        <f t="shared" si="6"/>
        <v/>
      </c>
      <c r="J297" s="216" t="str">
        <f t="array" ref="J297">IFERROR(IF(B297&lt;&gt;"",XLOOKUP(B297,FUNC!E:E,#REF!,"NO VIGENTE"),""),"")</f>
        <v/>
      </c>
      <c r="K297" s="216"/>
    </row>
    <row r="298" ht="18.0" customHeight="1">
      <c r="A298" s="212"/>
      <c r="B298" s="212"/>
      <c r="C298" s="212"/>
      <c r="D298" s="212"/>
      <c r="E298" s="212"/>
      <c r="F298" s="260"/>
      <c r="G298" s="248"/>
      <c r="H298" s="240">
        <f t="shared" si="5"/>
        <v>0</v>
      </c>
      <c r="I298" s="216" t="str">
        <f t="shared" si="6"/>
        <v/>
      </c>
      <c r="J298" s="216" t="str">
        <f t="array" ref="J298">IFERROR(IF(B298&lt;&gt;"",XLOOKUP(B298,FUNC!E:E,#REF!,"NO VIGENTE"),""),"")</f>
        <v/>
      </c>
      <c r="K298" s="216"/>
    </row>
    <row r="299" ht="18.0" customHeight="1">
      <c r="A299" s="212"/>
      <c r="B299" s="212"/>
      <c r="C299" s="212"/>
      <c r="D299" s="212"/>
      <c r="E299" s="212"/>
      <c r="F299" s="260"/>
      <c r="G299" s="248"/>
      <c r="H299" s="240">
        <f t="shared" si="5"/>
        <v>0</v>
      </c>
      <c r="I299" s="216" t="str">
        <f t="shared" si="6"/>
        <v/>
      </c>
      <c r="J299" s="216" t="str">
        <f t="array" ref="J299">IFERROR(IF(B299&lt;&gt;"",XLOOKUP(B299,FUNC!E:E,#REF!,"NO VIGENTE"),""),"")</f>
        <v/>
      </c>
      <c r="K299" s="216"/>
    </row>
    <row r="300" ht="18.0" customHeight="1">
      <c r="A300" s="212"/>
      <c r="B300" s="212"/>
      <c r="C300" s="212"/>
      <c r="D300" s="212"/>
      <c r="E300" s="212"/>
      <c r="F300" s="260"/>
      <c r="G300" s="248"/>
      <c r="H300" s="240">
        <f t="shared" si="5"/>
        <v>0</v>
      </c>
      <c r="I300" s="216" t="str">
        <f t="shared" si="6"/>
        <v/>
      </c>
      <c r="J300" s="216" t="str">
        <f t="array" ref="J300">IFERROR(IF(B300&lt;&gt;"",XLOOKUP(B300,FUNC!E:E,#REF!,"NO VIGENTE"),""),"")</f>
        <v/>
      </c>
      <c r="K300" s="216"/>
    </row>
    <row r="301" ht="18.0" customHeight="1">
      <c r="A301" s="212"/>
      <c r="B301" s="212"/>
      <c r="C301" s="212"/>
      <c r="D301" s="212"/>
      <c r="E301" s="212"/>
      <c r="F301" s="260"/>
      <c r="G301" s="248"/>
      <c r="H301" s="240">
        <f t="shared" si="5"/>
        <v>0</v>
      </c>
      <c r="I301" s="216" t="str">
        <f t="shared" si="6"/>
        <v/>
      </c>
      <c r="J301" s="216" t="str">
        <f t="array" ref="J301">IFERROR(IF(B301&lt;&gt;"",XLOOKUP(B301,FUNC!E:E,#REF!,"NO VIGENTE"),""),"")</f>
        <v/>
      </c>
      <c r="K301" s="216"/>
    </row>
    <row r="302" ht="18.0" customHeight="1">
      <c r="A302" s="212"/>
      <c r="B302" s="212"/>
      <c r="C302" s="212"/>
      <c r="D302" s="212"/>
      <c r="E302" s="212"/>
      <c r="F302" s="260"/>
      <c r="G302" s="248"/>
      <c r="H302" s="240">
        <f t="shared" si="5"/>
        <v>0</v>
      </c>
      <c r="I302" s="216" t="str">
        <f t="shared" si="6"/>
        <v/>
      </c>
      <c r="J302" s="216" t="str">
        <f t="array" ref="J302">IFERROR(IF(B302&lt;&gt;"",XLOOKUP(B302,FUNC!E:E,#REF!,"NO VIGENTE"),""),"")</f>
        <v/>
      </c>
      <c r="K302" s="216"/>
    </row>
    <row r="303" ht="18.0" customHeight="1">
      <c r="A303" s="212"/>
      <c r="B303" s="212"/>
      <c r="C303" s="212"/>
      <c r="D303" s="212"/>
      <c r="E303" s="212"/>
      <c r="F303" s="260"/>
      <c r="G303" s="248"/>
      <c r="H303" s="240">
        <f t="shared" si="5"/>
        <v>0</v>
      </c>
      <c r="I303" s="216" t="str">
        <f t="shared" si="6"/>
        <v/>
      </c>
      <c r="J303" s="216" t="str">
        <f t="array" ref="J303">IFERROR(IF(B303&lt;&gt;"",XLOOKUP(B303,FUNC!E:E,#REF!,"NO VIGENTE"),""),"")</f>
        <v/>
      </c>
      <c r="K303" s="216"/>
    </row>
    <row r="304" ht="18.0" customHeight="1">
      <c r="A304" s="212"/>
      <c r="B304" s="53"/>
      <c r="C304" s="212"/>
      <c r="D304" s="212"/>
      <c r="E304" s="212"/>
      <c r="F304" s="260"/>
      <c r="G304" s="248"/>
      <c r="H304" s="240">
        <f t="shared" si="5"/>
        <v>0</v>
      </c>
      <c r="I304" s="216" t="str">
        <f t="shared" si="6"/>
        <v/>
      </c>
      <c r="J304" s="216" t="str">
        <f t="array" ref="J304">IFERROR(IF(B304&lt;&gt;"",XLOOKUP(B304,FUNC!E:E,#REF!,"NO VIGENTE"),""),"")</f>
        <v/>
      </c>
      <c r="K304" s="216"/>
    </row>
    <row r="305" ht="18.0" customHeight="1">
      <c r="A305" s="212"/>
      <c r="B305" s="53"/>
      <c r="C305" s="212"/>
      <c r="D305" s="212"/>
      <c r="E305" s="212"/>
      <c r="F305" s="260"/>
      <c r="G305" s="248"/>
      <c r="H305" s="240">
        <f t="shared" si="5"/>
        <v>0</v>
      </c>
      <c r="I305" s="216" t="str">
        <f t="shared" si="6"/>
        <v/>
      </c>
      <c r="J305" s="216" t="str">
        <f t="array" ref="J305">IFERROR(IF(B305&lt;&gt;"",XLOOKUP(B305,FUNC!E:E,#REF!,"NO VIGENTE"),""),"")</f>
        <v/>
      </c>
      <c r="K305" s="216"/>
    </row>
    <row r="306" ht="18.0" customHeight="1">
      <c r="A306" s="212"/>
      <c r="B306" s="212"/>
      <c r="C306" s="212"/>
      <c r="D306" s="212"/>
      <c r="E306" s="212"/>
      <c r="F306" s="260"/>
      <c r="G306" s="248"/>
      <c r="H306" s="240">
        <f t="shared" si="5"/>
        <v>0</v>
      </c>
      <c r="I306" s="216" t="str">
        <f t="shared" si="6"/>
        <v/>
      </c>
      <c r="J306" s="216" t="str">
        <f t="array" ref="J306">IFERROR(IF(B306&lt;&gt;"",XLOOKUP(B306,FUNC!E:E,#REF!,"NO VIGENTE"),""),"")</f>
        <v/>
      </c>
      <c r="K306" s="216"/>
    </row>
    <row r="307" ht="18.0" customHeight="1">
      <c r="A307" s="212"/>
      <c r="B307" s="212"/>
      <c r="C307" s="212"/>
      <c r="D307" s="212"/>
      <c r="E307" s="212"/>
      <c r="F307" s="260"/>
      <c r="G307" s="248"/>
      <c r="H307" s="240">
        <f t="shared" si="5"/>
        <v>0</v>
      </c>
      <c r="I307" s="216" t="str">
        <f t="shared" si="6"/>
        <v/>
      </c>
      <c r="J307" s="216" t="str">
        <f t="array" ref="J307">IFERROR(IF(B307&lt;&gt;"",XLOOKUP(B307,FUNC!E:E,#REF!,"NO VIGENTE"),""),"")</f>
        <v/>
      </c>
      <c r="K307" s="216"/>
    </row>
    <row r="308" ht="18.0" customHeight="1">
      <c r="A308" s="212"/>
      <c r="B308" s="212"/>
      <c r="C308" s="212"/>
      <c r="D308" s="212"/>
      <c r="E308" s="212"/>
      <c r="F308" s="260"/>
      <c r="G308" s="248"/>
      <c r="H308" s="240">
        <f t="shared" si="5"/>
        <v>0</v>
      </c>
      <c r="I308" s="216" t="str">
        <f t="shared" si="6"/>
        <v/>
      </c>
      <c r="J308" s="216" t="str">
        <f t="array" ref="J308">IFERROR(IF(B308&lt;&gt;"",XLOOKUP(B308,FUNC!E:E,#REF!,"NO VIGENTE"),""),"")</f>
        <v/>
      </c>
      <c r="K308" s="216"/>
    </row>
    <row r="309" ht="18.0" customHeight="1">
      <c r="A309" s="212"/>
      <c r="B309" s="212"/>
      <c r="C309" s="212"/>
      <c r="D309" s="212"/>
      <c r="E309" s="212"/>
      <c r="F309" s="260"/>
      <c r="G309" s="248"/>
      <c r="H309" s="240">
        <f t="shared" si="5"/>
        <v>0</v>
      </c>
      <c r="I309" s="216" t="str">
        <f t="shared" si="6"/>
        <v/>
      </c>
      <c r="J309" s="216" t="str">
        <f t="array" ref="J309">IFERROR(IF(B309&lt;&gt;"",XLOOKUP(B309,FUNC!E:E,#REF!,"NO VIGENTE"),""),"")</f>
        <v/>
      </c>
      <c r="K309" s="216"/>
    </row>
    <row r="310" ht="18.0" customHeight="1">
      <c r="A310" s="212"/>
      <c r="B310" s="212"/>
      <c r="C310" s="212"/>
      <c r="D310" s="212"/>
      <c r="E310" s="212"/>
      <c r="F310" s="260"/>
      <c r="G310" s="248"/>
      <c r="H310" s="240">
        <f t="shared" si="5"/>
        <v>0</v>
      </c>
      <c r="I310" s="216" t="str">
        <f t="shared" si="6"/>
        <v/>
      </c>
      <c r="J310" s="216" t="str">
        <f t="array" ref="J310">IFERROR(IF(B310&lt;&gt;"",XLOOKUP(B310,FUNC!E:E,#REF!,"NO VIGENTE"),""),"")</f>
        <v/>
      </c>
      <c r="K310" s="216"/>
    </row>
    <row r="311" ht="18.0" customHeight="1">
      <c r="A311" s="212"/>
      <c r="B311" s="212"/>
      <c r="C311" s="212"/>
      <c r="D311" s="212"/>
      <c r="E311" s="212"/>
      <c r="F311" s="260"/>
      <c r="G311" s="248"/>
      <c r="H311" s="240">
        <f t="shared" si="5"/>
        <v>0</v>
      </c>
      <c r="I311" s="216" t="str">
        <f t="shared" si="6"/>
        <v/>
      </c>
      <c r="J311" s="216" t="str">
        <f t="array" ref="J311">IFERROR(IF(B311&lt;&gt;"",XLOOKUP(B311,FUNC!E:E,#REF!,"NO VIGENTE"),""),"")</f>
        <v/>
      </c>
      <c r="K311" s="216"/>
    </row>
    <row r="312" ht="18.0" customHeight="1">
      <c r="A312" s="212"/>
      <c r="B312" s="212"/>
      <c r="C312" s="212"/>
      <c r="D312" s="212"/>
      <c r="E312" s="212"/>
      <c r="F312" s="260"/>
      <c r="G312" s="248"/>
      <c r="H312" s="240">
        <f t="shared" si="5"/>
        <v>0</v>
      </c>
      <c r="I312" s="216" t="str">
        <f t="shared" si="6"/>
        <v/>
      </c>
      <c r="J312" s="216" t="str">
        <f t="array" ref="J312">IFERROR(IF(B312&lt;&gt;"",XLOOKUP(B312,FUNC!E:E,#REF!,"NO VIGENTE"),""),"")</f>
        <v/>
      </c>
      <c r="K312" s="216"/>
    </row>
    <row r="313" ht="18.0" customHeight="1">
      <c r="A313" s="212"/>
      <c r="B313" s="212"/>
      <c r="C313" s="212"/>
      <c r="D313" s="212"/>
      <c r="E313" s="212"/>
      <c r="F313" s="260"/>
      <c r="G313" s="248"/>
      <c r="H313" s="240">
        <f t="shared" si="5"/>
        <v>0</v>
      </c>
      <c r="I313" s="216" t="str">
        <f t="shared" si="6"/>
        <v/>
      </c>
      <c r="J313" s="216" t="str">
        <f t="array" ref="J313">IFERROR(IF(B313&lt;&gt;"",XLOOKUP(B313,FUNC!E:E,#REF!,"NO VIGENTE"),""),"")</f>
        <v/>
      </c>
      <c r="K313" s="216"/>
    </row>
    <row r="314" ht="18.0" customHeight="1">
      <c r="A314" s="212"/>
      <c r="B314" s="212"/>
      <c r="C314" s="212"/>
      <c r="D314" s="212"/>
      <c r="E314" s="212"/>
      <c r="F314" s="260"/>
      <c r="G314" s="248"/>
      <c r="H314" s="240">
        <f t="shared" si="5"/>
        <v>0</v>
      </c>
      <c r="I314" s="216" t="str">
        <f t="shared" si="6"/>
        <v/>
      </c>
      <c r="J314" s="216" t="str">
        <f t="array" ref="J314">IFERROR(IF(B314&lt;&gt;"",XLOOKUP(B314,FUNC!E:E,#REF!,"NO VIGENTE"),""),"")</f>
        <v/>
      </c>
      <c r="K314" s="216"/>
    </row>
    <row r="315" ht="18.0" customHeight="1">
      <c r="A315" s="212"/>
      <c r="B315" s="212"/>
      <c r="C315" s="212"/>
      <c r="D315" s="212"/>
      <c r="E315" s="212"/>
      <c r="F315" s="260"/>
      <c r="G315" s="248"/>
      <c r="H315" s="240">
        <f t="shared" si="5"/>
        <v>0</v>
      </c>
      <c r="I315" s="216" t="str">
        <f t="shared" si="6"/>
        <v/>
      </c>
      <c r="J315" s="216" t="str">
        <f t="array" ref="J315">IFERROR(IF(B315&lt;&gt;"",XLOOKUP(B315,FUNC!E:E,#REF!,"NO VIGENTE"),""),"")</f>
        <v/>
      </c>
      <c r="K315" s="216"/>
    </row>
    <row r="316" ht="18.0" customHeight="1">
      <c r="A316" s="212"/>
      <c r="B316" s="212"/>
      <c r="C316" s="212"/>
      <c r="D316" s="212"/>
      <c r="E316" s="212"/>
      <c r="F316" s="260"/>
      <c r="G316" s="248"/>
      <c r="H316" s="240">
        <f t="shared" si="5"/>
        <v>0</v>
      </c>
      <c r="I316" s="216" t="str">
        <f t="shared" si="6"/>
        <v/>
      </c>
      <c r="J316" s="216" t="str">
        <f t="array" ref="J316">IFERROR(IF(B316&lt;&gt;"",XLOOKUP(B316,FUNC!E:E,#REF!,"NO VIGENTE"),""),"")</f>
        <v/>
      </c>
      <c r="K316" s="216"/>
    </row>
    <row r="317" ht="18.0" customHeight="1">
      <c r="A317" s="212"/>
      <c r="B317" s="212"/>
      <c r="C317" s="212"/>
      <c r="D317" s="212"/>
      <c r="E317" s="212"/>
      <c r="F317" s="260"/>
      <c r="G317" s="248"/>
      <c r="H317" s="240">
        <f t="shared" si="5"/>
        <v>0</v>
      </c>
      <c r="I317" s="216" t="str">
        <f t="shared" si="6"/>
        <v/>
      </c>
      <c r="J317" s="216" t="str">
        <f t="array" ref="J317">IFERROR(IF(B317&lt;&gt;"",XLOOKUP(B317,FUNC!E:E,#REF!,"NO VIGENTE"),""),"")</f>
        <v/>
      </c>
      <c r="K317" s="216"/>
    </row>
    <row r="318" ht="18.0" customHeight="1">
      <c r="A318" s="212"/>
      <c r="B318" s="212"/>
      <c r="C318" s="212"/>
      <c r="D318" s="212"/>
      <c r="E318" s="212"/>
      <c r="F318" s="260"/>
      <c r="G318" s="248"/>
      <c r="H318" s="240">
        <f t="shared" si="5"/>
        <v>0</v>
      </c>
      <c r="I318" s="216" t="str">
        <f t="shared" si="6"/>
        <v/>
      </c>
      <c r="J318" s="216" t="str">
        <f t="array" ref="J318">IFERROR(IF(B318&lt;&gt;"",XLOOKUP(B318,FUNC!E:E,#REF!,"NO VIGENTE"),""),"")</f>
        <v/>
      </c>
      <c r="K318" s="216"/>
    </row>
    <row r="319" ht="18.0" customHeight="1">
      <c r="A319" s="212"/>
      <c r="B319" s="249"/>
      <c r="C319" s="212"/>
      <c r="D319" s="212"/>
      <c r="E319" s="212"/>
      <c r="F319" s="260"/>
      <c r="G319" s="248"/>
      <c r="H319" s="240">
        <f t="shared" si="5"/>
        <v>0</v>
      </c>
      <c r="I319" s="216" t="str">
        <f t="shared" si="6"/>
        <v/>
      </c>
      <c r="J319" s="216" t="str">
        <f t="array" ref="J319">IFERROR(IF(B319&lt;&gt;"",XLOOKUP(B319,FUNC!E:E,#REF!,"NO VIGENTE"),""),"")</f>
        <v/>
      </c>
      <c r="K319" s="216"/>
    </row>
    <row r="320" ht="18.0" customHeight="1">
      <c r="A320" s="212"/>
      <c r="B320" s="212"/>
      <c r="C320" s="212"/>
      <c r="D320" s="212"/>
      <c r="E320" s="212"/>
      <c r="F320" s="260"/>
      <c r="G320" s="248"/>
      <c r="H320" s="240">
        <f t="shared" si="5"/>
        <v>0</v>
      </c>
      <c r="I320" s="216" t="str">
        <f t="shared" si="6"/>
        <v/>
      </c>
      <c r="J320" s="216" t="str">
        <f t="array" ref="J320">IFERROR(IF(B320&lt;&gt;"",XLOOKUP(B320,FUNC!E:E,#REF!,"NO VIGENTE"),""),"")</f>
        <v/>
      </c>
      <c r="K320" s="216"/>
    </row>
    <row r="321" ht="18.0" customHeight="1">
      <c r="A321" s="212"/>
      <c r="B321" s="212"/>
      <c r="C321" s="212"/>
      <c r="D321" s="212"/>
      <c r="E321" s="212"/>
      <c r="F321" s="260"/>
      <c r="G321" s="248"/>
      <c r="H321" s="240">
        <f t="shared" si="5"/>
        <v>0</v>
      </c>
      <c r="I321" s="216" t="str">
        <f t="shared" si="6"/>
        <v/>
      </c>
      <c r="J321" s="216" t="str">
        <f t="array" ref="J321">IFERROR(IF(B321&lt;&gt;"",XLOOKUP(B321,FUNC!E:E,#REF!,"NO VIGENTE"),""),"")</f>
        <v/>
      </c>
      <c r="K321" s="216"/>
    </row>
    <row r="322" ht="18.0" customHeight="1">
      <c r="A322" s="212"/>
      <c r="B322" s="212"/>
      <c r="C322" s="212"/>
      <c r="D322" s="212"/>
      <c r="E322" s="212"/>
      <c r="F322" s="260"/>
      <c r="G322" s="248"/>
      <c r="H322" s="240">
        <f t="shared" si="5"/>
        <v>0</v>
      </c>
      <c r="I322" s="216" t="str">
        <f t="shared" si="6"/>
        <v/>
      </c>
      <c r="J322" s="216" t="str">
        <f t="array" ref="J322">IFERROR(IF(B322&lt;&gt;"",XLOOKUP(B322,FUNC!E:E,#REF!,"NO VIGENTE"),""),"")</f>
        <v/>
      </c>
      <c r="K322" s="216"/>
    </row>
    <row r="323" ht="18.0" customHeight="1">
      <c r="A323" s="212"/>
      <c r="B323" s="212"/>
      <c r="C323" s="212"/>
      <c r="D323" s="212"/>
      <c r="E323" s="212"/>
      <c r="F323" s="260"/>
      <c r="G323" s="248"/>
      <c r="H323" s="240">
        <f t="shared" si="5"/>
        <v>0</v>
      </c>
      <c r="I323" s="216" t="str">
        <f t="shared" si="6"/>
        <v/>
      </c>
      <c r="J323" s="216" t="str">
        <f t="array" ref="J323">IFERROR(IF(B323&lt;&gt;"",XLOOKUP(B323,FUNC!E:E,#REF!,"NO VIGENTE"),""),"")</f>
        <v/>
      </c>
      <c r="K323" s="216"/>
    </row>
    <row r="324" ht="18.0" customHeight="1">
      <c r="A324" s="212"/>
      <c r="B324" s="212"/>
      <c r="C324" s="212"/>
      <c r="D324" s="212"/>
      <c r="E324" s="212"/>
      <c r="F324" s="260"/>
      <c r="G324" s="248"/>
      <c r="H324" s="240">
        <f t="shared" si="5"/>
        <v>0</v>
      </c>
      <c r="I324" s="216" t="str">
        <f t="shared" si="6"/>
        <v/>
      </c>
      <c r="J324" s="216" t="str">
        <f t="array" ref="J324">IFERROR(IF(B324&lt;&gt;"",XLOOKUP(B324,FUNC!E:E,#REF!,"NO VIGENTE"),""),"")</f>
        <v/>
      </c>
      <c r="K324" s="216"/>
    </row>
    <row r="325" ht="18.0" customHeight="1">
      <c r="A325" s="212"/>
      <c r="B325" s="212"/>
      <c r="C325" s="212"/>
      <c r="D325" s="212"/>
      <c r="E325" s="212"/>
      <c r="F325" s="260"/>
      <c r="G325" s="248"/>
      <c r="H325" s="240">
        <f t="shared" si="5"/>
        <v>0</v>
      </c>
      <c r="I325" s="216" t="str">
        <f t="shared" si="6"/>
        <v/>
      </c>
      <c r="J325" s="216" t="str">
        <f t="array" ref="J325">IFERROR(IF(B325&lt;&gt;"",XLOOKUP(B325,FUNC!E:E,#REF!,"NO VIGENTE"),""),"")</f>
        <v/>
      </c>
      <c r="K325" s="216"/>
    </row>
    <row r="326" ht="18.0" customHeight="1">
      <c r="A326" s="212"/>
      <c r="B326" s="212"/>
      <c r="C326" s="212"/>
      <c r="D326" s="212"/>
      <c r="E326" s="212"/>
      <c r="F326" s="260"/>
      <c r="G326" s="248"/>
      <c r="H326" s="240">
        <f t="shared" si="5"/>
        <v>0</v>
      </c>
      <c r="I326" s="216" t="str">
        <f t="shared" si="6"/>
        <v/>
      </c>
      <c r="J326" s="216" t="str">
        <f t="array" ref="J326">IFERROR(IF(B326&lt;&gt;"",XLOOKUP(B326,FUNC!E:E,#REF!,"NO VIGENTE"),""),"")</f>
        <v/>
      </c>
      <c r="K326" s="216"/>
    </row>
    <row r="327" ht="18.0" customHeight="1">
      <c r="A327" s="212"/>
      <c r="B327" s="212"/>
      <c r="C327" s="212"/>
      <c r="D327" s="212"/>
      <c r="E327" s="212"/>
      <c r="F327" s="260"/>
      <c r="G327" s="248"/>
      <c r="H327" s="240">
        <f t="shared" si="5"/>
        <v>0</v>
      </c>
      <c r="I327" s="216" t="str">
        <f t="shared" si="6"/>
        <v/>
      </c>
      <c r="J327" s="216" t="str">
        <f t="array" ref="J327">IFERROR(IF(B327&lt;&gt;"",XLOOKUP(B327,FUNC!E:E,#REF!,"NO VIGENTE"),""),"")</f>
        <v/>
      </c>
      <c r="K327" s="216"/>
    </row>
    <row r="328" ht="18.0" customHeight="1">
      <c r="A328" s="212"/>
      <c r="B328" s="212"/>
      <c r="C328" s="212"/>
      <c r="D328" s="212"/>
      <c r="E328" s="212"/>
      <c r="F328" s="260"/>
      <c r="G328" s="248"/>
      <c r="H328" s="240">
        <f t="shared" si="5"/>
        <v>0</v>
      </c>
      <c r="I328" s="216" t="str">
        <f t="shared" si="6"/>
        <v/>
      </c>
      <c r="J328" s="216" t="str">
        <f t="array" ref="J328">IFERROR(IF(B328&lt;&gt;"",XLOOKUP(B328,FUNC!E:E,#REF!,"NO VIGENTE"),""),"")</f>
        <v/>
      </c>
      <c r="K328" s="216"/>
    </row>
    <row r="329" ht="18.0" customHeight="1">
      <c r="A329" s="212"/>
      <c r="B329" s="212"/>
      <c r="C329" s="212"/>
      <c r="D329" s="212"/>
      <c r="E329" s="212"/>
      <c r="F329" s="260"/>
      <c r="G329" s="248"/>
      <c r="H329" s="240">
        <f t="shared" si="5"/>
        <v>0</v>
      </c>
      <c r="I329" s="216" t="str">
        <f t="shared" si="6"/>
        <v/>
      </c>
      <c r="J329" s="216" t="str">
        <f t="array" ref="J329">IFERROR(IF(B329&lt;&gt;"",XLOOKUP(B329,FUNC!E:E,#REF!,"NO VIGENTE"),""),"")</f>
        <v/>
      </c>
      <c r="K329" s="216"/>
    </row>
    <row r="330" ht="18.0" customHeight="1">
      <c r="A330" s="212"/>
      <c r="B330" s="212"/>
      <c r="C330" s="212"/>
      <c r="D330" s="212"/>
      <c r="E330" s="212"/>
      <c r="F330" s="260"/>
      <c r="G330" s="248"/>
      <c r="H330" s="240">
        <f t="shared" si="5"/>
        <v>0</v>
      </c>
      <c r="I330" s="216" t="str">
        <f t="shared" si="6"/>
        <v/>
      </c>
      <c r="J330" s="216" t="str">
        <f t="array" ref="J330">IFERROR(IF(B330&lt;&gt;"",XLOOKUP(B330,FUNC!E:E,#REF!,"NO VIGENTE"),""),"")</f>
        <v/>
      </c>
      <c r="K330" s="216"/>
    </row>
    <row r="331" ht="18.0" customHeight="1">
      <c r="A331" s="212"/>
      <c r="B331" s="212"/>
      <c r="C331" s="212"/>
      <c r="D331" s="212"/>
      <c r="E331" s="212"/>
      <c r="F331" s="260"/>
      <c r="G331" s="248"/>
      <c r="H331" s="240">
        <f t="shared" si="5"/>
        <v>0</v>
      </c>
      <c r="I331" s="216" t="str">
        <f t="shared" si="6"/>
        <v/>
      </c>
      <c r="J331" s="216" t="str">
        <f t="array" ref="J331">IFERROR(IF(B331&lt;&gt;"",XLOOKUP(B331,FUNC!E:E,#REF!,"NO VIGENTE"),""),"")</f>
        <v/>
      </c>
      <c r="K331" s="216"/>
    </row>
    <row r="332" ht="18.0" customHeight="1">
      <c r="A332" s="212"/>
      <c r="B332" s="212"/>
      <c r="C332" s="212"/>
      <c r="D332" s="212"/>
      <c r="E332" s="212"/>
      <c r="F332" s="260"/>
      <c r="G332" s="248"/>
      <c r="H332" s="240">
        <f t="shared" si="5"/>
        <v>0</v>
      </c>
      <c r="I332" s="216" t="str">
        <f t="shared" si="6"/>
        <v/>
      </c>
      <c r="J332" s="216" t="str">
        <f t="array" ref="J332">IFERROR(IF(B332&lt;&gt;"",XLOOKUP(B332,FUNC!E:E,#REF!,"NO VIGENTE"),""),"")</f>
        <v/>
      </c>
      <c r="K332" s="216"/>
    </row>
    <row r="333" ht="18.0" customHeight="1">
      <c r="A333" s="212"/>
      <c r="B333" s="212"/>
      <c r="C333" s="212"/>
      <c r="D333" s="212"/>
      <c r="E333" s="212"/>
      <c r="F333" s="260"/>
      <c r="G333" s="248"/>
      <c r="H333" s="240">
        <f t="shared" si="5"/>
        <v>0</v>
      </c>
      <c r="I333" s="216" t="str">
        <f t="shared" si="6"/>
        <v/>
      </c>
      <c r="J333" s="216" t="str">
        <f t="array" ref="J333">IFERROR(IF(B333&lt;&gt;"",XLOOKUP(B333,FUNC!E:E,#REF!,"NO VIGENTE"),""),"")</f>
        <v/>
      </c>
      <c r="K333" s="216"/>
    </row>
    <row r="334" ht="18.0" customHeight="1">
      <c r="A334" s="212"/>
      <c r="B334" s="249"/>
      <c r="C334" s="212"/>
      <c r="D334" s="212"/>
      <c r="E334" s="212"/>
      <c r="F334" s="260"/>
      <c r="G334" s="248"/>
      <c r="H334" s="240">
        <f t="shared" si="5"/>
        <v>0</v>
      </c>
      <c r="I334" s="216" t="str">
        <f t="shared" si="6"/>
        <v/>
      </c>
      <c r="J334" s="216" t="str">
        <f t="array" ref="J334">IFERROR(IF(B334&lt;&gt;"",XLOOKUP(B334,FUNC!E:E,#REF!,"NO VIGENTE"),""),"")</f>
        <v/>
      </c>
      <c r="K334" s="216"/>
    </row>
    <row r="335" ht="18.0" customHeight="1">
      <c r="A335" s="212"/>
      <c r="B335" s="212"/>
      <c r="C335" s="212"/>
      <c r="D335" s="212"/>
      <c r="E335" s="212"/>
      <c r="F335" s="260"/>
      <c r="G335" s="248"/>
      <c r="H335" s="240">
        <f t="shared" si="5"/>
        <v>0</v>
      </c>
      <c r="I335" s="216" t="str">
        <f t="shared" si="6"/>
        <v/>
      </c>
      <c r="J335" s="216" t="str">
        <f t="array" ref="J335">IFERROR(IF(B335&lt;&gt;"",XLOOKUP(B335,FUNC!E:E,#REF!,"NO VIGENTE"),""),"")</f>
        <v/>
      </c>
      <c r="K335" s="216"/>
    </row>
    <row r="336" ht="18.0" customHeight="1">
      <c r="A336" s="212"/>
      <c r="B336" s="212"/>
      <c r="C336" s="212"/>
      <c r="D336" s="212"/>
      <c r="E336" s="212"/>
      <c r="F336" s="260"/>
      <c r="G336" s="248"/>
      <c r="H336" s="240">
        <f t="shared" si="5"/>
        <v>0</v>
      </c>
      <c r="I336" s="216" t="str">
        <f t="shared" si="6"/>
        <v/>
      </c>
      <c r="J336" s="216" t="str">
        <f t="array" ref="J336">IFERROR(IF(B336&lt;&gt;"",XLOOKUP(B336,FUNC!E:E,#REF!,"NO VIGENTE"),""),"")</f>
        <v/>
      </c>
      <c r="K336" s="216"/>
    </row>
    <row r="337" ht="18.0" customHeight="1">
      <c r="A337" s="212"/>
      <c r="B337" s="212"/>
      <c r="C337" s="212"/>
      <c r="D337" s="212"/>
      <c r="E337" s="212"/>
      <c r="F337" s="260"/>
      <c r="G337" s="248"/>
      <c r="H337" s="240">
        <f t="shared" si="5"/>
        <v>0</v>
      </c>
      <c r="I337" s="216" t="str">
        <f t="shared" si="6"/>
        <v/>
      </c>
      <c r="J337" s="216" t="str">
        <f t="array" ref="J337">IFERROR(IF(B337&lt;&gt;"",XLOOKUP(B337,FUNC!E:E,#REF!,"NO VIGENTE"),""),"")</f>
        <v/>
      </c>
      <c r="K337" s="216"/>
    </row>
    <row r="338" ht="18.0" customHeight="1">
      <c r="A338" s="212"/>
      <c r="B338" s="212"/>
      <c r="C338" s="212"/>
      <c r="D338" s="212"/>
      <c r="E338" s="212"/>
      <c r="F338" s="260"/>
      <c r="G338" s="248"/>
      <c r="H338" s="240">
        <f t="shared" si="5"/>
        <v>0</v>
      </c>
      <c r="I338" s="216" t="str">
        <f t="shared" si="6"/>
        <v/>
      </c>
      <c r="J338" s="216" t="str">
        <f t="array" ref="J338">IFERROR(IF(B338&lt;&gt;"",XLOOKUP(B338,FUNC!E:E,#REF!,"NO VIGENTE"),""),"")</f>
        <v/>
      </c>
      <c r="K338" s="216"/>
    </row>
    <row r="339" ht="18.0" customHeight="1">
      <c r="A339" s="212"/>
      <c r="B339" s="212"/>
      <c r="C339" s="212"/>
      <c r="D339" s="212"/>
      <c r="E339" s="212"/>
      <c r="F339" s="260"/>
      <c r="G339" s="248"/>
      <c r="H339" s="240">
        <f t="shared" si="5"/>
        <v>0</v>
      </c>
      <c r="I339" s="216" t="str">
        <f t="shared" si="6"/>
        <v/>
      </c>
      <c r="J339" s="216" t="str">
        <f t="array" ref="J339">IFERROR(IF(B339&lt;&gt;"",XLOOKUP(B339,FUNC!E:E,#REF!,"NO VIGENTE"),""),"")</f>
        <v/>
      </c>
      <c r="K339" s="216"/>
    </row>
    <row r="340" ht="18.0" customHeight="1">
      <c r="A340" s="212"/>
      <c r="B340" s="212"/>
      <c r="C340" s="212"/>
      <c r="D340" s="212"/>
      <c r="E340" s="212"/>
      <c r="F340" s="260"/>
      <c r="G340" s="248"/>
      <c r="H340" s="240">
        <f t="shared" si="5"/>
        <v>0</v>
      </c>
      <c r="I340" s="216" t="str">
        <f t="shared" si="6"/>
        <v/>
      </c>
      <c r="J340" s="216" t="str">
        <f t="array" ref="J340">IFERROR(IF(B340&lt;&gt;"",XLOOKUP(B340,FUNC!E:E,#REF!,"NO VIGENTE"),""),"")</f>
        <v/>
      </c>
      <c r="K340" s="216"/>
    </row>
    <row r="341" ht="18.0" customHeight="1">
      <c r="A341" s="212"/>
      <c r="B341" s="212"/>
      <c r="C341" s="212"/>
      <c r="D341" s="212"/>
      <c r="E341" s="212"/>
      <c r="F341" s="260"/>
      <c r="G341" s="248"/>
      <c r="H341" s="240">
        <f t="shared" si="5"/>
        <v>0</v>
      </c>
      <c r="I341" s="216" t="str">
        <f t="shared" si="6"/>
        <v/>
      </c>
      <c r="J341" s="216" t="str">
        <f t="array" ref="J341">IFERROR(IF(B341&lt;&gt;"",XLOOKUP(B341,FUNC!E:E,#REF!,"NO VIGENTE"),""),"")</f>
        <v/>
      </c>
      <c r="K341" s="216"/>
    </row>
    <row r="342" ht="18.0" customHeight="1">
      <c r="A342" s="212"/>
      <c r="B342" s="212"/>
      <c r="C342" s="212"/>
      <c r="D342" s="212"/>
      <c r="E342" s="212"/>
      <c r="F342" s="260"/>
      <c r="G342" s="248"/>
      <c r="H342" s="240">
        <f t="shared" si="5"/>
        <v>0</v>
      </c>
      <c r="I342" s="216" t="str">
        <f t="shared" si="6"/>
        <v/>
      </c>
      <c r="J342" s="216" t="str">
        <f t="array" ref="J342">IFERROR(IF(B342&lt;&gt;"",XLOOKUP(B342,FUNC!E:E,#REF!,"NO VIGENTE"),""),"")</f>
        <v/>
      </c>
      <c r="K342" s="216"/>
    </row>
    <row r="343" ht="18.0" customHeight="1">
      <c r="A343" s="212"/>
      <c r="B343" s="212"/>
      <c r="C343" s="212"/>
      <c r="D343" s="212"/>
      <c r="E343" s="212"/>
      <c r="F343" s="260"/>
      <c r="G343" s="248"/>
      <c r="H343" s="240">
        <f t="shared" si="5"/>
        <v>0</v>
      </c>
      <c r="I343" s="216" t="str">
        <f t="shared" si="6"/>
        <v/>
      </c>
      <c r="J343" s="216" t="s">
        <v>303</v>
      </c>
      <c r="K343" s="216"/>
    </row>
    <row r="344" ht="18.0" customHeight="1">
      <c r="A344" s="212"/>
      <c r="B344" s="212"/>
      <c r="C344" s="212"/>
      <c r="D344" s="212"/>
      <c r="E344" s="212"/>
      <c r="F344" s="260"/>
      <c r="G344" s="248"/>
      <c r="H344" s="240">
        <f t="shared" si="5"/>
        <v>0</v>
      </c>
      <c r="I344" s="216" t="str">
        <f t="shared" si="6"/>
        <v/>
      </c>
      <c r="J344" s="216" t="s">
        <v>303</v>
      </c>
      <c r="K344" s="216"/>
    </row>
    <row r="345" ht="18.0" customHeight="1">
      <c r="A345" s="212"/>
      <c r="B345" s="212"/>
      <c r="C345" s="212"/>
      <c r="D345" s="212"/>
      <c r="E345" s="212"/>
      <c r="F345" s="260"/>
      <c r="G345" s="248"/>
      <c r="H345" s="240">
        <f t="shared" si="5"/>
        <v>0</v>
      </c>
      <c r="I345" s="216" t="str">
        <f t="shared" si="6"/>
        <v/>
      </c>
      <c r="J345" s="216" t="str">
        <f t="array" ref="J345">IFERROR(IF(B345&lt;&gt;"",XLOOKUP(B345,FUNC!E:E,#REF!,"NO VIGENTE"),""),"")</f>
        <v/>
      </c>
      <c r="K345" s="216"/>
    </row>
    <row r="346" ht="18.0" customHeight="1">
      <c r="A346" s="212"/>
      <c r="B346" s="212"/>
      <c r="C346" s="212"/>
      <c r="D346" s="212"/>
      <c r="E346" s="212"/>
      <c r="F346" s="260"/>
      <c r="G346" s="248"/>
      <c r="H346" s="240">
        <f t="shared" si="5"/>
        <v>0</v>
      </c>
      <c r="I346" s="216" t="str">
        <f t="shared" si="6"/>
        <v/>
      </c>
      <c r="J346" s="216" t="str">
        <f t="array" ref="J346">IFERROR(IF(B346&lt;&gt;"",XLOOKUP(B346,FUNC!E:E,#REF!,"NO VIGENTE"),""),"")</f>
        <v/>
      </c>
      <c r="K346" s="216"/>
    </row>
    <row r="347" ht="18.0" customHeight="1">
      <c r="A347" s="212"/>
      <c r="B347" s="212"/>
      <c r="C347" s="212"/>
      <c r="D347" s="212"/>
      <c r="E347" s="212"/>
      <c r="F347" s="260"/>
      <c r="G347" s="248"/>
      <c r="H347" s="240">
        <f t="shared" si="5"/>
        <v>0</v>
      </c>
      <c r="I347" s="216" t="str">
        <f t="shared" si="6"/>
        <v/>
      </c>
      <c r="J347" s="216" t="str">
        <f t="array" ref="J347">IFERROR(IF(B347&lt;&gt;"",XLOOKUP(B347,FUNC!E:E,#REF!,"NO VIGENTE"),""),"")</f>
        <v/>
      </c>
      <c r="K347" s="216"/>
    </row>
    <row r="348" ht="18.0" customHeight="1">
      <c r="A348" s="212"/>
      <c r="B348" s="212"/>
      <c r="C348" s="212"/>
      <c r="D348" s="212"/>
      <c r="E348" s="212"/>
      <c r="F348" s="260"/>
      <c r="G348" s="248"/>
      <c r="H348" s="240">
        <f t="shared" si="5"/>
        <v>0</v>
      </c>
      <c r="I348" s="216" t="str">
        <f t="shared" si="6"/>
        <v/>
      </c>
      <c r="J348" s="216" t="str">
        <f t="array" ref="J348">IFERROR(IF(B348&lt;&gt;"",XLOOKUP(B348,FUNC!E:E,#REF!,"NO VIGENTE"),""),"")</f>
        <v/>
      </c>
      <c r="K348" s="216"/>
    </row>
    <row r="349" ht="18.0" customHeight="1">
      <c r="A349" s="212"/>
      <c r="B349" s="212"/>
      <c r="C349" s="212"/>
      <c r="D349" s="212"/>
      <c r="E349" s="212"/>
      <c r="F349" s="260"/>
      <c r="G349" s="248"/>
      <c r="H349" s="240">
        <f t="shared" si="5"/>
        <v>0</v>
      </c>
      <c r="I349" s="216" t="str">
        <f t="shared" si="6"/>
        <v/>
      </c>
      <c r="J349" s="216" t="str">
        <f t="array" ref="J349">IFERROR(IF(B349&lt;&gt;"",XLOOKUP(B349,FUNC!E:E,#REF!,"NO VIGENTE"),""),"")</f>
        <v/>
      </c>
      <c r="K349" s="216"/>
    </row>
    <row r="350" ht="18.0" customHeight="1">
      <c r="A350" s="212"/>
      <c r="B350" s="212"/>
      <c r="C350" s="212"/>
      <c r="D350" s="212"/>
      <c r="E350" s="212"/>
      <c r="F350" s="260"/>
      <c r="G350" s="248"/>
      <c r="H350" s="240">
        <f t="shared" si="5"/>
        <v>0</v>
      </c>
      <c r="I350" s="216" t="str">
        <f t="shared" si="6"/>
        <v/>
      </c>
      <c r="J350" s="216" t="str">
        <f t="array" ref="J350">IFERROR(IF(B350&lt;&gt;"",XLOOKUP(B350,FUNC!E:E,#REF!,"NO VIGENTE"),""),"")</f>
        <v/>
      </c>
      <c r="K350" s="216"/>
    </row>
    <row r="351" ht="18.0" customHeight="1">
      <c r="A351" s="212"/>
      <c r="B351" s="212"/>
      <c r="C351" s="212"/>
      <c r="D351" s="212"/>
      <c r="E351" s="212"/>
      <c r="F351" s="260"/>
      <c r="G351" s="248"/>
      <c r="H351" s="240">
        <f t="shared" si="5"/>
        <v>0</v>
      </c>
      <c r="I351" s="216" t="str">
        <f t="shared" si="6"/>
        <v/>
      </c>
      <c r="J351" s="216" t="str">
        <f t="array" ref="J351">IFERROR(IF(B351&lt;&gt;"",XLOOKUP(B351,FUNC!E:E,#REF!,"NO VIGENTE"),""),"")</f>
        <v/>
      </c>
      <c r="K351" s="216"/>
    </row>
    <row r="352" ht="18.0" customHeight="1">
      <c r="A352" s="212"/>
      <c r="B352" s="212"/>
      <c r="C352" s="212"/>
      <c r="D352" s="212"/>
      <c r="E352" s="212"/>
      <c r="F352" s="260"/>
      <c r="G352" s="248"/>
      <c r="H352" s="240">
        <f t="shared" si="5"/>
        <v>0</v>
      </c>
      <c r="I352" s="216" t="str">
        <f t="shared" si="6"/>
        <v/>
      </c>
      <c r="J352" s="216" t="str">
        <f t="array" ref="J352">IFERROR(IF(B352&lt;&gt;"",XLOOKUP(B352,FUNC!E:E,#REF!,"NO VIGENTE"),""),"")</f>
        <v/>
      </c>
      <c r="K352" s="216"/>
    </row>
    <row r="353" ht="18.0" customHeight="1">
      <c r="A353" s="212"/>
      <c r="B353" s="212"/>
      <c r="C353" s="212"/>
      <c r="D353" s="212"/>
      <c r="E353" s="212"/>
      <c r="F353" s="260"/>
      <c r="G353" s="248"/>
      <c r="H353" s="240">
        <f t="shared" si="5"/>
        <v>0</v>
      </c>
      <c r="I353" s="216" t="str">
        <f t="shared" si="6"/>
        <v/>
      </c>
      <c r="J353" s="216" t="str">
        <f t="array" ref="J353">IFERROR(IF(B353&lt;&gt;"",XLOOKUP(B353,FUNC!E:E,#REF!,"NO VIGENTE"),""),"")</f>
        <v/>
      </c>
      <c r="K353" s="216"/>
    </row>
    <row r="354" ht="18.0" customHeight="1">
      <c r="A354" s="212"/>
      <c r="B354" s="212"/>
      <c r="C354" s="212"/>
      <c r="D354" s="212"/>
      <c r="E354" s="212"/>
      <c r="F354" s="260"/>
      <c r="G354" s="248"/>
      <c r="H354" s="240">
        <f t="shared" si="5"/>
        <v>0</v>
      </c>
      <c r="I354" s="216" t="str">
        <f t="shared" si="6"/>
        <v/>
      </c>
      <c r="J354" s="216" t="str">
        <f t="array" ref="J354">IFERROR(IF(B354&lt;&gt;"",XLOOKUP(B354,FUNC!E:E,#REF!,"NO VIGENTE"),""),"")</f>
        <v/>
      </c>
      <c r="K354" s="216"/>
    </row>
    <row r="355" ht="18.0" customHeight="1">
      <c r="A355" s="212"/>
      <c r="B355" s="212"/>
      <c r="C355" s="212"/>
      <c r="D355" s="212"/>
      <c r="E355" s="212"/>
      <c r="F355" s="260"/>
      <c r="G355" s="248"/>
      <c r="H355" s="240">
        <f t="shared" si="5"/>
        <v>0</v>
      </c>
      <c r="I355" s="216" t="str">
        <f t="shared" si="6"/>
        <v/>
      </c>
      <c r="J355" s="216" t="str">
        <f t="array" ref="J355">IFERROR(IF(B355&lt;&gt;"",XLOOKUP(B355,FUNC!E:E,#REF!,"NO VIGENTE"),""),"")</f>
        <v/>
      </c>
      <c r="K355" s="216"/>
    </row>
    <row r="356" ht="18.0" customHeight="1">
      <c r="A356" s="212"/>
      <c r="B356" s="212"/>
      <c r="C356" s="212"/>
      <c r="D356" s="212"/>
      <c r="E356" s="212"/>
      <c r="F356" s="260"/>
      <c r="G356" s="248"/>
      <c r="H356" s="240">
        <f t="shared" si="5"/>
        <v>0</v>
      </c>
      <c r="I356" s="216" t="str">
        <f t="shared" si="6"/>
        <v/>
      </c>
      <c r="J356" s="216" t="str">
        <f t="array" ref="J356">IFERROR(IF(B356&lt;&gt;"",XLOOKUP(B356,FUNC!E:E,#REF!,"NO VIGENTE"),""),"")</f>
        <v/>
      </c>
      <c r="K356" s="216"/>
    </row>
    <row r="357" ht="18.0" customHeight="1">
      <c r="A357" s="212"/>
      <c r="B357" s="212"/>
      <c r="C357" s="212"/>
      <c r="D357" s="212"/>
      <c r="E357" s="212"/>
      <c r="F357" s="260"/>
      <c r="G357" s="248"/>
      <c r="H357" s="240">
        <f t="shared" si="5"/>
        <v>0</v>
      </c>
      <c r="I357" s="216" t="str">
        <f t="shared" si="6"/>
        <v/>
      </c>
      <c r="J357" s="216" t="str">
        <f t="array" ref="J357">IFERROR(IF(B357&lt;&gt;"",XLOOKUP(B357,FUNC!E:E,#REF!,"NO VIGENTE"),""),"")</f>
        <v/>
      </c>
      <c r="K357" s="216"/>
    </row>
    <row r="358" ht="18.0" customHeight="1">
      <c r="A358" s="212"/>
      <c r="B358" s="212"/>
      <c r="C358" s="212"/>
      <c r="D358" s="212"/>
      <c r="E358" s="212"/>
      <c r="F358" s="260"/>
      <c r="G358" s="248"/>
      <c r="H358" s="240">
        <f t="shared" si="5"/>
        <v>0</v>
      </c>
      <c r="I358" s="216" t="str">
        <f t="shared" si="6"/>
        <v/>
      </c>
      <c r="J358" s="216" t="str">
        <f t="array" ref="J358">IFERROR(IF(B358&lt;&gt;"",XLOOKUP(B358,FUNC!E:E,#REF!,"NO VIGENTE"),""),"")</f>
        <v/>
      </c>
      <c r="K358" s="216"/>
    </row>
    <row r="359" ht="18.0" customHeight="1">
      <c r="A359" s="212"/>
      <c r="B359" s="212"/>
      <c r="C359" s="212"/>
      <c r="D359" s="212"/>
      <c r="E359" s="212"/>
      <c r="F359" s="260"/>
      <c r="G359" s="248"/>
      <c r="H359" s="240">
        <f t="shared" si="5"/>
        <v>0</v>
      </c>
      <c r="I359" s="216" t="str">
        <f t="shared" si="6"/>
        <v/>
      </c>
      <c r="J359" s="216" t="str">
        <f t="array" ref="J359">IFERROR(IF(B359&lt;&gt;"",XLOOKUP(B359,FUNC!E:E,#REF!,"NO VIGENTE"),""),"")</f>
        <v/>
      </c>
      <c r="K359" s="216"/>
    </row>
    <row r="360" ht="18.0" customHeight="1">
      <c r="A360" s="212"/>
      <c r="B360" s="212"/>
      <c r="C360" s="212"/>
      <c r="D360" s="212"/>
      <c r="E360" s="212"/>
      <c r="F360" s="260"/>
      <c r="G360" s="248"/>
      <c r="H360" s="240">
        <f t="shared" ref="H360:H515" si="7">IFERROR(SUMIF(G360,"Independiente",F360),0)</f>
        <v>0</v>
      </c>
      <c r="I360" s="216" t="str">
        <f t="shared" si="6"/>
        <v/>
      </c>
      <c r="J360" s="216" t="str">
        <f t="array" ref="J360">IFERROR(IF(B360&lt;&gt;"",XLOOKUP(B360,FUNC!E:E,#REF!,"NO VIGENTE"),""),"")</f>
        <v/>
      </c>
      <c r="K360" s="216"/>
    </row>
    <row r="361" ht="18.0" customHeight="1">
      <c r="A361" s="212"/>
      <c r="B361" s="212"/>
      <c r="C361" s="212"/>
      <c r="D361" s="212"/>
      <c r="E361" s="212"/>
      <c r="F361" s="260"/>
      <c r="G361" s="248"/>
      <c r="H361" s="240">
        <f t="shared" si="7"/>
        <v>0</v>
      </c>
      <c r="I361" s="216" t="str">
        <f t="shared" si="6"/>
        <v/>
      </c>
      <c r="J361" s="216" t="str">
        <f t="array" ref="J361">IFERROR(IF(B361&lt;&gt;"",XLOOKUP(B361,FUNC!E:E,#REF!,"NO VIGENTE"),""),"")</f>
        <v/>
      </c>
      <c r="K361" s="216"/>
    </row>
    <row r="362" ht="18.0" customHeight="1">
      <c r="A362" s="212"/>
      <c r="B362" s="212"/>
      <c r="C362" s="212"/>
      <c r="D362" s="212"/>
      <c r="E362" s="212"/>
      <c r="F362" s="260"/>
      <c r="G362" s="248"/>
      <c r="H362" s="240">
        <f t="shared" si="7"/>
        <v>0</v>
      </c>
      <c r="I362" s="216" t="str">
        <f t="shared" si="6"/>
        <v/>
      </c>
      <c r="J362" s="216" t="str">
        <f t="array" ref="J362">IFERROR(IF(B362&lt;&gt;"",XLOOKUP(B362,FUNC!E:E,#REF!,"NO VIGENTE"),""),"")</f>
        <v/>
      </c>
      <c r="K362" s="216"/>
    </row>
    <row r="363" ht="18.0" customHeight="1">
      <c r="A363" s="212"/>
      <c r="B363" s="212"/>
      <c r="C363" s="212"/>
      <c r="D363" s="212"/>
      <c r="E363" s="212"/>
      <c r="F363" s="260"/>
      <c r="G363" s="248"/>
      <c r="H363" s="240">
        <f t="shared" si="7"/>
        <v>0</v>
      </c>
      <c r="I363" s="216" t="str">
        <f t="shared" si="6"/>
        <v/>
      </c>
      <c r="J363" s="216" t="str">
        <f t="array" ref="J363">IFERROR(IF(B363&lt;&gt;"",XLOOKUP(B363,FUNC!E:E,#REF!,"NO VIGENTE"),""),"")</f>
        <v/>
      </c>
      <c r="K363" s="216"/>
    </row>
    <row r="364" ht="18.0" customHeight="1">
      <c r="A364" s="212"/>
      <c r="B364" s="212"/>
      <c r="C364" s="212"/>
      <c r="D364" s="212"/>
      <c r="E364" s="212"/>
      <c r="F364" s="260"/>
      <c r="G364" s="248"/>
      <c r="H364" s="240">
        <f t="shared" si="7"/>
        <v>0</v>
      </c>
      <c r="I364" s="216" t="str">
        <f t="shared" si="6"/>
        <v/>
      </c>
      <c r="J364" s="216" t="str">
        <f t="array" ref="J364">IFERROR(IF(B364&lt;&gt;"",XLOOKUP(B364,FUNC!E:E,#REF!,"NO VIGENTE"),""),"")</f>
        <v/>
      </c>
      <c r="K364" s="216"/>
    </row>
    <row r="365" ht="18.0" customHeight="1">
      <c r="A365" s="212"/>
      <c r="B365" s="212"/>
      <c r="C365" s="212"/>
      <c r="D365" s="212"/>
      <c r="E365" s="212"/>
      <c r="F365" s="260"/>
      <c r="G365" s="248"/>
      <c r="H365" s="240">
        <f t="shared" si="7"/>
        <v>0</v>
      </c>
      <c r="I365" s="216" t="str">
        <f t="shared" si="6"/>
        <v/>
      </c>
      <c r="J365" s="216" t="str">
        <f t="array" ref="J365">IFERROR(IF(B365&lt;&gt;"",XLOOKUP(B365,FUNC!E:E,#REF!,"NO VIGENTE"),""),"")</f>
        <v/>
      </c>
      <c r="K365" s="216"/>
    </row>
    <row r="366" ht="18.0" customHeight="1">
      <c r="A366" s="212"/>
      <c r="B366" s="212"/>
      <c r="C366" s="212"/>
      <c r="D366" s="212"/>
      <c r="E366" s="212"/>
      <c r="F366" s="260"/>
      <c r="G366" s="248"/>
      <c r="H366" s="240">
        <f t="shared" si="7"/>
        <v>0</v>
      </c>
      <c r="I366" s="216" t="str">
        <f t="shared" si="6"/>
        <v/>
      </c>
      <c r="J366" s="216" t="str">
        <f t="array" ref="J366">IFERROR(IF(B366&lt;&gt;"",XLOOKUP(B366,FUNC!E:E,#REF!,"NO VIGENTE"),""),"")</f>
        <v/>
      </c>
      <c r="K366" s="216"/>
    </row>
    <row r="367" ht="18.0" customHeight="1">
      <c r="A367" s="212"/>
      <c r="B367" s="212"/>
      <c r="C367" s="212"/>
      <c r="D367" s="212"/>
      <c r="E367" s="212"/>
      <c r="F367" s="260"/>
      <c r="G367" s="248"/>
      <c r="H367" s="240">
        <f t="shared" si="7"/>
        <v>0</v>
      </c>
      <c r="I367" s="216" t="str">
        <f t="shared" si="6"/>
        <v/>
      </c>
      <c r="J367" s="216" t="str">
        <f t="array" ref="J367">IFERROR(IF(B367&lt;&gt;"",XLOOKUP(B367,FUNC!E:E,#REF!,"NO VIGENTE"),""),"")</f>
        <v/>
      </c>
      <c r="K367" s="216"/>
    </row>
    <row r="368" ht="18.0" customHeight="1">
      <c r="A368" s="212"/>
      <c r="B368" s="212"/>
      <c r="C368" s="212"/>
      <c r="D368" s="212"/>
      <c r="E368" s="212"/>
      <c r="F368" s="260"/>
      <c r="G368" s="248"/>
      <c r="H368" s="240">
        <f t="shared" si="7"/>
        <v>0</v>
      </c>
      <c r="I368" s="216" t="str">
        <f t="shared" si="6"/>
        <v/>
      </c>
      <c r="J368" s="216" t="str">
        <f t="array" ref="J368">IFERROR(IF(B368&lt;&gt;"",XLOOKUP(B368,FUNC!E:E,#REF!,"NO VIGENTE"),""),"")</f>
        <v/>
      </c>
      <c r="K368" s="216"/>
    </row>
    <row r="369" ht="18.0" customHeight="1">
      <c r="A369" s="212"/>
      <c r="B369" s="212"/>
      <c r="C369" s="212"/>
      <c r="D369" s="212"/>
      <c r="E369" s="212"/>
      <c r="F369" s="260"/>
      <c r="G369" s="248"/>
      <c r="H369" s="240">
        <f t="shared" si="7"/>
        <v>0</v>
      </c>
      <c r="I369" s="216" t="str">
        <f t="shared" si="6"/>
        <v/>
      </c>
      <c r="J369" s="216" t="str">
        <f t="array" ref="J369">IFERROR(IF(B369&lt;&gt;"",XLOOKUP(B369,FUNC!E:E,#REF!,"NO VIGENTE"),""),"")</f>
        <v/>
      </c>
      <c r="K369" s="216"/>
    </row>
    <row r="370" ht="18.0" customHeight="1">
      <c r="A370" s="212"/>
      <c r="B370" s="212"/>
      <c r="C370" s="212"/>
      <c r="D370" s="212"/>
      <c r="E370" s="212"/>
      <c r="F370" s="260"/>
      <c r="G370" s="248"/>
      <c r="H370" s="240">
        <f t="shared" si="7"/>
        <v>0</v>
      </c>
      <c r="I370" s="216" t="str">
        <f t="shared" si="6"/>
        <v/>
      </c>
      <c r="J370" s="216" t="str">
        <f t="array" ref="J370">IFERROR(IF(B370&lt;&gt;"",XLOOKUP(B370,FUNC!E:E,#REF!,"NO VIGENTE"),""),"")</f>
        <v/>
      </c>
      <c r="K370" s="216"/>
    </row>
    <row r="371" ht="18.0" customHeight="1">
      <c r="A371" s="212"/>
      <c r="B371" s="212"/>
      <c r="C371" s="212"/>
      <c r="D371" s="212"/>
      <c r="E371" s="212"/>
      <c r="F371" s="260"/>
      <c r="G371" s="248"/>
      <c r="H371" s="240">
        <f t="shared" si="7"/>
        <v>0</v>
      </c>
      <c r="I371" s="216" t="str">
        <f t="shared" si="6"/>
        <v/>
      </c>
      <c r="J371" s="216" t="str">
        <f t="array" ref="J371">IFERROR(IF(B371&lt;&gt;"",XLOOKUP(B371,FUNC!E:E,#REF!,"NO VIGENTE"),""),"")</f>
        <v/>
      </c>
      <c r="K371" s="216"/>
    </row>
    <row r="372" ht="18.0" customHeight="1">
      <c r="A372" s="212"/>
      <c r="B372" s="212"/>
      <c r="C372" s="212"/>
      <c r="D372" s="212"/>
      <c r="E372" s="212"/>
      <c r="F372" s="260"/>
      <c r="G372" s="248"/>
      <c r="H372" s="240">
        <f t="shared" si="7"/>
        <v>0</v>
      </c>
      <c r="I372" s="216" t="str">
        <f t="shared" si="6"/>
        <v/>
      </c>
      <c r="J372" s="216" t="str">
        <f t="array" ref="J372">IFERROR(IF(B372&lt;&gt;"",XLOOKUP(B372,FUNC!E:E,#REF!,"NO VIGENTE"),""),"")</f>
        <v/>
      </c>
      <c r="K372" s="216"/>
    </row>
    <row r="373" ht="18.0" customHeight="1">
      <c r="A373" s="212"/>
      <c r="B373" s="212"/>
      <c r="C373" s="212"/>
      <c r="D373" s="212"/>
      <c r="E373" s="212"/>
      <c r="F373" s="260"/>
      <c r="G373" s="248"/>
      <c r="H373" s="240">
        <f t="shared" si="7"/>
        <v>0</v>
      </c>
      <c r="I373" s="216" t="str">
        <f t="shared" si="6"/>
        <v/>
      </c>
      <c r="J373" s="216" t="str">
        <f t="array" ref="J373">IFERROR(IF(B373&lt;&gt;"",XLOOKUP(B373,FUNC!E:E,#REF!,"NO VIGENTE"),""),"")</f>
        <v/>
      </c>
      <c r="K373" s="216"/>
    </row>
    <row r="374" ht="18.0" customHeight="1">
      <c r="A374" s="212"/>
      <c r="B374" s="212"/>
      <c r="C374" s="212"/>
      <c r="D374" s="212"/>
      <c r="E374" s="212"/>
      <c r="F374" s="260"/>
      <c r="G374" s="248"/>
      <c r="H374" s="240">
        <f t="shared" si="7"/>
        <v>0</v>
      </c>
      <c r="I374" s="216" t="str">
        <f t="shared" si="6"/>
        <v/>
      </c>
      <c r="J374" s="216" t="str">
        <f t="array" ref="J374">IFERROR(IF(B374&lt;&gt;"",XLOOKUP(B374,FUNC!E:E,#REF!,"NO VIGENTE"),""),"")</f>
        <v/>
      </c>
      <c r="K374" s="216"/>
    </row>
    <row r="375" ht="18.0" customHeight="1">
      <c r="A375" s="212"/>
      <c r="B375" s="212"/>
      <c r="C375" s="212"/>
      <c r="D375" s="212"/>
      <c r="E375" s="212"/>
      <c r="F375" s="260"/>
      <c r="G375" s="248"/>
      <c r="H375" s="240">
        <f t="shared" si="7"/>
        <v>0</v>
      </c>
      <c r="I375" s="216" t="str">
        <f t="shared" si="6"/>
        <v/>
      </c>
      <c r="J375" s="216" t="str">
        <f t="array" ref="J375">IFERROR(IF(B375&lt;&gt;"",XLOOKUP(B375,FUNC!E:E,#REF!,"NO VIGENTE"),""),"")</f>
        <v/>
      </c>
      <c r="K375" s="216"/>
    </row>
    <row r="376" ht="18.0" customHeight="1">
      <c r="A376" s="212"/>
      <c r="B376" s="212"/>
      <c r="C376" s="212"/>
      <c r="D376" s="212"/>
      <c r="E376" s="212"/>
      <c r="F376" s="260"/>
      <c r="G376" s="248"/>
      <c r="H376" s="240">
        <f t="shared" si="7"/>
        <v>0</v>
      </c>
      <c r="I376" s="216" t="str">
        <f t="shared" si="6"/>
        <v/>
      </c>
      <c r="J376" s="216" t="str">
        <f t="array" ref="J376">IFERROR(IF(B376&lt;&gt;"",XLOOKUP(B376,FUNC!E:E,#REF!,"NO VIGENTE"),""),"")</f>
        <v/>
      </c>
      <c r="K376" s="216"/>
    </row>
    <row r="377" ht="18.0" customHeight="1">
      <c r="A377" s="212"/>
      <c r="B377" s="212"/>
      <c r="C377" s="212"/>
      <c r="D377" s="212"/>
      <c r="E377" s="212"/>
      <c r="F377" s="260"/>
      <c r="G377" s="248"/>
      <c r="H377" s="240">
        <f t="shared" si="7"/>
        <v>0</v>
      </c>
      <c r="I377" s="216" t="str">
        <f t="shared" si="6"/>
        <v/>
      </c>
      <c r="J377" s="216" t="str">
        <f t="array" ref="J377">IFERROR(IF(B377&lt;&gt;"",XLOOKUP(B377,FUNC!E:E,#REF!,"NO VIGENTE"),""),"")</f>
        <v/>
      </c>
      <c r="K377" s="216"/>
    </row>
    <row r="378" ht="18.0" customHeight="1">
      <c r="A378" s="212"/>
      <c r="B378" s="212"/>
      <c r="C378" s="212"/>
      <c r="D378" s="212"/>
      <c r="E378" s="212"/>
      <c r="F378" s="260"/>
      <c r="G378" s="248"/>
      <c r="H378" s="240">
        <f t="shared" si="7"/>
        <v>0</v>
      </c>
      <c r="I378" s="216" t="str">
        <f t="shared" si="6"/>
        <v/>
      </c>
      <c r="J378" s="216" t="str">
        <f t="array" ref="J378">IFERROR(IF(B378&lt;&gt;"",XLOOKUP(B378,FUNC!E:E,#REF!,"NO VIGENTE"),""),"")</f>
        <v/>
      </c>
      <c r="K378" s="216"/>
    </row>
    <row r="379" ht="18.0" customHeight="1">
      <c r="A379" s="212"/>
      <c r="B379" s="212"/>
      <c r="C379" s="212"/>
      <c r="D379" s="212"/>
      <c r="E379" s="212"/>
      <c r="F379" s="260"/>
      <c r="G379" s="248"/>
      <c r="H379" s="240">
        <f t="shared" si="7"/>
        <v>0</v>
      </c>
      <c r="I379" s="216" t="str">
        <f t="shared" si="6"/>
        <v/>
      </c>
      <c r="J379" s="216" t="str">
        <f t="array" ref="J379">IFERROR(IF(B379&lt;&gt;"",XLOOKUP(B379,FUNC!E:E,#REF!,"NO VIGENTE"),""),"")</f>
        <v/>
      </c>
      <c r="K379" s="216"/>
    </row>
    <row r="380" ht="18.0" customHeight="1">
      <c r="A380" s="212"/>
      <c r="B380" s="212"/>
      <c r="C380" s="212"/>
      <c r="D380" s="212"/>
      <c r="E380" s="212"/>
      <c r="F380" s="260"/>
      <c r="G380" s="248"/>
      <c r="H380" s="240">
        <f t="shared" si="7"/>
        <v>0</v>
      </c>
      <c r="I380" s="216" t="str">
        <f t="shared" si="6"/>
        <v/>
      </c>
      <c r="J380" s="216" t="str">
        <f t="array" ref="J380">IFERROR(IF(B380&lt;&gt;"",XLOOKUP(B380,FUNC!E:E,#REF!,"NO VIGENTE"),""),"")</f>
        <v/>
      </c>
      <c r="K380" s="216"/>
    </row>
    <row r="381" ht="18.0" customHeight="1">
      <c r="A381" s="212"/>
      <c r="B381" s="212"/>
      <c r="C381" s="212"/>
      <c r="D381" s="212"/>
      <c r="E381" s="212"/>
      <c r="F381" s="260"/>
      <c r="G381" s="248"/>
      <c r="H381" s="240">
        <f t="shared" si="7"/>
        <v>0</v>
      </c>
      <c r="I381" s="216" t="str">
        <f t="shared" si="6"/>
        <v/>
      </c>
      <c r="J381" s="216" t="str">
        <f t="array" ref="J381">IFERROR(IF(B381&lt;&gt;"",XLOOKUP(B381,FUNC!E:E,#REF!,"NO VIGENTE"),""),"")</f>
        <v/>
      </c>
      <c r="K381" s="216"/>
    </row>
    <row r="382" ht="18.0" customHeight="1">
      <c r="A382" s="212"/>
      <c r="B382" s="212"/>
      <c r="C382" s="212"/>
      <c r="D382" s="212"/>
      <c r="E382" s="212"/>
      <c r="F382" s="260"/>
      <c r="G382" s="248"/>
      <c r="H382" s="240">
        <f t="shared" si="7"/>
        <v>0</v>
      </c>
      <c r="I382" s="216" t="str">
        <f t="shared" si="6"/>
        <v/>
      </c>
      <c r="J382" s="216" t="str">
        <f t="array" ref="J382">IFERROR(IF(B382&lt;&gt;"",XLOOKUP(B382,FUNC!E:E,#REF!,"NO VIGENTE"),""),"")</f>
        <v/>
      </c>
      <c r="K382" s="216"/>
    </row>
    <row r="383" ht="18.0" customHeight="1">
      <c r="A383" s="212"/>
      <c r="B383" s="212"/>
      <c r="C383" s="212"/>
      <c r="D383" s="212"/>
      <c r="E383" s="212"/>
      <c r="F383" s="260"/>
      <c r="G383" s="248"/>
      <c r="H383" s="240">
        <f t="shared" si="7"/>
        <v>0</v>
      </c>
      <c r="I383" s="216" t="str">
        <f t="shared" si="6"/>
        <v/>
      </c>
      <c r="J383" s="216" t="str">
        <f t="array" ref="J383">IFERROR(IF(B383&lt;&gt;"",XLOOKUP(B383,FUNC!E:E,#REF!,"NO VIGENTE"),""),"")</f>
        <v/>
      </c>
      <c r="K383" s="216"/>
    </row>
    <row r="384" ht="18.0" customHeight="1">
      <c r="A384" s="212"/>
      <c r="B384" s="212"/>
      <c r="C384" s="212"/>
      <c r="D384" s="212"/>
      <c r="E384" s="212"/>
      <c r="F384" s="260"/>
      <c r="G384" s="248"/>
      <c r="H384" s="240">
        <f t="shared" si="7"/>
        <v>0</v>
      </c>
      <c r="I384" s="216" t="str">
        <f t="shared" si="6"/>
        <v/>
      </c>
      <c r="J384" s="216" t="str">
        <f t="array" ref="J384">IFERROR(IF(B384&lt;&gt;"",XLOOKUP(B384,FUNC!E:E,#REF!,"NO VIGENTE"),""),"")</f>
        <v/>
      </c>
      <c r="K384" s="216"/>
    </row>
    <row r="385" ht="18.0" customHeight="1">
      <c r="A385" s="212"/>
      <c r="B385" s="212"/>
      <c r="C385" s="212"/>
      <c r="D385" s="212"/>
      <c r="E385" s="212"/>
      <c r="F385" s="260"/>
      <c r="G385" s="248"/>
      <c r="H385" s="240">
        <f t="shared" si="7"/>
        <v>0</v>
      </c>
      <c r="I385" s="216" t="str">
        <f t="shared" si="6"/>
        <v/>
      </c>
      <c r="J385" s="216" t="str">
        <f t="array" ref="J385">IFERROR(IF(B385&lt;&gt;"",XLOOKUP(B385,FUNC!E:E,#REF!,"NO VIGENTE"),""),"")</f>
        <v/>
      </c>
      <c r="K385" s="216"/>
    </row>
    <row r="386" ht="18.0" customHeight="1">
      <c r="A386" s="212"/>
      <c r="B386" s="212"/>
      <c r="C386" s="212"/>
      <c r="D386" s="212"/>
      <c r="E386" s="212"/>
      <c r="F386" s="260"/>
      <c r="G386" s="248"/>
      <c r="H386" s="240">
        <f t="shared" si="7"/>
        <v>0</v>
      </c>
      <c r="I386" s="216" t="str">
        <f t="shared" si="6"/>
        <v/>
      </c>
      <c r="J386" s="216" t="str">
        <f t="array" ref="J386">IFERROR(IF(B386&lt;&gt;"",XLOOKUP(B386,FUNC!E:E,#REF!,"NO VIGENTE"),""),"")</f>
        <v/>
      </c>
      <c r="K386" s="216"/>
    </row>
    <row r="387" ht="18.0" customHeight="1">
      <c r="A387" s="212"/>
      <c r="B387" s="212"/>
      <c r="C387" s="212"/>
      <c r="D387" s="212"/>
      <c r="E387" s="212"/>
      <c r="F387" s="260"/>
      <c r="G387" s="248"/>
      <c r="H387" s="240">
        <f t="shared" si="7"/>
        <v>0</v>
      </c>
      <c r="I387" s="216" t="str">
        <f t="shared" si="6"/>
        <v/>
      </c>
      <c r="J387" s="216" t="str">
        <f t="array" ref="J387">IFERROR(IF(B387&lt;&gt;"",XLOOKUP(B387,FUNC!E:E,#REF!,"NO VIGENTE"),""),"")</f>
        <v/>
      </c>
      <c r="K387" s="216"/>
    </row>
    <row r="388" ht="18.0" customHeight="1">
      <c r="A388" s="212"/>
      <c r="B388" s="212"/>
      <c r="C388" s="212"/>
      <c r="D388" s="212"/>
      <c r="E388" s="212"/>
      <c r="F388" s="260"/>
      <c r="G388" s="248"/>
      <c r="H388" s="240">
        <f t="shared" si="7"/>
        <v>0</v>
      </c>
      <c r="I388" s="216" t="str">
        <f t="shared" si="6"/>
        <v/>
      </c>
      <c r="J388" s="216" t="str">
        <f t="array" ref="J388">IFERROR(IF(B388&lt;&gt;"",XLOOKUP(B388,FUNC!E:E,#REF!,"NO VIGENTE"),""),"")</f>
        <v/>
      </c>
      <c r="K388" s="216"/>
    </row>
    <row r="389" ht="18.0" customHeight="1">
      <c r="A389" s="212"/>
      <c r="B389" s="212"/>
      <c r="C389" s="212"/>
      <c r="D389" s="212"/>
      <c r="E389" s="212"/>
      <c r="F389" s="260"/>
      <c r="G389" s="248"/>
      <c r="H389" s="240">
        <f t="shared" si="7"/>
        <v>0</v>
      </c>
      <c r="I389" s="216" t="str">
        <f t="shared" si="6"/>
        <v/>
      </c>
      <c r="J389" s="216" t="str">
        <f t="array" ref="J389">IFERROR(IF(B389&lt;&gt;"",XLOOKUP(B389,FUNC!E:E,#REF!,"NO VIGENTE"),""),"")</f>
        <v/>
      </c>
      <c r="K389" s="216"/>
    </row>
    <row r="390" ht="18.0" customHeight="1">
      <c r="A390" s="212"/>
      <c r="B390" s="212"/>
      <c r="C390" s="212"/>
      <c r="D390" s="212"/>
      <c r="E390" s="212"/>
      <c r="F390" s="260"/>
      <c r="G390" s="248"/>
      <c r="H390" s="240">
        <f t="shared" si="7"/>
        <v>0</v>
      </c>
      <c r="I390" s="216" t="str">
        <f t="shared" si="6"/>
        <v/>
      </c>
      <c r="J390" s="216" t="str">
        <f t="array" ref="J390">IFERROR(IF(B390&lt;&gt;"",XLOOKUP(B390,FUNC!E:E,#REF!,"NO VIGENTE"),""),"")</f>
        <v/>
      </c>
      <c r="K390" s="216"/>
    </row>
    <row r="391" ht="18.0" customHeight="1">
      <c r="A391" s="212"/>
      <c r="B391" s="212"/>
      <c r="C391" s="212"/>
      <c r="D391" s="212"/>
      <c r="E391" s="212"/>
      <c r="F391" s="260"/>
      <c r="G391" s="248"/>
      <c r="H391" s="240">
        <f t="shared" si="7"/>
        <v>0</v>
      </c>
      <c r="I391" s="216" t="str">
        <f t="shared" si="6"/>
        <v/>
      </c>
      <c r="J391" s="216" t="str">
        <f t="array" ref="J391">IFERROR(IF(B391&lt;&gt;"",XLOOKUP(B391,FUNC!E:E,#REF!,"NO VIGENTE"),""),"")</f>
        <v/>
      </c>
      <c r="K391" s="216"/>
    </row>
    <row r="392" ht="18.0" customHeight="1">
      <c r="A392" s="212"/>
      <c r="B392" s="212"/>
      <c r="C392" s="212"/>
      <c r="D392" s="212"/>
      <c r="E392" s="212"/>
      <c r="F392" s="260"/>
      <c r="G392" s="248"/>
      <c r="H392" s="240">
        <f t="shared" si="7"/>
        <v>0</v>
      </c>
      <c r="I392" s="216" t="str">
        <f t="shared" si="6"/>
        <v/>
      </c>
      <c r="J392" s="216" t="str">
        <f t="array" ref="J392">IFERROR(IF(B392&lt;&gt;"",XLOOKUP(B392,FUNC!E:E,#REF!,"NO VIGENTE"),""),"")</f>
        <v/>
      </c>
      <c r="K392" s="216"/>
    </row>
    <row r="393" ht="18.0" customHeight="1">
      <c r="A393" s="212"/>
      <c r="B393" s="212"/>
      <c r="C393" s="212"/>
      <c r="D393" s="212"/>
      <c r="E393" s="212"/>
      <c r="F393" s="260"/>
      <c r="G393" s="248"/>
      <c r="H393" s="240">
        <f t="shared" si="7"/>
        <v>0</v>
      </c>
      <c r="I393" s="216" t="str">
        <f t="shared" si="6"/>
        <v/>
      </c>
      <c r="J393" s="216" t="str">
        <f t="array" ref="J393">IFERROR(IF(B393&lt;&gt;"",XLOOKUP(B393,FUNC!E:E,#REF!,"NO VIGENTE"),""),"")</f>
        <v/>
      </c>
      <c r="K393" s="216"/>
    </row>
    <row r="394" ht="18.0" customHeight="1">
      <c r="A394" s="212"/>
      <c r="B394" s="212"/>
      <c r="C394" s="212"/>
      <c r="D394" s="212"/>
      <c r="E394" s="212"/>
      <c r="F394" s="260"/>
      <c r="G394" s="248"/>
      <c r="H394" s="240">
        <f t="shared" si="7"/>
        <v>0</v>
      </c>
      <c r="I394" s="216" t="str">
        <f t="shared" si="6"/>
        <v/>
      </c>
      <c r="J394" s="216" t="str">
        <f t="array" ref="J394">IFERROR(IF(B394&lt;&gt;"",XLOOKUP(B394,FUNC!E:E,#REF!,"NO VIGENTE"),""),"")</f>
        <v/>
      </c>
      <c r="K394" s="216"/>
    </row>
    <row r="395" ht="18.0" customHeight="1">
      <c r="A395" s="212"/>
      <c r="B395" s="212"/>
      <c r="C395" s="212"/>
      <c r="D395" s="212"/>
      <c r="E395" s="212"/>
      <c r="F395" s="260"/>
      <c r="G395" s="248"/>
      <c r="H395" s="240">
        <f t="shared" si="7"/>
        <v>0</v>
      </c>
      <c r="I395" s="216" t="str">
        <f t="shared" si="6"/>
        <v/>
      </c>
      <c r="J395" s="216" t="str">
        <f t="array" ref="J395">IFERROR(IF(B395&lt;&gt;"",XLOOKUP(B395,FUNC!E:E,#REF!,"NO VIGENTE"),""),"")</f>
        <v/>
      </c>
      <c r="K395" s="216"/>
    </row>
    <row r="396" ht="18.0" customHeight="1">
      <c r="A396" s="212"/>
      <c r="B396" s="212"/>
      <c r="C396" s="212"/>
      <c r="D396" s="212"/>
      <c r="E396" s="212"/>
      <c r="F396" s="260"/>
      <c r="G396" s="248"/>
      <c r="H396" s="240">
        <f t="shared" si="7"/>
        <v>0</v>
      </c>
      <c r="I396" s="216" t="str">
        <f t="shared" si="6"/>
        <v/>
      </c>
      <c r="J396" s="216" t="str">
        <f t="array" ref="J396">IFERROR(IF(B396&lt;&gt;"",XLOOKUP(B396,FUNC!E:E,#REF!,"NO VIGENTE"),""),"")</f>
        <v/>
      </c>
      <c r="K396" s="216"/>
    </row>
    <row r="397" ht="18.0" customHeight="1">
      <c r="A397" s="212"/>
      <c r="B397" s="212"/>
      <c r="C397" s="212"/>
      <c r="D397" s="212"/>
      <c r="E397" s="212"/>
      <c r="F397" s="260"/>
      <c r="G397" s="248"/>
      <c r="H397" s="240">
        <f t="shared" si="7"/>
        <v>0</v>
      </c>
      <c r="I397" s="216" t="str">
        <f t="shared" si="6"/>
        <v/>
      </c>
      <c r="J397" s="216" t="str">
        <f t="array" ref="J397">IFERROR(IF(B397&lt;&gt;"",XLOOKUP(B397,FUNC!E:E,#REF!,"NO VIGENTE"),""),"")</f>
        <v/>
      </c>
      <c r="K397" s="216"/>
    </row>
    <row r="398" ht="18.0" customHeight="1">
      <c r="A398" s="212"/>
      <c r="B398" s="212"/>
      <c r="C398" s="212"/>
      <c r="D398" s="212"/>
      <c r="E398" s="212"/>
      <c r="F398" s="260"/>
      <c r="G398" s="248"/>
      <c r="H398" s="240">
        <f t="shared" si="7"/>
        <v>0</v>
      </c>
      <c r="I398" s="216" t="str">
        <f t="shared" si="6"/>
        <v/>
      </c>
      <c r="J398" s="216" t="str">
        <f t="array" ref="J398">IFERROR(IF(B398&lt;&gt;"",XLOOKUP(B398,FUNC!E:E,#REF!,"NO VIGENTE"),""),"")</f>
        <v/>
      </c>
      <c r="K398" s="216"/>
    </row>
    <row r="399" ht="18.0" customHeight="1">
      <c r="A399" s="212"/>
      <c r="B399" s="212"/>
      <c r="C399" s="212"/>
      <c r="D399" s="212"/>
      <c r="E399" s="212"/>
      <c r="F399" s="260"/>
      <c r="G399" s="248"/>
      <c r="H399" s="240">
        <f t="shared" si="7"/>
        <v>0</v>
      </c>
      <c r="I399" s="216" t="str">
        <f t="shared" si="6"/>
        <v/>
      </c>
      <c r="J399" s="216" t="str">
        <f t="array" ref="J399">IFERROR(IF(B399&lt;&gt;"",XLOOKUP(B399,FUNC!E:E,#REF!,"NO VIGENTE"),""),"")</f>
        <v/>
      </c>
      <c r="K399" s="216"/>
    </row>
    <row r="400" ht="18.0" customHeight="1">
      <c r="A400" s="212"/>
      <c r="B400" s="212"/>
      <c r="C400" s="212"/>
      <c r="D400" s="212"/>
      <c r="E400" s="212"/>
      <c r="F400" s="260"/>
      <c r="G400" s="248"/>
      <c r="H400" s="240">
        <f t="shared" si="7"/>
        <v>0</v>
      </c>
      <c r="I400" s="216" t="str">
        <f t="shared" si="6"/>
        <v/>
      </c>
      <c r="J400" s="216" t="str">
        <f t="array" ref="J400">IFERROR(IF(B400&lt;&gt;"",XLOOKUP(B400,FUNC!E:E,#REF!,"NO VIGENTE"),""),"")</f>
        <v/>
      </c>
      <c r="K400" s="216"/>
    </row>
    <row r="401" ht="18.0" customHeight="1">
      <c r="A401" s="212"/>
      <c r="B401" s="212"/>
      <c r="C401" s="212"/>
      <c r="D401" s="212"/>
      <c r="E401" s="212"/>
      <c r="F401" s="260"/>
      <c r="G401" s="248"/>
      <c r="H401" s="240">
        <f t="shared" si="7"/>
        <v>0</v>
      </c>
      <c r="I401" s="216" t="str">
        <f t="shared" si="6"/>
        <v/>
      </c>
      <c r="J401" s="216" t="str">
        <f t="array" ref="J401">IFERROR(IF(B401&lt;&gt;"",XLOOKUP(B401,FUNC!E:E,#REF!,"NO VIGENTE"),""),"")</f>
        <v/>
      </c>
      <c r="K401" s="216"/>
    </row>
    <row r="402" ht="18.0" customHeight="1">
      <c r="A402" s="212"/>
      <c r="B402" s="212"/>
      <c r="C402" s="212"/>
      <c r="D402" s="212"/>
      <c r="E402" s="212"/>
      <c r="F402" s="260"/>
      <c r="G402" s="248"/>
      <c r="H402" s="240">
        <f t="shared" si="7"/>
        <v>0</v>
      </c>
      <c r="I402" s="216" t="str">
        <f t="shared" si="6"/>
        <v/>
      </c>
      <c r="J402" s="216" t="str">
        <f t="array" ref="J402">IFERROR(IF(B402&lt;&gt;"",XLOOKUP(B402,FUNC!E:E,#REF!,"NO VIGENTE"),""),"")</f>
        <v/>
      </c>
      <c r="K402" s="216"/>
    </row>
    <row r="403" ht="18.0" customHeight="1">
      <c r="A403" s="212"/>
      <c r="B403" s="212"/>
      <c r="C403" s="212"/>
      <c r="D403" s="212"/>
      <c r="E403" s="212"/>
      <c r="F403" s="260"/>
      <c r="G403" s="248"/>
      <c r="H403" s="240">
        <f t="shared" si="7"/>
        <v>0</v>
      </c>
      <c r="I403" s="216" t="str">
        <f t="shared" si="6"/>
        <v/>
      </c>
      <c r="J403" s="216" t="str">
        <f t="array" ref="J403">IFERROR(IF(B403&lt;&gt;"",XLOOKUP(B403,FUNC!E:E,#REF!,"NO VIGENTE"),""),"")</f>
        <v/>
      </c>
      <c r="K403" s="216"/>
    </row>
    <row r="404" ht="18.0" customHeight="1">
      <c r="A404" s="212"/>
      <c r="B404" s="212"/>
      <c r="C404" s="212"/>
      <c r="D404" s="212"/>
      <c r="E404" s="212"/>
      <c r="F404" s="260"/>
      <c r="G404" s="248"/>
      <c r="H404" s="240">
        <f t="shared" si="7"/>
        <v>0</v>
      </c>
      <c r="I404" s="216" t="str">
        <f t="shared" si="6"/>
        <v/>
      </c>
      <c r="J404" s="216" t="str">
        <f t="array" ref="J404">IFERROR(IF(B404&lt;&gt;"",XLOOKUP(B404,FUNC!E:E,#REF!,"NO VIGENTE"),""),"")</f>
        <v/>
      </c>
      <c r="K404" s="216"/>
    </row>
    <row r="405" ht="18.0" customHeight="1">
      <c r="A405" s="212"/>
      <c r="B405" s="212"/>
      <c r="C405" s="212"/>
      <c r="D405" s="212"/>
      <c r="E405" s="212"/>
      <c r="F405" s="260"/>
      <c r="G405" s="248"/>
      <c r="H405" s="240">
        <f t="shared" si="7"/>
        <v>0</v>
      </c>
      <c r="I405" s="216" t="str">
        <f t="shared" si="6"/>
        <v/>
      </c>
      <c r="J405" s="216" t="str">
        <f t="array" ref="J405">IFERROR(IF(B405&lt;&gt;"",XLOOKUP(B405,FUNC!E:E,#REF!,"NO VIGENTE"),""),"")</f>
        <v/>
      </c>
      <c r="K405" s="216"/>
    </row>
    <row r="406" ht="18.0" customHeight="1">
      <c r="A406" s="212"/>
      <c r="B406" s="212"/>
      <c r="C406" s="212"/>
      <c r="D406" s="212"/>
      <c r="E406" s="212"/>
      <c r="F406" s="260"/>
      <c r="G406" s="248"/>
      <c r="H406" s="240">
        <f t="shared" si="7"/>
        <v>0</v>
      </c>
      <c r="I406" s="216" t="str">
        <f t="shared" si="6"/>
        <v/>
      </c>
      <c r="J406" s="216" t="str">
        <f t="array" ref="J406">IFERROR(IF(B406&lt;&gt;"",XLOOKUP(B406,FUNC!E:E,#REF!,"NO VIGENTE"),""),"")</f>
        <v/>
      </c>
      <c r="K406" s="216"/>
    </row>
    <row r="407" ht="18.0" customHeight="1">
      <c r="A407" s="212"/>
      <c r="B407" s="212"/>
      <c r="C407" s="212"/>
      <c r="D407" s="212"/>
      <c r="E407" s="212"/>
      <c r="F407" s="260"/>
      <c r="G407" s="248"/>
      <c r="H407" s="240">
        <f t="shared" si="7"/>
        <v>0</v>
      </c>
      <c r="I407" s="216" t="str">
        <f t="shared" si="6"/>
        <v/>
      </c>
      <c r="J407" s="216" t="str">
        <f t="array" ref="J407">IFERROR(IF(B407&lt;&gt;"",XLOOKUP(B407,FUNC!E:E,#REF!,"NO VIGENTE"),""),"")</f>
        <v/>
      </c>
      <c r="K407" s="216"/>
    </row>
    <row r="408" ht="18.0" customHeight="1">
      <c r="A408" s="212"/>
      <c r="B408" s="212"/>
      <c r="C408" s="212"/>
      <c r="D408" s="212"/>
      <c r="E408" s="212"/>
      <c r="F408" s="260"/>
      <c r="G408" s="248"/>
      <c r="H408" s="240">
        <f t="shared" si="7"/>
        <v>0</v>
      </c>
      <c r="I408" s="216" t="str">
        <f t="shared" si="6"/>
        <v/>
      </c>
      <c r="J408" s="216" t="str">
        <f t="array" ref="J408">IFERROR(IF(B408&lt;&gt;"",XLOOKUP(B408,FUNC!E:E,#REF!,"NO VIGENTE"),""),"")</f>
        <v/>
      </c>
      <c r="K408" s="216"/>
    </row>
    <row r="409" ht="18.0" customHeight="1">
      <c r="A409" s="212"/>
      <c r="B409" s="212"/>
      <c r="C409" s="212"/>
      <c r="D409" s="212"/>
      <c r="E409" s="212"/>
      <c r="F409" s="260"/>
      <c r="G409" s="248"/>
      <c r="H409" s="240">
        <f t="shared" si="7"/>
        <v>0</v>
      </c>
      <c r="I409" s="216" t="str">
        <f t="shared" si="6"/>
        <v/>
      </c>
      <c r="J409" s="216" t="str">
        <f t="array" ref="J409">IFERROR(IF(B409&lt;&gt;"",XLOOKUP(B409,FUNC!E:E,#REF!,"NO VIGENTE"),""),"")</f>
        <v/>
      </c>
      <c r="K409" s="216"/>
    </row>
    <row r="410" ht="18.0" customHeight="1">
      <c r="A410" s="212"/>
      <c r="B410" s="212"/>
      <c r="C410" s="212"/>
      <c r="D410" s="212"/>
      <c r="E410" s="212"/>
      <c r="F410" s="260"/>
      <c r="G410" s="248"/>
      <c r="H410" s="240">
        <f t="shared" si="7"/>
        <v>0</v>
      </c>
      <c r="I410" s="216" t="str">
        <f t="shared" si="6"/>
        <v/>
      </c>
      <c r="J410" s="216" t="str">
        <f t="array" ref="J410">IFERROR(IF(B410&lt;&gt;"",XLOOKUP(B410,FUNC!E:E,#REF!,"NO VIGENTE"),""),"")</f>
        <v/>
      </c>
      <c r="K410" s="216"/>
    </row>
    <row r="411" ht="18.0" customHeight="1">
      <c r="A411" s="212"/>
      <c r="B411" s="212"/>
      <c r="C411" s="212"/>
      <c r="D411" s="212"/>
      <c r="E411" s="212"/>
      <c r="F411" s="260"/>
      <c r="G411" s="248"/>
      <c r="H411" s="240">
        <f t="shared" si="7"/>
        <v>0</v>
      </c>
      <c r="I411" s="216" t="str">
        <f t="shared" si="6"/>
        <v/>
      </c>
      <c r="J411" s="216" t="str">
        <f t="array" ref="J411">IFERROR(IF(B411&lt;&gt;"",XLOOKUP(B411,FUNC!E:E,#REF!,"NO VIGENTE"),""),"")</f>
        <v/>
      </c>
      <c r="K411" s="216"/>
    </row>
    <row r="412" ht="18.0" customHeight="1">
      <c r="A412" s="212"/>
      <c r="B412" s="212"/>
      <c r="C412" s="212"/>
      <c r="D412" s="212"/>
      <c r="E412" s="212"/>
      <c r="F412" s="260"/>
      <c r="G412" s="248"/>
      <c r="H412" s="240">
        <f t="shared" si="7"/>
        <v>0</v>
      </c>
      <c r="I412" s="216" t="str">
        <f t="shared" si="6"/>
        <v/>
      </c>
      <c r="J412" s="216" t="str">
        <f t="array" ref="J412">IFERROR(IF(B412&lt;&gt;"",XLOOKUP(B412,FUNC!E:E,#REF!,"NO VIGENTE"),""),"")</f>
        <v/>
      </c>
      <c r="K412" s="216"/>
    </row>
    <row r="413" ht="18.0" customHeight="1">
      <c r="A413" s="212"/>
      <c r="B413" s="212"/>
      <c r="C413" s="212"/>
      <c r="D413" s="212"/>
      <c r="E413" s="212"/>
      <c r="F413" s="260"/>
      <c r="G413" s="248"/>
      <c r="H413" s="240">
        <f t="shared" si="7"/>
        <v>0</v>
      </c>
      <c r="I413" s="216" t="str">
        <f t="shared" si="6"/>
        <v/>
      </c>
      <c r="J413" s="216" t="str">
        <f t="array" ref="J413">IFERROR(IF(B413&lt;&gt;"",XLOOKUP(B413,FUNC!E:E,#REF!,"NO VIGENTE"),""),"")</f>
        <v/>
      </c>
      <c r="K413" s="216"/>
    </row>
    <row r="414" ht="18.0" customHeight="1">
      <c r="A414" s="212"/>
      <c r="B414" s="212"/>
      <c r="C414" s="212"/>
      <c r="D414" s="212"/>
      <c r="E414" s="212"/>
      <c r="F414" s="260"/>
      <c r="G414" s="248"/>
      <c r="H414" s="240">
        <f t="shared" si="7"/>
        <v>0</v>
      </c>
      <c r="I414" s="216" t="str">
        <f t="shared" si="6"/>
        <v/>
      </c>
      <c r="J414" s="216" t="str">
        <f t="array" ref="J414">IFERROR(IF(B414&lt;&gt;"",XLOOKUP(B414,FUNC!E:E,#REF!,"NO VIGENTE"),""),"")</f>
        <v/>
      </c>
      <c r="K414" s="216"/>
    </row>
    <row r="415" ht="18.0" customHeight="1">
      <c r="A415" s="212"/>
      <c r="B415" s="212"/>
      <c r="C415" s="212"/>
      <c r="D415" s="212"/>
      <c r="E415" s="212"/>
      <c r="F415" s="260"/>
      <c r="G415" s="248"/>
      <c r="H415" s="240">
        <f t="shared" si="7"/>
        <v>0</v>
      </c>
      <c r="I415" s="216" t="str">
        <f t="shared" si="6"/>
        <v/>
      </c>
      <c r="J415" s="216" t="str">
        <f t="array" ref="J415">IFERROR(IF(B415&lt;&gt;"",XLOOKUP(B415,FUNC!E:E,#REF!,"NO VIGENTE"),""),"")</f>
        <v/>
      </c>
      <c r="K415" s="216"/>
    </row>
    <row r="416" ht="18.0" customHeight="1">
      <c r="A416" s="212"/>
      <c r="B416" s="212"/>
      <c r="C416" s="212"/>
      <c r="D416" s="212"/>
      <c r="E416" s="212"/>
      <c r="F416" s="260"/>
      <c r="G416" s="248"/>
      <c r="H416" s="240">
        <f t="shared" si="7"/>
        <v>0</v>
      </c>
      <c r="I416" s="216" t="str">
        <f t="shared" si="6"/>
        <v/>
      </c>
      <c r="J416" s="216" t="str">
        <f t="array" ref="J416">IFERROR(IF(B416&lt;&gt;"",XLOOKUP(B416,FUNC!E:E,#REF!,"NO VIGENTE"),""),"")</f>
        <v/>
      </c>
      <c r="K416" s="216"/>
    </row>
    <row r="417" ht="18.0" customHeight="1">
      <c r="A417" s="212"/>
      <c r="B417" s="212"/>
      <c r="C417" s="212"/>
      <c r="D417" s="212"/>
      <c r="E417" s="212"/>
      <c r="F417" s="260"/>
      <c r="G417" s="248"/>
      <c r="H417" s="240">
        <f t="shared" si="7"/>
        <v>0</v>
      </c>
      <c r="I417" s="216" t="str">
        <f t="shared" si="6"/>
        <v/>
      </c>
      <c r="J417" s="216" t="str">
        <f t="array" ref="J417">IFERROR(IF(B417&lt;&gt;"",XLOOKUP(B417,FUNC!E:E,#REF!,"NO VIGENTE"),""),"")</f>
        <v/>
      </c>
      <c r="K417" s="216"/>
    </row>
    <row r="418" ht="18.0" customHeight="1">
      <c r="A418" s="212"/>
      <c r="B418" s="212"/>
      <c r="C418" s="212"/>
      <c r="D418" s="212"/>
      <c r="E418" s="212"/>
      <c r="F418" s="260"/>
      <c r="G418" s="248"/>
      <c r="H418" s="240">
        <f t="shared" si="7"/>
        <v>0</v>
      </c>
      <c r="I418" s="216" t="str">
        <f t="shared" si="6"/>
        <v/>
      </c>
      <c r="J418" s="216" t="str">
        <f t="array" ref="J418">IFERROR(IF(B418&lt;&gt;"",XLOOKUP(B418,FUNC!E:E,#REF!,"NO VIGENTE"),""),"")</f>
        <v/>
      </c>
      <c r="K418" s="216"/>
    </row>
    <row r="419" ht="18.0" customHeight="1">
      <c r="A419" s="212"/>
      <c r="B419" s="212"/>
      <c r="C419" s="212"/>
      <c r="D419" s="212"/>
      <c r="E419" s="212"/>
      <c r="F419" s="260"/>
      <c r="G419" s="248"/>
      <c r="H419" s="240">
        <f t="shared" si="7"/>
        <v>0</v>
      </c>
      <c r="I419" s="216" t="str">
        <f t="shared" si="6"/>
        <v/>
      </c>
      <c r="J419" s="216" t="str">
        <f t="array" ref="J419">IFERROR(IF(B419&lt;&gt;"",XLOOKUP(B419,FUNC!E:E,#REF!,"NO VIGENTE"),""),"")</f>
        <v/>
      </c>
      <c r="K419" s="216"/>
    </row>
    <row r="420" ht="18.0" customHeight="1">
      <c r="A420" s="212"/>
      <c r="B420" s="212"/>
      <c r="C420" s="212"/>
      <c r="D420" s="212"/>
      <c r="E420" s="212"/>
      <c r="F420" s="260"/>
      <c r="G420" s="248"/>
      <c r="H420" s="240">
        <f t="shared" si="7"/>
        <v>0</v>
      </c>
      <c r="I420" s="216" t="str">
        <f t="shared" si="6"/>
        <v/>
      </c>
      <c r="J420" s="216" t="str">
        <f t="array" ref="J420">IFERROR(IF(B420&lt;&gt;"",XLOOKUP(B420,FUNC!E:E,#REF!,"NO VIGENTE"),""),"")</f>
        <v/>
      </c>
      <c r="K420" s="216"/>
    </row>
    <row r="421" ht="18.0" customHeight="1">
      <c r="A421" s="212"/>
      <c r="B421" s="212"/>
      <c r="C421" s="212"/>
      <c r="D421" s="212"/>
      <c r="E421" s="212"/>
      <c r="F421" s="260"/>
      <c r="G421" s="248"/>
      <c r="H421" s="240">
        <f t="shared" si="7"/>
        <v>0</v>
      </c>
      <c r="I421" s="216" t="str">
        <f t="shared" si="6"/>
        <v/>
      </c>
      <c r="J421" s="216" t="str">
        <f t="array" ref="J421">IFERROR(IF(B421&lt;&gt;"",XLOOKUP(B421,FUNC!E:E,#REF!,"NO VIGENTE"),""),"")</f>
        <v/>
      </c>
      <c r="K421" s="216"/>
    </row>
    <row r="422" ht="18.0" customHeight="1">
      <c r="A422" s="212"/>
      <c r="B422" s="212"/>
      <c r="C422" s="212"/>
      <c r="D422" s="212"/>
      <c r="E422" s="212"/>
      <c r="F422" s="260"/>
      <c r="G422" s="248"/>
      <c r="H422" s="240">
        <f t="shared" si="7"/>
        <v>0</v>
      </c>
      <c r="I422" s="216" t="str">
        <f t="shared" si="6"/>
        <v/>
      </c>
      <c r="J422" s="216" t="str">
        <f t="array" ref="J422">IFERROR(IF(B422&lt;&gt;"",XLOOKUP(B422,FUNC!E:E,#REF!,"NO VIGENTE"),""),"")</f>
        <v/>
      </c>
      <c r="K422" s="216"/>
    </row>
    <row r="423" ht="18.0" customHeight="1">
      <c r="A423" s="212"/>
      <c r="B423" s="212"/>
      <c r="C423" s="212"/>
      <c r="D423" s="212"/>
      <c r="E423" s="212"/>
      <c r="F423" s="260"/>
      <c r="G423" s="248"/>
      <c r="H423" s="240">
        <f t="shared" si="7"/>
        <v>0</v>
      </c>
      <c r="I423" s="216" t="str">
        <f t="shared" si="6"/>
        <v/>
      </c>
      <c r="J423" s="216" t="str">
        <f t="array" ref="J423">IFERROR(IF(B423&lt;&gt;"",XLOOKUP(B423,FUNC!E:E,#REF!,"NO VIGENTE"),""),"")</f>
        <v/>
      </c>
      <c r="K423" s="216"/>
    </row>
    <row r="424" ht="18.0" customHeight="1">
      <c r="A424" s="212"/>
      <c r="B424" s="212"/>
      <c r="C424" s="212"/>
      <c r="D424" s="212"/>
      <c r="E424" s="212"/>
      <c r="F424" s="260"/>
      <c r="G424" s="248"/>
      <c r="H424" s="240">
        <f t="shared" si="7"/>
        <v>0</v>
      </c>
      <c r="I424" s="216" t="str">
        <f t="shared" si="6"/>
        <v/>
      </c>
      <c r="J424" s="216" t="str">
        <f t="array" ref="J424">IFERROR(IF(B424&lt;&gt;"",XLOOKUP(B424,FUNC!E:E,#REF!,"NO VIGENTE"),""),"")</f>
        <v/>
      </c>
      <c r="K424" s="216"/>
    </row>
    <row r="425" ht="18.0" customHeight="1">
      <c r="A425" s="212"/>
      <c r="B425" s="212"/>
      <c r="C425" s="212"/>
      <c r="D425" s="212"/>
      <c r="E425" s="212"/>
      <c r="F425" s="260"/>
      <c r="G425" s="248"/>
      <c r="H425" s="240">
        <f t="shared" si="7"/>
        <v>0</v>
      </c>
      <c r="I425" s="216" t="str">
        <f t="shared" si="6"/>
        <v/>
      </c>
      <c r="J425" s="216" t="str">
        <f t="array" ref="J425">IFERROR(IF(B425&lt;&gt;"",XLOOKUP(B425,FUNC!E:E,#REF!,"NO VIGENTE"),""),"")</f>
        <v/>
      </c>
      <c r="K425" s="216"/>
    </row>
    <row r="426" ht="18.0" customHeight="1">
      <c r="A426" s="212"/>
      <c r="B426" s="212"/>
      <c r="C426" s="212"/>
      <c r="D426" s="212"/>
      <c r="E426" s="212"/>
      <c r="F426" s="260"/>
      <c r="G426" s="248"/>
      <c r="H426" s="240">
        <f t="shared" si="7"/>
        <v>0</v>
      </c>
      <c r="I426" s="216" t="str">
        <f t="shared" si="6"/>
        <v/>
      </c>
      <c r="J426" s="216" t="str">
        <f t="array" ref="J426">IFERROR(IF(B426&lt;&gt;"",XLOOKUP(B426,FUNC!E:E,#REF!,"NO VIGENTE"),""),"")</f>
        <v/>
      </c>
      <c r="K426" s="216"/>
    </row>
    <row r="427" ht="18.0" customHeight="1">
      <c r="A427" s="212"/>
      <c r="B427" s="212"/>
      <c r="C427" s="212"/>
      <c r="D427" s="212"/>
      <c r="E427" s="212"/>
      <c r="F427" s="260"/>
      <c r="G427" s="248"/>
      <c r="H427" s="240">
        <f t="shared" si="7"/>
        <v>0</v>
      </c>
      <c r="I427" s="216" t="str">
        <f t="shared" si="6"/>
        <v/>
      </c>
      <c r="J427" s="216" t="str">
        <f t="array" ref="J427">IFERROR(IF(B427&lt;&gt;"",XLOOKUP(B427,FUNC!E:E,#REF!,"NO VIGENTE"),""),"")</f>
        <v/>
      </c>
      <c r="K427" s="216"/>
    </row>
    <row r="428" ht="18.0" customHeight="1">
      <c r="A428" s="212"/>
      <c r="B428" s="212"/>
      <c r="C428" s="212"/>
      <c r="D428" s="212"/>
      <c r="E428" s="212"/>
      <c r="F428" s="260"/>
      <c r="G428" s="248"/>
      <c r="H428" s="240">
        <f t="shared" si="7"/>
        <v>0</v>
      </c>
      <c r="I428" s="216" t="str">
        <f t="shared" si="6"/>
        <v/>
      </c>
      <c r="J428" s="216" t="str">
        <f t="array" ref="J428">IFERROR(IF(B428&lt;&gt;"",XLOOKUP(B428,FUNC!E:E,#REF!,"NO VIGENTE"),""),"")</f>
        <v/>
      </c>
      <c r="K428" s="216"/>
    </row>
    <row r="429" ht="18.0" customHeight="1">
      <c r="A429" s="212"/>
      <c r="B429" s="212"/>
      <c r="C429" s="212"/>
      <c r="D429" s="212"/>
      <c r="E429" s="212"/>
      <c r="F429" s="260"/>
      <c r="G429" s="248"/>
      <c r="H429" s="240">
        <f t="shared" si="7"/>
        <v>0</v>
      </c>
      <c r="I429" s="216" t="str">
        <f t="shared" si="6"/>
        <v/>
      </c>
      <c r="J429" s="216" t="str">
        <f t="array" ref="J429">IFERROR(IF(B429&lt;&gt;"",XLOOKUP(B429,FUNC!E:E,#REF!,"NO VIGENTE"),""),"")</f>
        <v/>
      </c>
      <c r="K429" s="216"/>
    </row>
    <row r="430" ht="18.0" customHeight="1">
      <c r="A430" s="212"/>
      <c r="B430" s="212"/>
      <c r="C430" s="212"/>
      <c r="D430" s="212"/>
      <c r="E430" s="212"/>
      <c r="F430" s="260"/>
      <c r="G430" s="248"/>
      <c r="H430" s="240">
        <f t="shared" si="7"/>
        <v>0</v>
      </c>
      <c r="I430" s="216" t="str">
        <f t="shared" si="6"/>
        <v/>
      </c>
      <c r="J430" s="216" t="str">
        <f t="array" ref="J430">IFERROR(IF(B430&lt;&gt;"",XLOOKUP(B430,FUNC!E:E,#REF!,"NO VIGENTE"),""),"")</f>
        <v/>
      </c>
      <c r="K430" s="216"/>
    </row>
    <row r="431" ht="18.0" customHeight="1">
      <c r="A431" s="212"/>
      <c r="B431" s="212"/>
      <c r="C431" s="212"/>
      <c r="D431" s="212"/>
      <c r="E431" s="212"/>
      <c r="F431" s="260"/>
      <c r="G431" s="248"/>
      <c r="H431" s="240">
        <f t="shared" si="7"/>
        <v>0</v>
      </c>
      <c r="I431" s="216" t="str">
        <f t="shared" si="6"/>
        <v/>
      </c>
      <c r="J431" s="216" t="str">
        <f t="array" ref="J431">IFERROR(IF(B431&lt;&gt;"",XLOOKUP(B431,FUNC!E:E,#REF!,"NO VIGENTE"),""),"")</f>
        <v/>
      </c>
      <c r="K431" s="216"/>
    </row>
    <row r="432" ht="18.0" customHeight="1">
      <c r="A432" s="212"/>
      <c r="B432" s="212"/>
      <c r="C432" s="212"/>
      <c r="D432" s="212"/>
      <c r="E432" s="212"/>
      <c r="F432" s="260"/>
      <c r="G432" s="248"/>
      <c r="H432" s="240">
        <f t="shared" si="7"/>
        <v>0</v>
      </c>
      <c r="I432" s="216" t="str">
        <f t="shared" si="6"/>
        <v/>
      </c>
      <c r="J432" s="216" t="str">
        <f t="array" ref="J432">IFERROR(IF(B432&lt;&gt;"",XLOOKUP(B432,FUNC!E:E,#REF!,"NO VIGENTE"),""),"")</f>
        <v/>
      </c>
      <c r="K432" s="216"/>
    </row>
    <row r="433" ht="18.0" customHeight="1">
      <c r="A433" s="212"/>
      <c r="B433" s="212"/>
      <c r="C433" s="212"/>
      <c r="D433" s="212"/>
      <c r="E433" s="212"/>
      <c r="F433" s="260"/>
      <c r="G433" s="248"/>
      <c r="H433" s="240">
        <f t="shared" si="7"/>
        <v>0</v>
      </c>
      <c r="I433" s="216" t="str">
        <f t="shared" si="6"/>
        <v/>
      </c>
      <c r="J433" s="216" t="str">
        <f t="array" ref="J433">IFERROR(IF(B433&lt;&gt;"",XLOOKUP(B433,FUNC!E:E,#REF!,"NO VIGENTE"),""),"")</f>
        <v/>
      </c>
      <c r="K433" s="216"/>
    </row>
    <row r="434" ht="18.0" customHeight="1">
      <c r="A434" s="212"/>
      <c r="B434" s="212"/>
      <c r="C434" s="212"/>
      <c r="D434" s="212"/>
      <c r="E434" s="212"/>
      <c r="F434" s="260"/>
      <c r="G434" s="248"/>
      <c r="H434" s="240">
        <f t="shared" si="7"/>
        <v>0</v>
      </c>
      <c r="I434" s="216" t="str">
        <f t="shared" si="6"/>
        <v/>
      </c>
      <c r="J434" s="216" t="str">
        <f t="array" ref="J434">IFERROR(IF(B434&lt;&gt;"",XLOOKUP(B434,FUNC!E:E,#REF!,"NO VIGENTE"),""),"")</f>
        <v/>
      </c>
      <c r="K434" s="216"/>
    </row>
    <row r="435" ht="18.0" customHeight="1">
      <c r="A435" s="212"/>
      <c r="B435" s="212"/>
      <c r="C435" s="212"/>
      <c r="D435" s="212"/>
      <c r="E435" s="212"/>
      <c r="F435" s="260"/>
      <c r="G435" s="248"/>
      <c r="H435" s="240">
        <f t="shared" si="7"/>
        <v>0</v>
      </c>
      <c r="I435" s="216" t="str">
        <f t="shared" si="6"/>
        <v/>
      </c>
      <c r="J435" s="216" t="str">
        <f t="array" ref="J435">IFERROR(IF(B435&lt;&gt;"",XLOOKUP(B435,FUNC!E:E,#REF!,"NO VIGENTE"),""),"")</f>
        <v/>
      </c>
      <c r="K435" s="216"/>
    </row>
    <row r="436" ht="18.0" customHeight="1">
      <c r="A436" s="212"/>
      <c r="B436" s="212"/>
      <c r="C436" s="212"/>
      <c r="D436" s="212"/>
      <c r="E436" s="212"/>
      <c r="F436" s="260"/>
      <c r="G436" s="248"/>
      <c r="H436" s="240">
        <f t="shared" si="7"/>
        <v>0</v>
      </c>
      <c r="I436" s="216" t="str">
        <f t="shared" si="6"/>
        <v/>
      </c>
      <c r="J436" s="216" t="str">
        <f t="array" ref="J436">IFERROR(IF(B436&lt;&gt;"",XLOOKUP(B436,FUNC!E:E,#REF!,"NO VIGENTE"),""),"")</f>
        <v/>
      </c>
      <c r="K436" s="216"/>
    </row>
    <row r="437" ht="18.0" customHeight="1">
      <c r="A437" s="212"/>
      <c r="B437" s="212"/>
      <c r="C437" s="212"/>
      <c r="D437" s="212"/>
      <c r="E437" s="212"/>
      <c r="F437" s="260"/>
      <c r="G437" s="248"/>
      <c r="H437" s="240">
        <f t="shared" si="7"/>
        <v>0</v>
      </c>
      <c r="I437" s="216" t="str">
        <f t="shared" si="6"/>
        <v/>
      </c>
      <c r="J437" s="216" t="str">
        <f t="array" ref="J437">IFERROR(IF(B437&lt;&gt;"",XLOOKUP(B437,FUNC!E:E,#REF!,"NO VIGENTE"),""),"")</f>
        <v/>
      </c>
      <c r="K437" s="216"/>
    </row>
    <row r="438" ht="18.0" customHeight="1">
      <c r="A438" s="212"/>
      <c r="B438" s="212"/>
      <c r="C438" s="212"/>
      <c r="D438" s="212"/>
      <c r="E438" s="212"/>
      <c r="F438" s="260"/>
      <c r="G438" s="248"/>
      <c r="H438" s="240">
        <f t="shared" si="7"/>
        <v>0</v>
      </c>
      <c r="I438" s="216" t="str">
        <f t="shared" si="6"/>
        <v/>
      </c>
      <c r="J438" s="216" t="str">
        <f t="array" ref="J438">IFERROR(IF(B438&lt;&gt;"",XLOOKUP(B438,FUNC!E:E,#REF!,"NO VIGENTE"),""),"")</f>
        <v/>
      </c>
      <c r="K438" s="216"/>
    </row>
    <row r="439" ht="18.0" customHeight="1">
      <c r="A439" s="212"/>
      <c r="B439" s="212"/>
      <c r="C439" s="212"/>
      <c r="D439" s="212"/>
      <c r="E439" s="212"/>
      <c r="F439" s="260"/>
      <c r="G439" s="248"/>
      <c r="H439" s="240">
        <f t="shared" si="7"/>
        <v>0</v>
      </c>
      <c r="I439" s="216" t="str">
        <f t="shared" si="6"/>
        <v/>
      </c>
      <c r="J439" s="216" t="str">
        <f t="array" ref="J439">IFERROR(IF(B439&lt;&gt;"",XLOOKUP(B439,FUNC!E:E,#REF!,"NO VIGENTE"),""),"")</f>
        <v/>
      </c>
      <c r="K439" s="216"/>
    </row>
    <row r="440" ht="18.0" customHeight="1">
      <c r="A440" s="212"/>
      <c r="B440" s="212"/>
      <c r="C440" s="212"/>
      <c r="D440" s="212"/>
      <c r="E440" s="212"/>
      <c r="F440" s="260"/>
      <c r="G440" s="248"/>
      <c r="H440" s="240">
        <f t="shared" si="7"/>
        <v>0</v>
      </c>
      <c r="I440" s="216" t="str">
        <f t="shared" si="6"/>
        <v/>
      </c>
      <c r="J440" s="216" t="str">
        <f t="array" ref="J440">IFERROR(IF(B440&lt;&gt;"",XLOOKUP(B440,FUNC!E:E,#REF!,"NO VIGENTE"),""),"")</f>
        <v/>
      </c>
      <c r="K440" s="216"/>
    </row>
    <row r="441" ht="18.0" customHeight="1">
      <c r="A441" s="212"/>
      <c r="B441" s="212"/>
      <c r="C441" s="212"/>
      <c r="D441" s="212"/>
      <c r="E441" s="212"/>
      <c r="F441" s="260"/>
      <c r="G441" s="248"/>
      <c r="H441" s="240">
        <f t="shared" si="7"/>
        <v>0</v>
      </c>
      <c r="I441" s="216" t="str">
        <f t="shared" si="6"/>
        <v/>
      </c>
      <c r="J441" s="216" t="str">
        <f t="array" ref="J441">IFERROR(IF(B441&lt;&gt;"",XLOOKUP(B441,FUNC!E:E,#REF!,"NO VIGENTE"),""),"")</f>
        <v/>
      </c>
      <c r="K441" s="216"/>
    </row>
    <row r="442" ht="18.0" customHeight="1">
      <c r="A442" s="212"/>
      <c r="B442" s="212"/>
      <c r="C442" s="212"/>
      <c r="D442" s="212"/>
      <c r="E442" s="212"/>
      <c r="F442" s="260"/>
      <c r="G442" s="248"/>
      <c r="H442" s="240">
        <f t="shared" si="7"/>
        <v>0</v>
      </c>
      <c r="I442" s="216" t="str">
        <f t="shared" si="6"/>
        <v/>
      </c>
      <c r="J442" s="216" t="str">
        <f t="array" ref="J442">IFERROR(IF(B442&lt;&gt;"",XLOOKUP(B442,FUNC!E:E,#REF!,"NO VIGENTE"),""),"")</f>
        <v/>
      </c>
      <c r="K442" s="216"/>
    </row>
    <row r="443" ht="18.0" customHeight="1">
      <c r="A443" s="212"/>
      <c r="B443" s="212"/>
      <c r="C443" s="212"/>
      <c r="D443" s="212"/>
      <c r="E443" s="212"/>
      <c r="F443" s="260"/>
      <c r="G443" s="248"/>
      <c r="H443" s="240">
        <f t="shared" si="7"/>
        <v>0</v>
      </c>
      <c r="I443" s="216" t="str">
        <f t="shared" si="6"/>
        <v/>
      </c>
      <c r="J443" s="216" t="str">
        <f t="array" ref="J443">IFERROR(IF(B443&lt;&gt;"",XLOOKUP(B443,FUNC!E:E,#REF!,"NO VIGENTE"),""),"")</f>
        <v/>
      </c>
      <c r="K443" s="216"/>
    </row>
    <row r="444" ht="18.0" customHeight="1">
      <c r="A444" s="212"/>
      <c r="B444" s="212"/>
      <c r="C444" s="212"/>
      <c r="D444" s="212"/>
      <c r="E444" s="212"/>
      <c r="F444" s="260"/>
      <c r="G444" s="248"/>
      <c r="H444" s="240">
        <f t="shared" si="7"/>
        <v>0</v>
      </c>
      <c r="I444" s="216" t="str">
        <f t="shared" si="6"/>
        <v/>
      </c>
      <c r="J444" s="216" t="str">
        <f t="array" ref="J444">IFERROR(IF(B444&lt;&gt;"",XLOOKUP(B444,FUNC!E:E,#REF!,"NO VIGENTE"),""),"")</f>
        <v/>
      </c>
      <c r="K444" s="216"/>
    </row>
    <row r="445" ht="18.0" customHeight="1">
      <c r="A445" s="212"/>
      <c r="B445" s="212"/>
      <c r="C445" s="212"/>
      <c r="D445" s="212"/>
      <c r="E445" s="212"/>
      <c r="F445" s="260"/>
      <c r="G445" s="248"/>
      <c r="H445" s="240">
        <f t="shared" si="7"/>
        <v>0</v>
      </c>
      <c r="I445" s="216" t="str">
        <f t="shared" si="6"/>
        <v/>
      </c>
      <c r="J445" s="216" t="str">
        <f t="array" ref="J445">IFERROR(IF(B445&lt;&gt;"",XLOOKUP(B445,FUNC!E:E,#REF!,"NO VIGENTE"),""),"")</f>
        <v/>
      </c>
      <c r="K445" s="216"/>
    </row>
    <row r="446" ht="18.0" customHeight="1">
      <c r="A446" s="212"/>
      <c r="B446" s="212"/>
      <c r="C446" s="212"/>
      <c r="D446" s="212"/>
      <c r="E446" s="212"/>
      <c r="F446" s="260"/>
      <c r="G446" s="248"/>
      <c r="H446" s="240">
        <f t="shared" si="7"/>
        <v>0</v>
      </c>
      <c r="I446" s="216" t="str">
        <f t="shared" si="6"/>
        <v/>
      </c>
      <c r="J446" s="216" t="str">
        <f t="array" ref="J446">IFERROR(IF(B446&lt;&gt;"",XLOOKUP(B446,FUNC!E:E,#REF!,"NO VIGENTE"),""),"")</f>
        <v/>
      </c>
      <c r="K446" s="216"/>
    </row>
    <row r="447" ht="18.0" customHeight="1">
      <c r="A447" s="212"/>
      <c r="B447" s="212"/>
      <c r="C447" s="212"/>
      <c r="D447" s="212"/>
      <c r="E447" s="212"/>
      <c r="F447" s="260"/>
      <c r="G447" s="248"/>
      <c r="H447" s="240">
        <f t="shared" si="7"/>
        <v>0</v>
      </c>
      <c r="I447" s="216" t="str">
        <f t="shared" si="6"/>
        <v/>
      </c>
      <c r="J447" s="216" t="str">
        <f t="array" ref="J447">IFERROR(IF(B447&lt;&gt;"",XLOOKUP(B447,FUNC!E:E,#REF!,"NO VIGENTE"),""),"")</f>
        <v/>
      </c>
      <c r="K447" s="216"/>
    </row>
    <row r="448" ht="18.0" customHeight="1">
      <c r="A448" s="212"/>
      <c r="B448" s="212"/>
      <c r="C448" s="212"/>
      <c r="D448" s="212"/>
      <c r="E448" s="212"/>
      <c r="F448" s="260"/>
      <c r="G448" s="248"/>
      <c r="H448" s="240">
        <f t="shared" si="7"/>
        <v>0</v>
      </c>
      <c r="I448" s="216" t="str">
        <f t="shared" si="6"/>
        <v/>
      </c>
      <c r="J448" s="216" t="str">
        <f t="array" ref="J448">IFERROR(IF(B448&lt;&gt;"",XLOOKUP(B448,FUNC!E:E,#REF!,"NO VIGENTE"),""),"")</f>
        <v/>
      </c>
      <c r="K448" s="216"/>
    </row>
    <row r="449" ht="18.0" customHeight="1">
      <c r="A449" s="212"/>
      <c r="B449" s="212"/>
      <c r="C449" s="212"/>
      <c r="D449" s="212"/>
      <c r="E449" s="212"/>
      <c r="F449" s="260"/>
      <c r="G449" s="248"/>
      <c r="H449" s="240">
        <f t="shared" si="7"/>
        <v>0</v>
      </c>
      <c r="I449" s="216" t="str">
        <f t="shared" si="6"/>
        <v/>
      </c>
      <c r="J449" s="216" t="str">
        <f t="array" ref="J449">IFERROR(IF(B449&lt;&gt;"",XLOOKUP(B449,FUNC!E:E,#REF!,"NO VIGENTE"),""),"")</f>
        <v/>
      </c>
      <c r="K449" s="216"/>
    </row>
    <row r="450" ht="18.0" customHeight="1">
      <c r="A450" s="212"/>
      <c r="B450" s="212"/>
      <c r="C450" s="212"/>
      <c r="D450" s="212"/>
      <c r="E450" s="212"/>
      <c r="F450" s="260"/>
      <c r="G450" s="248"/>
      <c r="H450" s="240">
        <f t="shared" si="7"/>
        <v>0</v>
      </c>
      <c r="I450" s="216" t="str">
        <f t="shared" si="6"/>
        <v/>
      </c>
      <c r="J450" s="216" t="str">
        <f t="array" ref="J450">IFERROR(IF(B450&lt;&gt;"",XLOOKUP(B450,FUNC!E:E,#REF!,"NO VIGENTE"),""),"")</f>
        <v/>
      </c>
      <c r="K450" s="216"/>
    </row>
    <row r="451" ht="18.0" customHeight="1">
      <c r="A451" s="212"/>
      <c r="B451" s="212"/>
      <c r="C451" s="212"/>
      <c r="D451" s="212"/>
      <c r="E451" s="212"/>
      <c r="F451" s="260"/>
      <c r="G451" s="248"/>
      <c r="H451" s="240">
        <f t="shared" si="7"/>
        <v>0</v>
      </c>
      <c r="I451" s="216" t="str">
        <f t="shared" si="6"/>
        <v/>
      </c>
      <c r="J451" s="216" t="str">
        <f t="array" ref="J451">IFERROR(IF(B451&lt;&gt;"",XLOOKUP(B451,FUNC!E:E,#REF!,"NO VIGENTE"),""),"")</f>
        <v/>
      </c>
      <c r="K451" s="216"/>
    </row>
    <row r="452" ht="18.0" customHeight="1">
      <c r="A452" s="212"/>
      <c r="B452" s="212"/>
      <c r="C452" s="212"/>
      <c r="D452" s="212"/>
      <c r="E452" s="212"/>
      <c r="F452" s="260"/>
      <c r="G452" s="248"/>
      <c r="H452" s="240">
        <f t="shared" si="7"/>
        <v>0</v>
      </c>
      <c r="I452" s="216" t="str">
        <f t="shared" si="6"/>
        <v/>
      </c>
      <c r="J452" s="216" t="str">
        <f t="array" ref="J452">IFERROR(IF(B452&lt;&gt;"",XLOOKUP(B452,FUNC!E:E,#REF!,"NO VIGENTE"),""),"")</f>
        <v/>
      </c>
      <c r="K452" s="216"/>
    </row>
    <row r="453" ht="18.0" customHeight="1">
      <c r="A453" s="212"/>
      <c r="B453" s="212"/>
      <c r="C453" s="212"/>
      <c r="D453" s="212"/>
      <c r="E453" s="212"/>
      <c r="F453" s="260"/>
      <c r="G453" s="248"/>
      <c r="H453" s="240">
        <f t="shared" si="7"/>
        <v>0</v>
      </c>
      <c r="I453" s="216" t="str">
        <f t="shared" si="6"/>
        <v/>
      </c>
      <c r="J453" s="216" t="str">
        <f t="array" ref="J453">IFERROR(IF(B453&lt;&gt;"",XLOOKUP(B453,FUNC!E:E,#REF!,"NO VIGENTE"),""),"")</f>
        <v/>
      </c>
      <c r="K453" s="216"/>
    </row>
    <row r="454" ht="18.0" customHeight="1">
      <c r="A454" s="212"/>
      <c r="B454" s="212"/>
      <c r="C454" s="212"/>
      <c r="D454" s="212"/>
      <c r="E454" s="212"/>
      <c r="F454" s="260"/>
      <c r="G454" s="248"/>
      <c r="H454" s="240">
        <f t="shared" si="7"/>
        <v>0</v>
      </c>
      <c r="I454" s="216" t="str">
        <f t="shared" si="6"/>
        <v/>
      </c>
      <c r="J454" s="216" t="str">
        <f t="array" ref="J454">IFERROR(IF(B454&lt;&gt;"",XLOOKUP(B454,FUNC!E:E,#REF!,"NO VIGENTE"),""),"")</f>
        <v/>
      </c>
      <c r="K454" s="216"/>
    </row>
    <row r="455" ht="18.0" customHeight="1">
      <c r="A455" s="212"/>
      <c r="B455" s="212"/>
      <c r="C455" s="212"/>
      <c r="D455" s="212"/>
      <c r="E455" s="212"/>
      <c r="F455" s="260"/>
      <c r="G455" s="248"/>
      <c r="H455" s="240">
        <f t="shared" si="7"/>
        <v>0</v>
      </c>
      <c r="I455" s="216" t="str">
        <f t="shared" si="6"/>
        <v/>
      </c>
      <c r="J455" s="216" t="str">
        <f t="array" ref="J455">IFERROR(IF(B455&lt;&gt;"",XLOOKUP(B455,FUNC!E:E,#REF!,"NO VIGENTE"),""),"")</f>
        <v/>
      </c>
      <c r="K455" s="216"/>
    </row>
    <row r="456" ht="18.0" customHeight="1">
      <c r="A456" s="212"/>
      <c r="B456" s="212"/>
      <c r="C456" s="212"/>
      <c r="D456" s="212"/>
      <c r="E456" s="212"/>
      <c r="F456" s="260"/>
      <c r="G456" s="248"/>
      <c r="H456" s="240">
        <f t="shared" si="7"/>
        <v>0</v>
      </c>
      <c r="I456" s="216" t="str">
        <f t="shared" si="6"/>
        <v/>
      </c>
      <c r="J456" s="216" t="str">
        <f t="array" ref="J456">IFERROR(IF(B456&lt;&gt;"",XLOOKUP(B456,FUNC!E:E,#REF!,"NO VIGENTE"),""),"")</f>
        <v/>
      </c>
      <c r="K456" s="216"/>
    </row>
    <row r="457" ht="18.0" customHeight="1">
      <c r="A457" s="212"/>
      <c r="B457" s="212"/>
      <c r="C457" s="212"/>
      <c r="D457" s="212"/>
      <c r="E457" s="212"/>
      <c r="F457" s="260"/>
      <c r="G457" s="248"/>
      <c r="H457" s="240">
        <f t="shared" si="7"/>
        <v>0</v>
      </c>
      <c r="I457" s="216" t="str">
        <f t="shared" si="6"/>
        <v/>
      </c>
      <c r="J457" s="216" t="str">
        <f t="array" ref="J457">IFERROR(IF(B457&lt;&gt;"",XLOOKUP(B457,FUNC!E:E,#REF!,"NO VIGENTE"),""),"")</f>
        <v/>
      </c>
      <c r="K457" s="216"/>
    </row>
    <row r="458" ht="18.0" customHeight="1">
      <c r="A458" s="212"/>
      <c r="B458" s="212"/>
      <c r="C458" s="212"/>
      <c r="D458" s="212"/>
      <c r="E458" s="212"/>
      <c r="F458" s="260"/>
      <c r="G458" s="248"/>
      <c r="H458" s="240">
        <f t="shared" si="7"/>
        <v>0</v>
      </c>
      <c r="I458" s="216" t="str">
        <f t="shared" si="6"/>
        <v/>
      </c>
      <c r="J458" s="216" t="str">
        <f t="array" ref="J458">IFERROR(IF(B458&lt;&gt;"",XLOOKUP(B458,FUNC!E:E,#REF!,"NO VIGENTE"),""),"")</f>
        <v/>
      </c>
      <c r="K458" s="216"/>
    </row>
    <row r="459" ht="18.0" customHeight="1">
      <c r="A459" s="212"/>
      <c r="B459" s="212"/>
      <c r="C459" s="212"/>
      <c r="D459" s="212"/>
      <c r="E459" s="212"/>
      <c r="F459" s="260"/>
      <c r="G459" s="248"/>
      <c r="H459" s="240">
        <f t="shared" si="7"/>
        <v>0</v>
      </c>
      <c r="I459" s="216" t="str">
        <f t="shared" si="6"/>
        <v/>
      </c>
      <c r="J459" s="216" t="str">
        <f t="array" ref="J459">IFERROR(IF(B459&lt;&gt;"",XLOOKUP(B459,FUNC!E:E,#REF!,"NO VIGENTE"),""),"")</f>
        <v/>
      </c>
      <c r="K459" s="216"/>
    </row>
    <row r="460" ht="18.0" customHeight="1">
      <c r="A460" s="212"/>
      <c r="B460" s="212"/>
      <c r="C460" s="212"/>
      <c r="D460" s="212"/>
      <c r="E460" s="212"/>
      <c r="F460" s="260"/>
      <c r="G460" s="248"/>
      <c r="H460" s="240">
        <f t="shared" si="7"/>
        <v>0</v>
      </c>
      <c r="I460" s="216" t="str">
        <f t="shared" si="6"/>
        <v/>
      </c>
      <c r="J460" s="216" t="str">
        <f t="array" ref="J460">IFERROR(IF(B460&lt;&gt;"",XLOOKUP(B460,FUNC!E:E,#REF!,"NO VIGENTE"),""),"")</f>
        <v/>
      </c>
      <c r="K460" s="216"/>
    </row>
    <row r="461" ht="18.0" customHeight="1">
      <c r="A461" s="212"/>
      <c r="B461" s="212"/>
      <c r="C461" s="212"/>
      <c r="D461" s="212"/>
      <c r="E461" s="212"/>
      <c r="F461" s="260"/>
      <c r="G461" s="248"/>
      <c r="H461" s="240">
        <f t="shared" si="7"/>
        <v>0</v>
      </c>
      <c r="I461" s="216" t="str">
        <f t="shared" si="6"/>
        <v/>
      </c>
      <c r="J461" s="216" t="str">
        <f t="array" ref="J461">IFERROR(IF(B461&lt;&gt;"",XLOOKUP(B461,FUNC!E:E,#REF!,"NO VIGENTE"),""),"")</f>
        <v/>
      </c>
      <c r="K461" s="216"/>
    </row>
    <row r="462" ht="18.0" customHeight="1">
      <c r="A462" s="212"/>
      <c r="B462" s="212"/>
      <c r="C462" s="212"/>
      <c r="D462" s="212"/>
      <c r="E462" s="212"/>
      <c r="F462" s="260"/>
      <c r="G462" s="248"/>
      <c r="H462" s="240">
        <f t="shared" si="7"/>
        <v>0</v>
      </c>
      <c r="I462" s="216" t="str">
        <f t="shared" si="6"/>
        <v/>
      </c>
      <c r="J462" s="216" t="str">
        <f t="array" ref="J462">IFERROR(IF(B462&lt;&gt;"",XLOOKUP(B462,FUNC!E:E,#REF!,"NO VIGENTE"),""),"")</f>
        <v/>
      </c>
      <c r="K462" s="216"/>
    </row>
    <row r="463" ht="18.0" customHeight="1">
      <c r="A463" s="212"/>
      <c r="B463" s="212"/>
      <c r="C463" s="212"/>
      <c r="D463" s="212"/>
      <c r="E463" s="212"/>
      <c r="F463" s="260"/>
      <c r="G463" s="248"/>
      <c r="H463" s="240">
        <f t="shared" si="7"/>
        <v>0</v>
      </c>
      <c r="I463" s="216" t="str">
        <f t="shared" si="6"/>
        <v/>
      </c>
      <c r="J463" s="216"/>
      <c r="K463" s="216"/>
    </row>
    <row r="464" ht="18.0" customHeight="1">
      <c r="A464" s="212"/>
      <c r="B464" s="212"/>
      <c r="C464" s="212"/>
      <c r="D464" s="212"/>
      <c r="E464" s="212"/>
      <c r="F464" s="260"/>
      <c r="G464" s="248"/>
      <c r="H464" s="240">
        <f t="shared" si="7"/>
        <v>0</v>
      </c>
      <c r="I464" s="216" t="str">
        <f t="shared" si="6"/>
        <v/>
      </c>
      <c r="J464" s="216"/>
      <c r="K464" s="216"/>
    </row>
    <row r="465" ht="18.0" customHeight="1">
      <c r="A465" s="212"/>
      <c r="B465" s="212"/>
      <c r="C465" s="212"/>
      <c r="D465" s="212"/>
      <c r="E465" s="212"/>
      <c r="F465" s="260"/>
      <c r="G465" s="248"/>
      <c r="H465" s="240">
        <f t="shared" si="7"/>
        <v>0</v>
      </c>
      <c r="I465" s="216" t="str">
        <f t="shared" si="6"/>
        <v/>
      </c>
      <c r="J465" s="216"/>
      <c r="K465" s="216"/>
    </row>
    <row r="466" ht="18.0" customHeight="1">
      <c r="A466" s="212"/>
      <c r="B466" s="212"/>
      <c r="C466" s="212"/>
      <c r="D466" s="212"/>
      <c r="E466" s="212"/>
      <c r="F466" s="260"/>
      <c r="G466" s="248"/>
      <c r="H466" s="240">
        <f t="shared" si="7"/>
        <v>0</v>
      </c>
      <c r="I466" s="216" t="str">
        <f t="shared" si="6"/>
        <v/>
      </c>
      <c r="J466" s="216"/>
      <c r="K466" s="216"/>
    </row>
    <row r="467" ht="18.0" customHeight="1">
      <c r="A467" s="212"/>
      <c r="B467" s="212"/>
      <c r="C467" s="212"/>
      <c r="D467" s="212"/>
      <c r="E467" s="212"/>
      <c r="F467" s="260"/>
      <c r="G467" s="248"/>
      <c r="H467" s="240">
        <f t="shared" si="7"/>
        <v>0</v>
      </c>
      <c r="I467" s="216" t="str">
        <f t="shared" si="6"/>
        <v/>
      </c>
      <c r="J467" s="216"/>
      <c r="K467" s="216"/>
    </row>
    <row r="468" ht="18.0" customHeight="1">
      <c r="A468" s="212"/>
      <c r="B468" s="212"/>
      <c r="C468" s="212"/>
      <c r="D468" s="212"/>
      <c r="E468" s="212"/>
      <c r="F468" s="260"/>
      <c r="G468" s="248"/>
      <c r="H468" s="240">
        <f t="shared" si="7"/>
        <v>0</v>
      </c>
      <c r="I468" s="216" t="str">
        <f t="shared" si="6"/>
        <v/>
      </c>
      <c r="J468" s="216"/>
      <c r="K468" s="216"/>
    </row>
    <row r="469" ht="18.0" customHeight="1">
      <c r="A469" s="212"/>
      <c r="B469" s="212"/>
      <c r="C469" s="212"/>
      <c r="D469" s="212"/>
      <c r="E469" s="212"/>
      <c r="F469" s="260"/>
      <c r="G469" s="248"/>
      <c r="H469" s="240">
        <f t="shared" si="7"/>
        <v>0</v>
      </c>
      <c r="I469" s="216" t="str">
        <f t="shared" si="6"/>
        <v/>
      </c>
      <c r="J469" s="216"/>
      <c r="K469" s="216"/>
    </row>
    <row r="470" ht="18.0" customHeight="1">
      <c r="A470" s="212"/>
      <c r="B470" s="212"/>
      <c r="C470" s="212"/>
      <c r="D470" s="212"/>
      <c r="E470" s="212"/>
      <c r="F470" s="260"/>
      <c r="G470" s="248"/>
      <c r="H470" s="240">
        <f t="shared" si="7"/>
        <v>0</v>
      </c>
      <c r="I470" s="216" t="str">
        <f t="shared" si="6"/>
        <v/>
      </c>
      <c r="J470" s="216"/>
      <c r="K470" s="216"/>
    </row>
    <row r="471" ht="18.0" customHeight="1">
      <c r="A471" s="212"/>
      <c r="B471" s="212"/>
      <c r="C471" s="212"/>
      <c r="D471" s="212"/>
      <c r="E471" s="212"/>
      <c r="F471" s="260"/>
      <c r="G471" s="248"/>
      <c r="H471" s="240">
        <f t="shared" si="7"/>
        <v>0</v>
      </c>
      <c r="I471" s="216" t="str">
        <f t="shared" si="6"/>
        <v/>
      </c>
      <c r="J471" s="216"/>
      <c r="K471" s="216"/>
    </row>
    <row r="472" ht="18.0" customHeight="1">
      <c r="A472" s="212"/>
      <c r="B472" s="212"/>
      <c r="C472" s="212"/>
      <c r="D472" s="212"/>
      <c r="E472" s="212"/>
      <c r="F472" s="260"/>
      <c r="G472" s="248"/>
      <c r="H472" s="240">
        <f t="shared" si="7"/>
        <v>0</v>
      </c>
      <c r="I472" s="216" t="str">
        <f t="shared" si="6"/>
        <v/>
      </c>
      <c r="J472" s="216"/>
      <c r="K472" s="216"/>
    </row>
    <row r="473" ht="18.0" customHeight="1">
      <c r="A473" s="212"/>
      <c r="B473" s="212"/>
      <c r="C473" s="212"/>
      <c r="D473" s="212"/>
      <c r="E473" s="212"/>
      <c r="F473" s="260"/>
      <c r="G473" s="248"/>
      <c r="H473" s="240">
        <f t="shared" si="7"/>
        <v>0</v>
      </c>
      <c r="I473" s="216" t="str">
        <f t="shared" si="6"/>
        <v/>
      </c>
      <c r="J473" s="216"/>
      <c r="K473" s="216"/>
    </row>
    <row r="474" ht="18.0" customHeight="1">
      <c r="A474" s="212"/>
      <c r="B474" s="212"/>
      <c r="C474" s="212"/>
      <c r="D474" s="212"/>
      <c r="E474" s="212"/>
      <c r="F474" s="260"/>
      <c r="G474" s="248"/>
      <c r="H474" s="240">
        <f t="shared" si="7"/>
        <v>0</v>
      </c>
      <c r="I474" s="216" t="str">
        <f t="shared" si="6"/>
        <v/>
      </c>
      <c r="J474" s="216"/>
      <c r="K474" s="216"/>
    </row>
    <row r="475" ht="18.0" customHeight="1">
      <c r="A475" s="212"/>
      <c r="B475" s="212"/>
      <c r="C475" s="212"/>
      <c r="D475" s="212"/>
      <c r="E475" s="212"/>
      <c r="F475" s="260"/>
      <c r="G475" s="248"/>
      <c r="H475" s="240">
        <f t="shared" si="7"/>
        <v>0</v>
      </c>
      <c r="I475" s="216" t="str">
        <f t="shared" si="6"/>
        <v/>
      </c>
      <c r="J475" s="216"/>
      <c r="K475" s="216"/>
    </row>
    <row r="476" ht="18.0" customHeight="1">
      <c r="A476" s="212"/>
      <c r="B476" s="212"/>
      <c r="C476" s="212"/>
      <c r="D476" s="212"/>
      <c r="E476" s="212"/>
      <c r="F476" s="260"/>
      <c r="G476" s="248"/>
      <c r="H476" s="240">
        <f t="shared" si="7"/>
        <v>0</v>
      </c>
      <c r="I476" s="216" t="str">
        <f t="shared" si="6"/>
        <v/>
      </c>
      <c r="J476" s="216"/>
      <c r="K476" s="216"/>
    </row>
    <row r="477" ht="18.0" customHeight="1">
      <c r="A477" s="212"/>
      <c r="B477" s="212"/>
      <c r="C477" s="212"/>
      <c r="D477" s="212"/>
      <c r="E477" s="212"/>
      <c r="F477" s="260"/>
      <c r="G477" s="248"/>
      <c r="H477" s="240">
        <f t="shared" si="7"/>
        <v>0</v>
      </c>
      <c r="I477" s="216" t="str">
        <f t="shared" si="6"/>
        <v/>
      </c>
      <c r="J477" s="216"/>
      <c r="K477" s="216"/>
    </row>
    <row r="478" ht="18.0" customHeight="1">
      <c r="A478" s="212"/>
      <c r="B478" s="212"/>
      <c r="C478" s="212"/>
      <c r="D478" s="212"/>
      <c r="E478" s="212"/>
      <c r="F478" s="260"/>
      <c r="G478" s="248"/>
      <c r="H478" s="240">
        <f t="shared" si="7"/>
        <v>0</v>
      </c>
      <c r="I478" s="216" t="str">
        <f t="shared" si="6"/>
        <v/>
      </c>
      <c r="J478" s="216"/>
      <c r="K478" s="216"/>
    </row>
    <row r="479" ht="18.0" customHeight="1">
      <c r="A479" s="212"/>
      <c r="B479" s="212"/>
      <c r="C479" s="212"/>
      <c r="D479" s="212"/>
      <c r="E479" s="212"/>
      <c r="F479" s="260"/>
      <c r="G479" s="248"/>
      <c r="H479" s="240">
        <f t="shared" si="7"/>
        <v>0</v>
      </c>
      <c r="I479" s="216" t="str">
        <f t="shared" si="6"/>
        <v/>
      </c>
      <c r="J479" s="216"/>
      <c r="K479" s="216"/>
    </row>
    <row r="480" ht="18.0" customHeight="1">
      <c r="A480" s="212"/>
      <c r="B480" s="212"/>
      <c r="C480" s="212"/>
      <c r="D480" s="212"/>
      <c r="E480" s="212"/>
      <c r="F480" s="260"/>
      <c r="G480" s="248"/>
      <c r="H480" s="240">
        <f t="shared" si="7"/>
        <v>0</v>
      </c>
      <c r="I480" s="216" t="str">
        <f t="shared" si="6"/>
        <v/>
      </c>
      <c r="J480" s="216"/>
      <c r="K480" s="216"/>
    </row>
    <row r="481" ht="18.0" customHeight="1">
      <c r="A481" s="212"/>
      <c r="B481" s="212"/>
      <c r="C481" s="212"/>
      <c r="D481" s="212"/>
      <c r="E481" s="212"/>
      <c r="F481" s="260"/>
      <c r="G481" s="248"/>
      <c r="H481" s="240">
        <f t="shared" si="7"/>
        <v>0</v>
      </c>
      <c r="I481" s="216" t="str">
        <f t="shared" si="6"/>
        <v/>
      </c>
      <c r="J481" s="216"/>
      <c r="K481" s="216"/>
    </row>
    <row r="482" ht="18.0" customHeight="1">
      <c r="A482" s="212"/>
      <c r="B482" s="212"/>
      <c r="C482" s="212"/>
      <c r="D482" s="212"/>
      <c r="E482" s="212"/>
      <c r="F482" s="260"/>
      <c r="G482" s="248"/>
      <c r="H482" s="240">
        <f t="shared" si="7"/>
        <v>0</v>
      </c>
      <c r="I482" s="216" t="str">
        <f t="shared" si="6"/>
        <v/>
      </c>
      <c r="J482" s="216"/>
      <c r="K482" s="216"/>
    </row>
    <row r="483" ht="18.0" customHeight="1">
      <c r="A483" s="212"/>
      <c r="B483" s="212"/>
      <c r="C483" s="212"/>
      <c r="D483" s="212"/>
      <c r="E483" s="212"/>
      <c r="F483" s="260"/>
      <c r="G483" s="248"/>
      <c r="H483" s="240">
        <f t="shared" si="7"/>
        <v>0</v>
      </c>
      <c r="I483" s="216" t="str">
        <f t="shared" si="6"/>
        <v/>
      </c>
      <c r="J483" s="216"/>
      <c r="K483" s="216"/>
    </row>
    <row r="484" ht="18.0" customHeight="1">
      <c r="A484" s="212"/>
      <c r="B484" s="212"/>
      <c r="C484" s="212"/>
      <c r="D484" s="212"/>
      <c r="E484" s="212"/>
      <c r="F484" s="260"/>
      <c r="G484" s="248"/>
      <c r="H484" s="240">
        <f t="shared" si="7"/>
        <v>0</v>
      </c>
      <c r="I484" s="216" t="str">
        <f t="shared" si="6"/>
        <v/>
      </c>
      <c r="J484" s="216"/>
      <c r="K484" s="216"/>
    </row>
    <row r="485" ht="18.0" customHeight="1">
      <c r="A485" s="212"/>
      <c r="B485" s="212"/>
      <c r="C485" s="212"/>
      <c r="D485" s="212"/>
      <c r="E485" s="212"/>
      <c r="F485" s="260"/>
      <c r="G485" s="248"/>
      <c r="H485" s="240">
        <f t="shared" si="7"/>
        <v>0</v>
      </c>
      <c r="I485" s="216" t="str">
        <f t="shared" si="6"/>
        <v/>
      </c>
      <c r="J485" s="216"/>
      <c r="K485" s="216"/>
    </row>
    <row r="486" ht="18.0" customHeight="1">
      <c r="A486" s="212"/>
      <c r="B486" s="212"/>
      <c r="C486" s="212"/>
      <c r="D486" s="212"/>
      <c r="E486" s="212"/>
      <c r="F486" s="260"/>
      <c r="G486" s="248"/>
      <c r="H486" s="240">
        <f t="shared" si="7"/>
        <v>0</v>
      </c>
      <c r="I486" s="216" t="str">
        <f t="shared" si="6"/>
        <v/>
      </c>
      <c r="J486" s="216"/>
      <c r="K486" s="216"/>
    </row>
    <row r="487" ht="18.0" customHeight="1">
      <c r="A487" s="212"/>
      <c r="B487" s="212"/>
      <c r="C487" s="212"/>
      <c r="D487" s="212"/>
      <c r="E487" s="212"/>
      <c r="F487" s="260"/>
      <c r="G487" s="248"/>
      <c r="H487" s="240">
        <f t="shared" si="7"/>
        <v>0</v>
      </c>
      <c r="I487" s="216" t="str">
        <f t="shared" si="6"/>
        <v/>
      </c>
      <c r="J487" s="216"/>
      <c r="K487" s="216"/>
    </row>
    <row r="488" ht="18.0" customHeight="1">
      <c r="A488" s="212"/>
      <c r="B488" s="212"/>
      <c r="C488" s="212"/>
      <c r="D488" s="212"/>
      <c r="E488" s="212"/>
      <c r="F488" s="260"/>
      <c r="G488" s="248"/>
      <c r="H488" s="240">
        <f t="shared" si="7"/>
        <v>0</v>
      </c>
      <c r="I488" s="216" t="str">
        <f t="shared" si="6"/>
        <v/>
      </c>
      <c r="J488" s="216"/>
      <c r="K488" s="216"/>
    </row>
    <row r="489" ht="18.0" customHeight="1">
      <c r="A489" s="212"/>
      <c r="B489" s="212"/>
      <c r="C489" s="212"/>
      <c r="D489" s="212"/>
      <c r="E489" s="212"/>
      <c r="F489" s="260"/>
      <c r="G489" s="248"/>
      <c r="H489" s="240">
        <f t="shared" si="7"/>
        <v>0</v>
      </c>
      <c r="I489" s="216" t="str">
        <f t="shared" si="6"/>
        <v/>
      </c>
      <c r="J489" s="216"/>
      <c r="K489" s="216"/>
    </row>
    <row r="490" ht="18.0" customHeight="1">
      <c r="A490" s="212"/>
      <c r="B490" s="212"/>
      <c r="C490" s="212"/>
      <c r="D490" s="212"/>
      <c r="E490" s="212"/>
      <c r="F490" s="260"/>
      <c r="G490" s="248"/>
      <c r="H490" s="240">
        <f t="shared" si="7"/>
        <v>0</v>
      </c>
      <c r="I490" s="216" t="str">
        <f t="shared" si="6"/>
        <v/>
      </c>
      <c r="J490" s="216"/>
      <c r="K490" s="216"/>
    </row>
    <row r="491" ht="18.0" customHeight="1">
      <c r="A491" s="212"/>
      <c r="B491" s="212"/>
      <c r="C491" s="212"/>
      <c r="D491" s="212"/>
      <c r="E491" s="212"/>
      <c r="F491" s="260"/>
      <c r="G491" s="248"/>
      <c r="H491" s="240">
        <f t="shared" si="7"/>
        <v>0</v>
      </c>
      <c r="I491" s="216" t="str">
        <f t="shared" si="6"/>
        <v/>
      </c>
      <c r="J491" s="216"/>
      <c r="K491" s="216"/>
    </row>
    <row r="492" ht="18.0" customHeight="1">
      <c r="A492" s="212"/>
      <c r="B492" s="212"/>
      <c r="C492" s="212"/>
      <c r="D492" s="212"/>
      <c r="E492" s="212"/>
      <c r="F492" s="260"/>
      <c r="G492" s="248"/>
      <c r="H492" s="240">
        <f t="shared" si="7"/>
        <v>0</v>
      </c>
      <c r="I492" s="216" t="str">
        <f t="shared" si="6"/>
        <v/>
      </c>
      <c r="J492" s="216"/>
      <c r="K492" s="216"/>
    </row>
    <row r="493" ht="18.0" customHeight="1">
      <c r="A493" s="212"/>
      <c r="B493" s="212"/>
      <c r="C493" s="212"/>
      <c r="D493" s="212"/>
      <c r="E493" s="212"/>
      <c r="F493" s="260"/>
      <c r="G493" s="248"/>
      <c r="H493" s="240">
        <f t="shared" si="7"/>
        <v>0</v>
      </c>
      <c r="I493" s="216" t="str">
        <f t="shared" si="6"/>
        <v/>
      </c>
      <c r="J493" s="216"/>
      <c r="K493" s="216"/>
    </row>
    <row r="494" ht="18.0" customHeight="1">
      <c r="A494" s="212"/>
      <c r="B494" s="212"/>
      <c r="C494" s="212"/>
      <c r="D494" s="212"/>
      <c r="E494" s="212"/>
      <c r="F494" s="260"/>
      <c r="G494" s="248"/>
      <c r="H494" s="240">
        <f t="shared" si="7"/>
        <v>0</v>
      </c>
      <c r="I494" s="216" t="str">
        <f t="shared" si="6"/>
        <v/>
      </c>
      <c r="J494" s="216"/>
      <c r="K494" s="216"/>
    </row>
    <row r="495" ht="18.0" customHeight="1">
      <c r="A495" s="212"/>
      <c r="B495" s="212"/>
      <c r="C495" s="212"/>
      <c r="D495" s="212"/>
      <c r="E495" s="212"/>
      <c r="F495" s="260"/>
      <c r="G495" s="248"/>
      <c r="H495" s="240">
        <f t="shared" si="7"/>
        <v>0</v>
      </c>
      <c r="I495" s="216" t="str">
        <f t="shared" si="6"/>
        <v/>
      </c>
      <c r="J495" s="216"/>
      <c r="K495" s="216"/>
    </row>
    <row r="496" ht="18.0" customHeight="1">
      <c r="A496" s="212"/>
      <c r="B496" s="212"/>
      <c r="C496" s="212"/>
      <c r="D496" s="212"/>
      <c r="E496" s="212"/>
      <c r="F496" s="260"/>
      <c r="G496" s="248"/>
      <c r="H496" s="240">
        <f t="shared" si="7"/>
        <v>0</v>
      </c>
      <c r="I496" s="216" t="str">
        <f t="shared" si="6"/>
        <v/>
      </c>
      <c r="J496" s="216"/>
      <c r="K496" s="216"/>
    </row>
    <row r="497" ht="18.0" customHeight="1">
      <c r="A497" s="212"/>
      <c r="B497" s="212"/>
      <c r="C497" s="212"/>
      <c r="D497" s="212"/>
      <c r="E497" s="212"/>
      <c r="F497" s="260"/>
      <c r="G497" s="248"/>
      <c r="H497" s="240">
        <f t="shared" si="7"/>
        <v>0</v>
      </c>
      <c r="I497" s="216" t="str">
        <f t="shared" si="6"/>
        <v/>
      </c>
      <c r="J497" s="216"/>
      <c r="K497" s="216"/>
    </row>
    <row r="498" ht="18.0" customHeight="1">
      <c r="A498" s="212"/>
      <c r="B498" s="212"/>
      <c r="C498" s="212"/>
      <c r="D498" s="212"/>
      <c r="E498" s="212"/>
      <c r="F498" s="260"/>
      <c r="G498" s="248"/>
      <c r="H498" s="240">
        <f t="shared" si="7"/>
        <v>0</v>
      </c>
      <c r="I498" s="216" t="str">
        <f t="shared" si="6"/>
        <v/>
      </c>
      <c r="J498" s="216"/>
      <c r="K498" s="216"/>
    </row>
    <row r="499" ht="18.0" customHeight="1">
      <c r="A499" s="212"/>
      <c r="B499" s="212"/>
      <c r="C499" s="212"/>
      <c r="D499" s="212"/>
      <c r="E499" s="212"/>
      <c r="F499" s="260"/>
      <c r="G499" s="248"/>
      <c r="H499" s="240">
        <f t="shared" si="7"/>
        <v>0</v>
      </c>
      <c r="I499" s="216" t="str">
        <f t="shared" si="6"/>
        <v/>
      </c>
      <c r="J499" s="216"/>
      <c r="K499" s="216"/>
    </row>
    <row r="500" ht="18.0" customHeight="1">
      <c r="A500" s="212"/>
      <c r="B500" s="212"/>
      <c r="C500" s="212"/>
      <c r="D500" s="212"/>
      <c r="E500" s="212"/>
      <c r="F500" s="260"/>
      <c r="G500" s="248"/>
      <c r="H500" s="240">
        <f t="shared" si="7"/>
        <v>0</v>
      </c>
      <c r="I500" s="216" t="str">
        <f t="shared" si="6"/>
        <v/>
      </c>
      <c r="J500" s="216"/>
      <c r="K500" s="216"/>
    </row>
    <row r="501" ht="18.0" customHeight="1">
      <c r="A501" s="212"/>
      <c r="B501" s="212"/>
      <c r="C501" s="212"/>
      <c r="D501" s="212"/>
      <c r="E501" s="212"/>
      <c r="F501" s="260"/>
      <c r="G501" s="248"/>
      <c r="H501" s="240">
        <f t="shared" si="7"/>
        <v>0</v>
      </c>
      <c r="I501" s="216" t="str">
        <f t="shared" si="6"/>
        <v/>
      </c>
      <c r="J501" s="216"/>
      <c r="K501" s="216"/>
    </row>
    <row r="502" ht="18.0" customHeight="1">
      <c r="A502" s="212"/>
      <c r="B502" s="212"/>
      <c r="C502" s="212"/>
      <c r="D502" s="212"/>
      <c r="E502" s="212"/>
      <c r="F502" s="260"/>
      <c r="G502" s="248"/>
      <c r="H502" s="240">
        <f t="shared" si="7"/>
        <v>0</v>
      </c>
      <c r="I502" s="216" t="str">
        <f t="shared" si="6"/>
        <v/>
      </c>
      <c r="J502" s="216"/>
      <c r="K502" s="216"/>
    </row>
    <row r="503" ht="18.0" customHeight="1">
      <c r="A503" s="212"/>
      <c r="B503" s="212"/>
      <c r="C503" s="212"/>
      <c r="D503" s="212"/>
      <c r="E503" s="212"/>
      <c r="F503" s="260"/>
      <c r="G503" s="248"/>
      <c r="H503" s="240">
        <f t="shared" si="7"/>
        <v>0</v>
      </c>
      <c r="I503" s="216" t="str">
        <f t="shared" si="6"/>
        <v/>
      </c>
      <c r="J503" s="216"/>
      <c r="K503" s="216"/>
    </row>
    <row r="504" ht="18.0" customHeight="1">
      <c r="A504" s="212"/>
      <c r="B504" s="212"/>
      <c r="C504" s="212"/>
      <c r="D504" s="212"/>
      <c r="E504" s="212"/>
      <c r="F504" s="260"/>
      <c r="G504" s="248"/>
      <c r="H504" s="240">
        <f t="shared" si="7"/>
        <v>0</v>
      </c>
      <c r="I504" s="216" t="str">
        <f t="shared" si="6"/>
        <v/>
      </c>
      <c r="J504" s="216"/>
      <c r="K504" s="216"/>
    </row>
    <row r="505" ht="18.0" customHeight="1">
      <c r="A505" s="212"/>
      <c r="B505" s="212"/>
      <c r="C505" s="212"/>
      <c r="D505" s="212"/>
      <c r="E505" s="212"/>
      <c r="F505" s="260"/>
      <c r="G505" s="248"/>
      <c r="H505" s="240">
        <f t="shared" si="7"/>
        <v>0</v>
      </c>
      <c r="I505" s="216" t="str">
        <f t="shared" si="6"/>
        <v/>
      </c>
      <c r="J505" s="216"/>
      <c r="K505" s="216"/>
    </row>
    <row r="506" ht="18.0" customHeight="1">
      <c r="A506" s="212"/>
      <c r="B506" s="212"/>
      <c r="C506" s="212"/>
      <c r="D506" s="212"/>
      <c r="E506" s="212"/>
      <c r="F506" s="260"/>
      <c r="G506" s="248"/>
      <c r="H506" s="240">
        <f t="shared" si="7"/>
        <v>0</v>
      </c>
      <c r="I506" s="216" t="str">
        <f t="shared" si="6"/>
        <v/>
      </c>
      <c r="J506" s="216"/>
      <c r="K506" s="216"/>
    </row>
    <row r="507" ht="18.0" customHeight="1">
      <c r="A507" s="212"/>
      <c r="B507" s="212"/>
      <c r="C507" s="212"/>
      <c r="D507" s="212"/>
      <c r="E507" s="212"/>
      <c r="F507" s="260"/>
      <c r="G507" s="248"/>
      <c r="H507" s="240">
        <f t="shared" si="7"/>
        <v>0</v>
      </c>
      <c r="I507" s="216" t="str">
        <f t="shared" si="6"/>
        <v/>
      </c>
      <c r="J507" s="216"/>
      <c r="K507" s="216"/>
    </row>
    <row r="508" ht="18.0" customHeight="1">
      <c r="A508" s="212"/>
      <c r="B508" s="212"/>
      <c r="C508" s="212"/>
      <c r="D508" s="212"/>
      <c r="E508" s="212"/>
      <c r="F508" s="260"/>
      <c r="G508" s="248"/>
      <c r="H508" s="240">
        <f t="shared" si="7"/>
        <v>0</v>
      </c>
      <c r="I508" s="216" t="str">
        <f t="shared" si="6"/>
        <v/>
      </c>
      <c r="J508" s="216"/>
      <c r="K508" s="216"/>
    </row>
    <row r="509" ht="18.0" customHeight="1">
      <c r="A509" s="212"/>
      <c r="B509" s="212"/>
      <c r="C509" s="212"/>
      <c r="D509" s="212"/>
      <c r="E509" s="212"/>
      <c r="F509" s="260"/>
      <c r="G509" s="248"/>
      <c r="H509" s="240">
        <f t="shared" si="7"/>
        <v>0</v>
      </c>
      <c r="I509" s="216" t="str">
        <f t="shared" si="6"/>
        <v/>
      </c>
      <c r="J509" s="216"/>
      <c r="K509" s="216"/>
    </row>
    <row r="510" ht="18.0" customHeight="1">
      <c r="A510" s="212"/>
      <c r="B510" s="212"/>
      <c r="C510" s="212"/>
      <c r="D510" s="212"/>
      <c r="E510" s="212"/>
      <c r="F510" s="260"/>
      <c r="G510" s="248"/>
      <c r="H510" s="240">
        <f t="shared" si="7"/>
        <v>0</v>
      </c>
      <c r="I510" s="216" t="str">
        <f t="shared" si="6"/>
        <v/>
      </c>
      <c r="J510" s="216"/>
      <c r="K510" s="216"/>
    </row>
    <row r="511" ht="18.0" customHeight="1">
      <c r="A511" s="212"/>
      <c r="B511" s="212"/>
      <c r="C511" s="212"/>
      <c r="D511" s="212"/>
      <c r="E511" s="212"/>
      <c r="F511" s="260"/>
      <c r="G511" s="248"/>
      <c r="H511" s="240">
        <f t="shared" si="7"/>
        <v>0</v>
      </c>
      <c r="I511" s="216" t="str">
        <f t="shared" si="6"/>
        <v/>
      </c>
      <c r="J511" s="216"/>
      <c r="K511" s="216"/>
    </row>
    <row r="512" ht="18.0" customHeight="1">
      <c r="A512" s="212"/>
      <c r="B512" s="212"/>
      <c r="C512" s="212"/>
      <c r="D512" s="212"/>
      <c r="E512" s="212"/>
      <c r="F512" s="260"/>
      <c r="G512" s="248"/>
      <c r="H512" s="240">
        <f t="shared" si="7"/>
        <v>0</v>
      </c>
      <c r="I512" s="216" t="str">
        <f t="shared" si="6"/>
        <v/>
      </c>
      <c r="J512" s="216"/>
      <c r="K512" s="216"/>
    </row>
    <row r="513" ht="18.0" customHeight="1">
      <c r="A513" s="212"/>
      <c r="B513" s="212"/>
      <c r="C513" s="212"/>
      <c r="D513" s="212"/>
      <c r="E513" s="212"/>
      <c r="F513" s="260"/>
      <c r="G513" s="248"/>
      <c r="H513" s="240">
        <f t="shared" si="7"/>
        <v>0</v>
      </c>
      <c r="I513" s="216" t="str">
        <f t="shared" si="6"/>
        <v/>
      </c>
      <c r="J513" s="216"/>
      <c r="K513" s="216"/>
    </row>
    <row r="514" ht="18.0" customHeight="1">
      <c r="A514" s="212"/>
      <c r="B514" s="212"/>
      <c r="C514" s="212"/>
      <c r="D514" s="212"/>
      <c r="E514" s="212"/>
      <c r="F514" s="260"/>
      <c r="G514" s="248"/>
      <c r="H514" s="240">
        <f t="shared" si="7"/>
        <v>0</v>
      </c>
      <c r="I514" s="216" t="str">
        <f t="shared" si="6"/>
        <v/>
      </c>
      <c r="J514" s="216"/>
      <c r="K514" s="216"/>
    </row>
    <row r="515" ht="18.0" customHeight="1">
      <c r="A515" s="212"/>
      <c r="B515" s="212"/>
      <c r="C515" s="212"/>
      <c r="D515" s="212"/>
      <c r="E515" s="212"/>
      <c r="F515" s="260"/>
      <c r="G515" s="248"/>
      <c r="H515" s="240">
        <f t="shared" si="7"/>
        <v>0</v>
      </c>
      <c r="I515" s="216" t="str">
        <f t="shared" si="6"/>
        <v/>
      </c>
      <c r="J515" s="216"/>
      <c r="K515" s="216"/>
    </row>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K$8">
    <sortState ref="A2:K8">
      <sortCondition ref="B2:B8"/>
    </sortState>
  </autoFilter>
  <conditionalFormatting sqref="J324 J329 J334 J339">
    <cfRule type="beginsWith" dxfId="23" priority="1" operator="beginsWith" text="NO">
      <formula>LEFT((J324),LEN("NO"))=("NO")</formula>
    </cfRule>
  </conditionalFormatting>
  <conditionalFormatting sqref="J320:J322 J325:J327 J330:J332 J335:J337 J340:J342">
    <cfRule type="beginsWith" dxfId="23" priority="2" operator="beginsWith" text="NO">
      <formula>LEFT((J320),LEN("NO"))=("NO")</formula>
    </cfRule>
  </conditionalFormatting>
  <conditionalFormatting sqref="J318">
    <cfRule type="beginsWith" dxfId="23" priority="3" operator="beginsWith" text="NO">
      <formula>LEFT((J318),LEN("NO"))=("NO")</formula>
    </cfRule>
  </conditionalFormatting>
  <conditionalFormatting sqref="J315:J316">
    <cfRule type="beginsWith" dxfId="23" priority="4" operator="beginsWith" text="NO">
      <formula>LEFT((J315),LEN("NO"))=("NO")</formula>
    </cfRule>
  </conditionalFormatting>
  <conditionalFormatting sqref="J311:J313">
    <cfRule type="beginsWith" dxfId="23" priority="5" operator="beginsWith" text="NO">
      <formula>LEFT((J311),LEN("NO"))=("NO")</formula>
    </cfRule>
  </conditionalFormatting>
  <conditionalFormatting sqref="J309">
    <cfRule type="beginsWith" dxfId="23" priority="6" operator="beginsWith" text="NO">
      <formula>LEFT((J309),LEN("NO"))=("NO")</formula>
    </cfRule>
  </conditionalFormatting>
  <conditionalFormatting sqref="J304:J305">
    <cfRule type="beginsWith" dxfId="23" priority="7" operator="beginsWith" text="NO">
      <formula>LEFT((J304),LEN("NO"))=("NO")</formula>
    </cfRule>
  </conditionalFormatting>
  <conditionalFormatting sqref="J282:J301">
    <cfRule type="beginsWith" dxfId="23" priority="8" operator="beginsWith" text="NO">
      <formula>LEFT((J282),LEN("NO"))=("NO")</formula>
    </cfRule>
  </conditionalFormatting>
  <conditionalFormatting sqref="J274:J280">
    <cfRule type="beginsWith" dxfId="23" priority="9" operator="beginsWith" text="NO">
      <formula>LEFT((J274),LEN("NO"))=("NO")</formula>
    </cfRule>
  </conditionalFormatting>
  <conditionalFormatting sqref="J265:J272">
    <cfRule type="beginsWith" dxfId="23" priority="10" operator="beginsWith" text="NO">
      <formula>LEFT((J265),LEN("NO"))=("NO")</formula>
    </cfRule>
  </conditionalFormatting>
  <conditionalFormatting sqref="J263">
    <cfRule type="beginsWith" dxfId="23" priority="11" operator="beginsWith" text="NO">
      <formula>LEFT((J263),LEN("NO"))=("NO")</formula>
    </cfRule>
  </conditionalFormatting>
  <conditionalFormatting sqref="J259:J261">
    <cfRule type="beginsWith" dxfId="23" priority="12" operator="beginsWith" text="NO">
      <formula>LEFT((J259),LEN("NO"))=("NO")</formula>
    </cfRule>
  </conditionalFormatting>
  <conditionalFormatting sqref="J255:J257">
    <cfRule type="beginsWith" dxfId="23" priority="13" operator="beginsWith" text="NO">
      <formula>LEFT((J255),LEN("NO"))=("NO")</formula>
    </cfRule>
  </conditionalFormatting>
  <conditionalFormatting sqref="J242:J253">
    <cfRule type="beginsWith" dxfId="23" priority="14" operator="beginsWith" text="NO">
      <formula>LEFT((J242),LEN("NO"))=("NO")</formula>
    </cfRule>
  </conditionalFormatting>
  <conditionalFormatting sqref="J236:J240">
    <cfRule type="beginsWith" dxfId="23" priority="15" operator="beginsWith" text="NO">
      <formula>LEFT((J236),LEN("NO"))=("NO")</formula>
    </cfRule>
  </conditionalFormatting>
  <conditionalFormatting sqref="J233:J234">
    <cfRule type="beginsWith" dxfId="23" priority="16" operator="beginsWith" text="NO">
      <formula>LEFT((J233),LEN("NO"))=("NO")</formula>
    </cfRule>
  </conditionalFormatting>
  <conditionalFormatting sqref="J216:J230">
    <cfRule type="beginsWith" dxfId="23" priority="17" operator="beginsWith" text="NO">
      <formula>LEFT((J216),LEN("NO"))=("NO")</formula>
    </cfRule>
  </conditionalFormatting>
  <conditionalFormatting sqref="J213:J214">
    <cfRule type="beginsWith" dxfId="23" priority="18" operator="beginsWith" text="NO">
      <formula>LEFT((J213),LEN("NO"))=("NO")</formula>
    </cfRule>
  </conditionalFormatting>
  <conditionalFormatting sqref="J208:J209">
    <cfRule type="beginsWith" dxfId="23" priority="19" operator="beginsWith" text="NO">
      <formula>LEFT((J208),LEN("NO"))=("NO")</formula>
    </cfRule>
  </conditionalFormatting>
  <conditionalFormatting sqref="J194">
    <cfRule type="beginsWith" dxfId="23" priority="20" operator="beginsWith" text="NO">
      <formula>LEFT((J194),LEN("NO"))=("NO")</formula>
    </cfRule>
  </conditionalFormatting>
  <conditionalFormatting sqref="J183:J184">
    <cfRule type="beginsWith" dxfId="23" priority="21" operator="beginsWith" text="NO">
      <formula>LEFT((J183),LEN("NO"))=("NO")</formula>
    </cfRule>
  </conditionalFormatting>
  <conditionalFormatting sqref="J177:J180">
    <cfRule type="beginsWith" dxfId="23" priority="22" operator="beginsWith" text="NO">
      <formula>LEFT((J177),LEN("NO"))=("NO")</formula>
    </cfRule>
  </conditionalFormatting>
  <conditionalFormatting sqref="J172:J175">
    <cfRule type="beginsWith" dxfId="23" priority="23" operator="beginsWith" text="NO">
      <formula>LEFT((J172),LEN("NO"))=("NO")</formula>
    </cfRule>
  </conditionalFormatting>
  <conditionalFormatting sqref="J169">
    <cfRule type="beginsWith" dxfId="23" priority="24" operator="beginsWith" text="NO">
      <formula>LEFT((J169),LEN("NO"))=("NO")</formula>
    </cfRule>
  </conditionalFormatting>
  <conditionalFormatting sqref="J158:J167">
    <cfRule type="beginsWith" dxfId="23" priority="25" operator="beginsWith" text="NO">
      <formula>LEFT((J158),LEN("NO"))=("NO")</formula>
    </cfRule>
  </conditionalFormatting>
  <conditionalFormatting sqref="J153:J156">
    <cfRule type="beginsWith" dxfId="23" priority="26" operator="beginsWith" text="NO">
      <formula>LEFT((J153),LEN("NO"))=("NO")</formula>
    </cfRule>
  </conditionalFormatting>
  <conditionalFormatting sqref="J147:J151">
    <cfRule type="beginsWith" dxfId="23" priority="27" operator="beginsWith" text="NO">
      <formula>LEFT((J147),LEN("NO"))=("NO")</formula>
    </cfRule>
  </conditionalFormatting>
  <conditionalFormatting sqref="J142:J145">
    <cfRule type="beginsWith" dxfId="23" priority="28" operator="beginsWith" text="NO">
      <formula>LEFT((J142),LEN("NO"))=("NO")</formula>
    </cfRule>
  </conditionalFormatting>
  <conditionalFormatting sqref="J137:J140">
    <cfRule type="beginsWith" dxfId="23" priority="29" operator="beginsWith" text="NO">
      <formula>LEFT((J137),LEN("NO"))=("NO")</formula>
    </cfRule>
  </conditionalFormatting>
  <conditionalFormatting sqref="J131:J135">
    <cfRule type="beginsWith" dxfId="23" priority="30" operator="beginsWith" text="NO">
      <formula>LEFT((J131),LEN("NO"))=("NO")</formula>
    </cfRule>
  </conditionalFormatting>
  <conditionalFormatting sqref="J126">
    <cfRule type="beginsWith" dxfId="23" priority="31" operator="beginsWith" text="NO">
      <formula>LEFT((J126),LEN("NO"))=("NO")</formula>
    </cfRule>
  </conditionalFormatting>
  <conditionalFormatting sqref="J122:J123">
    <cfRule type="beginsWith" dxfId="23" priority="32" operator="beginsWith" text="NO">
      <formula>LEFT((J122),LEN("NO"))=("NO")</formula>
    </cfRule>
  </conditionalFormatting>
  <conditionalFormatting sqref="J118:J120">
    <cfRule type="beginsWith" dxfId="23" priority="33" operator="beginsWith" text="NO">
      <formula>LEFT((J118),LEN("NO"))=("NO")</formula>
    </cfRule>
  </conditionalFormatting>
  <conditionalFormatting sqref="J109:J116">
    <cfRule type="beginsWith" dxfId="23" priority="34" operator="beginsWith" text="NO">
      <formula>LEFT((J109),LEN("NO"))=("NO")</formula>
    </cfRule>
  </conditionalFormatting>
  <conditionalFormatting sqref="J100:J107">
    <cfRule type="beginsWith" dxfId="23" priority="35" operator="beginsWith" text="NO">
      <formula>LEFT((J100),LEN("NO"))=("NO")</formula>
    </cfRule>
  </conditionalFormatting>
  <conditionalFormatting sqref="J95:J98">
    <cfRule type="beginsWith" dxfId="23" priority="36" operator="beginsWith" text="NO">
      <formula>LEFT((J95),LEN("NO"))=("NO")</formula>
    </cfRule>
  </conditionalFormatting>
  <conditionalFormatting sqref="J93">
    <cfRule type="beginsWith" dxfId="23" priority="37" operator="beginsWith" text="NO">
      <formula>LEFT((J93),LEN("NO"))=("NO")</formula>
    </cfRule>
  </conditionalFormatting>
  <conditionalFormatting sqref="J88:J91">
    <cfRule type="beginsWith" dxfId="23" priority="38" operator="beginsWith" text="NO">
      <formula>LEFT((J88),LEN("NO"))=("NO")</formula>
    </cfRule>
  </conditionalFormatting>
  <conditionalFormatting sqref="J83:J86">
    <cfRule type="beginsWith" dxfId="23" priority="39" operator="beginsWith" text="NO">
      <formula>LEFT((J83),LEN("NO"))=("NO")</formula>
    </cfRule>
  </conditionalFormatting>
  <conditionalFormatting sqref="J71:J81">
    <cfRule type="beginsWith" dxfId="23" priority="40" operator="beginsWith" text="NO">
      <formula>LEFT((J71),LEN("NO"))=("NO")</formula>
    </cfRule>
  </conditionalFormatting>
  <conditionalFormatting sqref="J68:J69">
    <cfRule type="beginsWith" dxfId="23" priority="41" operator="beginsWith" text="NO">
      <formula>LEFT((J68),LEN("NO"))=("NO")</formula>
    </cfRule>
  </conditionalFormatting>
  <conditionalFormatting sqref="J62:J66">
    <cfRule type="beginsWith" dxfId="23" priority="42" operator="beginsWith" text="NO">
      <formula>LEFT((J62),LEN("NO"))=("NO")</formula>
    </cfRule>
  </conditionalFormatting>
  <conditionalFormatting sqref="J3:J60">
    <cfRule type="beginsWith" dxfId="23" priority="43" operator="beginsWith" text="NO">
      <formula>LEFT((J3),LEN("NO"))=("NO")</formula>
    </cfRule>
  </conditionalFormatting>
  <conditionalFormatting sqref="J48:J51">
    <cfRule type="beginsWith" dxfId="23" priority="44" operator="beginsWith" text="NO">
      <formula>LEFT((J48),LEN("NO"))=("NO")</formula>
    </cfRule>
  </conditionalFormatting>
  <conditionalFormatting sqref="J44:J45">
    <cfRule type="beginsWith" dxfId="23" priority="45" operator="beginsWith" text="NO">
      <formula>LEFT((J44),LEN("NO"))=("NO")</formula>
    </cfRule>
  </conditionalFormatting>
  <conditionalFormatting sqref="J41">
    <cfRule type="beginsWith" dxfId="23" priority="46" operator="beginsWith" text="NO">
      <formula>LEFT((J41),LEN("NO"))=("NO")</formula>
    </cfRule>
  </conditionalFormatting>
  <conditionalFormatting sqref="J37:J38">
    <cfRule type="beginsWith" dxfId="23" priority="47" operator="beginsWith" text="NO">
      <formula>LEFT((J37),LEN("NO"))=("NO")</formula>
    </cfRule>
  </conditionalFormatting>
  <conditionalFormatting sqref="J3:J57 J66:J69 J78:J81 J90:J93 J102:J105 J114:J117 J126:J129 J138:J141 J150:J153 J162:J165 J174:J177 J186:J189 J198:J201 J210:J213 J222:J225 J234:J237 J246:J249 J258:J261 J270:J273 J282:J285 J294:J297 J306:J309 J318:J321 J330:J333 J342:J345 J354:J357 J366:J369 J378:J381 J390:J393 J402:J405 J414:J417 J426:J429 J438:J441 J450:J453 J462">
    <cfRule type="beginsWith" dxfId="23" priority="48" operator="beginsWith" text="NO">
      <formula>LEFT((J3),LEN("NO"))=("NO")</formula>
    </cfRule>
  </conditionalFormatting>
  <conditionalFormatting sqref="J29 J39 J51 J63 J75 J87 J99 J111 J123 J135 J147 J159 J171 J183 J195 J207 J219 J231 J243 J255 J267 J279 J291 J303 J315 J327 J339 J351 J363 J375 J387 J399 J411 J423 J435 J447 J459">
    <cfRule type="beginsWith" dxfId="23" priority="49" operator="beginsWith" text="NO">
      <formula>LEFT((J29),LEN("NO"))=("NO")</formula>
    </cfRule>
  </conditionalFormatting>
  <conditionalFormatting sqref="J27 J37 J49 J61 J73 J85 J97 J109 J121 J133 J145 J157 J169 J181 J193 J205 J217 J229 J241 J253 J265 J277 J289 J301 J313 J325 J337 J349 J361 J373 J385 J397 J409 J421 J433 J445 J457">
    <cfRule type="beginsWith" dxfId="23" priority="50" operator="beginsWith" text="NO">
      <formula>LEFT((J27),LEN("NO"))=("NO")</formula>
    </cfRule>
  </conditionalFormatting>
  <conditionalFormatting sqref="J3:J462">
    <cfRule type="beginsWith" dxfId="23" priority="51" operator="beginsWith" text="NO">
      <formula>LEFT((J3),LEN("NO"))=("NO")</formula>
    </cfRule>
  </conditionalFormatting>
  <conditionalFormatting sqref="J19:J21">
    <cfRule type="beginsWith" dxfId="23" priority="52" operator="beginsWith" text="NO">
      <formula>LEFT((J19),LEN("NO"))=("NO")</formula>
    </cfRule>
  </conditionalFormatting>
  <conditionalFormatting sqref="J14:J18">
    <cfRule type="beginsWith" dxfId="23" priority="53" operator="beginsWith" text="NO">
      <formula>LEFT((J14),LEN("NO"))=("NO")</formula>
    </cfRule>
  </conditionalFormatting>
  <conditionalFormatting sqref="J5:J11">
    <cfRule type="beginsWith" dxfId="23" priority="54" operator="beginsWith" text="NO">
      <formula>LEFT((J5),LEN("NO"))=("NO")</formula>
    </cfRule>
  </conditionalFormatting>
  <conditionalFormatting sqref="J1:J3">
    <cfRule type="beginsWith" dxfId="23" priority="55" operator="beginsWith" text="NO">
      <formula>LEFT((J1),LEN("NO"))=("NO")</formula>
    </cfRule>
  </conditionalFormatting>
  <conditionalFormatting sqref="B3 B9 B46 B54 B57 B109 B164 B260 B274 B285 B298 B319">
    <cfRule type="expression" dxfId="22" priority="56">
      <formula>AND(($A$3:B515)&lt;&gt;"",COUNTIF($I$3:$I515,$I3)&gt;1)</formula>
    </cfRule>
  </conditionalFormatting>
  <conditionalFormatting sqref="I1:K515">
    <cfRule type="expression" dxfId="23" priority="57">
      <formula>COUNTIF($I$1:$I515,I1)&gt;1</formula>
    </cfRule>
  </conditionalFormatting>
  <conditionalFormatting sqref="G38:G39 G268:G269">
    <cfRule type="expression" dxfId="24" priority="58">
      <formula>($G38:$G515)="NO"</formula>
    </cfRule>
  </conditionalFormatting>
  <conditionalFormatting sqref="G3:G449">
    <cfRule type="beginsWith" dxfId="27" priority="59" operator="beginsWith" text="Incluido en otras Horas Gestión">
      <formula>LEFT((G3),LEN("Incluido en otras Horas Gestión"))=("Incluido en otras Horas Gestión")</formula>
    </cfRule>
  </conditionalFormatting>
  <conditionalFormatting sqref="G3:G449">
    <cfRule type="expression" dxfId="22" priority="60">
      <formula>COUNTIF($I$3:$I515,Q3)&gt;1</formula>
    </cfRule>
  </conditionalFormatting>
  <conditionalFormatting sqref="B164:B170">
    <cfRule type="expression" dxfId="22" priority="61">
      <formula>COUNTIF(#REF!,#REF!)&gt;1</formula>
    </cfRule>
  </conditionalFormatting>
  <conditionalFormatting sqref="B164:B170">
    <cfRule type="expression" dxfId="28" priority="62">
      <formula>AND(($A$4:B515)&lt;&gt;"",COUNTIF($I$3:$I515,$I164)&gt;1)</formula>
    </cfRule>
  </conditionalFormatting>
  <conditionalFormatting sqref="H3:H515">
    <cfRule type="expression" dxfId="25" priority="63">
      <formula>($G$4:$G515)="SI"</formula>
    </cfRule>
  </conditionalFormatting>
  <conditionalFormatting sqref="A3:H515">
    <cfRule type="expression" dxfId="22" priority="64">
      <formula>AND(($A$4:A515)&lt;&gt;"",COUNTIF($I$3:$I515,$I3)&gt;1)</formula>
    </cfRule>
  </conditionalFormatting>
  <conditionalFormatting sqref="C1:C515">
    <cfRule type="containsText" dxfId="19" priority="65" operator="containsText" text="REUNION">
      <formula>NOT(ISERROR(SEARCH(("REUNION"),(C1))))</formula>
    </cfRule>
  </conditionalFormatting>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06666"/>
    <outlinePr summaryBelow="0" summaryRight="0"/>
  </sheetPr>
  <sheetViews>
    <sheetView showGridLines="0" workbookViewId="0">
      <pane xSplit="7.0" ySplit="2.0" topLeftCell="H3" activePane="bottomRight" state="frozen"/>
      <selection activeCell="H1" sqref="H1" pane="topRight"/>
      <selection activeCell="A3" sqref="A3" pane="bottomLeft"/>
      <selection activeCell="H3" sqref="H3" pane="bottomRight"/>
    </sheetView>
  </sheetViews>
  <sheetFormatPr customHeight="1" defaultColWidth="12.63" defaultRowHeight="15.0"/>
  <cols>
    <col customWidth="1" min="1" max="1" width="9.88"/>
    <col customWidth="1" min="2" max="2" width="32.25"/>
    <col customWidth="1" min="3" max="3" width="17.13"/>
    <col customWidth="1" min="4" max="4" width="32.25"/>
    <col customWidth="1" min="5" max="5" width="25.25"/>
    <col customWidth="1" min="6" max="6" width="12.0"/>
    <col customWidth="1" min="7" max="7" width="19.63"/>
    <col customWidth="1" min="8" max="8" width="9.63"/>
    <col customWidth="1" min="9" max="9" width="4.63"/>
    <col customWidth="1" min="10" max="10" width="14.63"/>
  </cols>
  <sheetData>
    <row r="1" ht="23.25" customHeight="1">
      <c r="A1" s="252"/>
      <c r="B1" s="252"/>
      <c r="C1" s="252"/>
      <c r="D1" s="252"/>
      <c r="E1" s="253"/>
      <c r="F1" s="253"/>
      <c r="G1" s="264">
        <f>COUNTA(G3:G540)</f>
        <v>43</v>
      </c>
      <c r="H1" s="265">
        <f>SUM(H3:H540)</f>
        <v>135.14</v>
      </c>
      <c r="I1" s="266" t="str">
        <f>IFERROR(__xludf.DUMMYFUNCTION("CONCATENATE(""repetidos = "",COUNTA(G3:G540)-COUNTUNIQUE(I3:I540))"),"repetidos = 0")</f>
        <v>repetidos = 0</v>
      </c>
      <c r="J1" s="233" t="str">
        <f>CONCATENATE("NO VIGENTE = ",COUNTIF(J3:J540,"NO VIGENTE"))</f>
        <v>NO VIGENTE = 0</v>
      </c>
    </row>
    <row r="2" ht="23.25" customHeight="1">
      <c r="A2" s="177" t="s">
        <v>72</v>
      </c>
      <c r="B2" s="177" t="s">
        <v>56</v>
      </c>
      <c r="C2" s="204" t="s">
        <v>140</v>
      </c>
      <c r="D2" s="204" t="s">
        <v>141</v>
      </c>
      <c r="E2" s="206" t="s">
        <v>142</v>
      </c>
      <c r="F2" s="206" t="s">
        <v>143</v>
      </c>
      <c r="G2" s="234" t="s">
        <v>144</v>
      </c>
      <c r="H2" s="208" t="s">
        <v>145</v>
      </c>
      <c r="I2" s="267" t="s">
        <v>146</v>
      </c>
      <c r="J2" s="209" t="s">
        <v>148</v>
      </c>
    </row>
    <row r="3" ht="23.25" customHeight="1">
      <c r="A3" s="212"/>
      <c r="B3" s="236"/>
      <c r="C3" s="212"/>
      <c r="D3" s="212"/>
      <c r="E3" s="212"/>
      <c r="F3" s="226"/>
      <c r="G3" s="248"/>
      <c r="H3" s="240"/>
      <c r="I3" s="216"/>
      <c r="J3" s="216"/>
    </row>
    <row r="4" ht="23.25" customHeight="1">
      <c r="A4" s="235"/>
      <c r="B4" s="235"/>
      <c r="C4" s="237"/>
      <c r="D4" s="237"/>
      <c r="E4" s="235"/>
      <c r="F4" s="235"/>
      <c r="G4" s="239"/>
      <c r="H4" s="240"/>
      <c r="I4" s="216"/>
      <c r="J4" s="216"/>
    </row>
    <row r="5" ht="23.25" customHeight="1">
      <c r="A5" s="235" t="s">
        <v>304</v>
      </c>
      <c r="B5" s="235" t="s">
        <v>115</v>
      </c>
      <c r="C5" s="235" t="s">
        <v>24</v>
      </c>
      <c r="D5" s="235" t="s">
        <v>305</v>
      </c>
      <c r="E5" s="235" t="s">
        <v>306</v>
      </c>
      <c r="F5" s="235">
        <v>22.0</v>
      </c>
      <c r="G5" s="239" t="s">
        <v>152</v>
      </c>
      <c r="H5" s="240">
        <f>IFERROR(SUMIF(G5,"Independiente",F5),0)*1</f>
        <v>22</v>
      </c>
      <c r="I5" s="216" t="str">
        <f>CONCATENATE(B5,C5,D5,E5)</f>
        <v>MARCELA JAQUE LIZAMADERECHO FUNCIONARIOGREMIALDIRIGENTE GREMIAL (22)</v>
      </c>
      <c r="J5" s="216"/>
    </row>
    <row r="6" ht="23.25" customHeight="1">
      <c r="A6" s="235"/>
      <c r="B6" s="243"/>
      <c r="C6" s="235"/>
      <c r="D6" s="235"/>
      <c r="E6" s="235"/>
      <c r="F6" s="235"/>
      <c r="G6" s="239"/>
      <c r="H6" s="240"/>
      <c r="I6" s="216"/>
      <c r="J6" s="216"/>
    </row>
    <row r="7" ht="23.25" customHeight="1">
      <c r="A7" s="235"/>
      <c r="B7" s="235"/>
      <c r="C7" s="235"/>
      <c r="D7" s="235"/>
      <c r="E7" s="235"/>
      <c r="F7" s="235"/>
      <c r="G7" s="239"/>
      <c r="H7" s="240"/>
      <c r="I7" s="216"/>
      <c r="J7" s="216"/>
    </row>
    <row r="8" ht="23.25" customHeight="1">
      <c r="A8" s="235"/>
      <c r="B8" s="235"/>
      <c r="C8" s="235"/>
      <c r="D8" s="235"/>
      <c r="E8" s="235"/>
      <c r="F8" s="235"/>
      <c r="G8" s="239"/>
      <c r="H8" s="240"/>
      <c r="I8" s="216"/>
      <c r="J8" s="216"/>
    </row>
    <row r="9" ht="23.25" customHeight="1">
      <c r="A9" s="235" t="s">
        <v>307</v>
      </c>
      <c r="B9" s="235" t="s">
        <v>115</v>
      </c>
      <c r="C9" s="235" t="s">
        <v>24</v>
      </c>
      <c r="D9" s="235" t="s">
        <v>308</v>
      </c>
      <c r="E9" s="235" t="s">
        <v>309</v>
      </c>
      <c r="F9" s="235">
        <v>5.0</v>
      </c>
      <c r="G9" s="268" t="s">
        <v>152</v>
      </c>
      <c r="H9" s="240">
        <f>IFERROR(SUMIF(G9,"Independiente",F9),0)*1</f>
        <v>5</v>
      </c>
      <c r="I9" s="216" t="str">
        <f>CONCATENATE(B9,C9,D9,E9)</f>
        <v>MARCELA JAQUE LIZAMADERECHO FUNCIONARIOCOLACIONCOLACION =  5 DIAS/SEMANA</v>
      </c>
      <c r="J9" s="216"/>
    </row>
    <row r="10" ht="23.25" customHeight="1">
      <c r="A10" s="235"/>
      <c r="B10" s="235"/>
      <c r="C10" s="235"/>
      <c r="D10" s="235"/>
      <c r="E10" s="235"/>
      <c r="F10" s="235"/>
      <c r="G10" s="268"/>
      <c r="H10" s="240"/>
      <c r="I10" s="216"/>
      <c r="J10" s="216"/>
    </row>
    <row r="11" ht="23.25" customHeight="1">
      <c r="A11" s="235"/>
      <c r="B11" s="235"/>
      <c r="C11" s="235"/>
      <c r="D11" s="235"/>
      <c r="E11" s="235"/>
      <c r="F11" s="235"/>
      <c r="G11" s="239"/>
      <c r="H11" s="240"/>
      <c r="I11" s="216"/>
      <c r="J11" s="216"/>
    </row>
    <row r="12" ht="23.25" customHeight="1">
      <c r="A12" s="235"/>
      <c r="B12" s="235"/>
      <c r="C12" s="235"/>
      <c r="D12" s="235"/>
      <c r="E12" s="235"/>
      <c r="F12" s="235"/>
      <c r="G12" s="239"/>
      <c r="H12" s="240"/>
      <c r="I12" s="216"/>
      <c r="J12" s="216"/>
    </row>
    <row r="13" ht="23.25" customHeight="1">
      <c r="A13" s="235"/>
      <c r="B13" s="235"/>
      <c r="C13" s="235"/>
      <c r="D13" s="235"/>
      <c r="E13" s="235"/>
      <c r="F13" s="235"/>
      <c r="G13" s="239"/>
      <c r="H13" s="240"/>
      <c r="I13" s="216"/>
      <c r="J13" s="216"/>
    </row>
    <row r="14" ht="23.25" customHeight="1">
      <c r="A14" s="235" t="s">
        <v>310</v>
      </c>
      <c r="B14" s="235" t="s">
        <v>101</v>
      </c>
      <c r="C14" s="235" t="s">
        <v>24</v>
      </c>
      <c r="D14" s="235" t="s">
        <v>308</v>
      </c>
      <c r="E14" s="235" t="s">
        <v>309</v>
      </c>
      <c r="F14" s="235">
        <v>5.0</v>
      </c>
      <c r="G14" s="239" t="s">
        <v>152</v>
      </c>
      <c r="H14" s="240">
        <f t="shared" ref="H14:H26" si="1">IFERROR(SUMIF(G14,"Independiente",F14),0)*1</f>
        <v>5</v>
      </c>
      <c r="I14" s="216" t="str">
        <f t="shared" ref="I14:I26" si="2">CONCATENATE(B14,C14,D14,E14)</f>
        <v>ALEJANDRO REYES MURILLODERECHO FUNCIONARIOCOLACIONCOLACION =  5 DIAS/SEMANA</v>
      </c>
      <c r="J14" s="216"/>
    </row>
    <row r="15" ht="23.25" customHeight="1">
      <c r="A15" s="235" t="s">
        <v>311</v>
      </c>
      <c r="B15" s="235" t="s">
        <v>123</v>
      </c>
      <c r="C15" s="235" t="s">
        <v>24</v>
      </c>
      <c r="D15" s="235" t="s">
        <v>308</v>
      </c>
      <c r="E15" s="235" t="s">
        <v>309</v>
      </c>
      <c r="F15" s="235">
        <v>5.0</v>
      </c>
      <c r="G15" s="239" t="s">
        <v>152</v>
      </c>
      <c r="H15" s="240">
        <f t="shared" si="1"/>
        <v>5</v>
      </c>
      <c r="I15" s="216" t="str">
        <f t="shared" si="2"/>
        <v>ANGELA ZUÑIGA MUGADERECHO FUNCIONARIOCOLACIONCOLACION =  5 DIAS/SEMANA</v>
      </c>
      <c r="J15" s="216"/>
    </row>
    <row r="16" ht="23.25" customHeight="1">
      <c r="A16" s="235" t="s">
        <v>312</v>
      </c>
      <c r="B16" s="235" t="s">
        <v>118</v>
      </c>
      <c r="C16" s="235" t="s">
        <v>24</v>
      </c>
      <c r="D16" s="235" t="s">
        <v>308</v>
      </c>
      <c r="E16" s="235" t="s">
        <v>313</v>
      </c>
      <c r="F16" s="235">
        <v>2.0</v>
      </c>
      <c r="G16" s="239" t="s">
        <v>152</v>
      </c>
      <c r="H16" s="240">
        <f t="shared" si="1"/>
        <v>2</v>
      </c>
      <c r="I16" s="216" t="str">
        <f t="shared" si="2"/>
        <v>CLAUDIO PINTO VILLALOBOSDERECHO FUNCIONARIOCOLACIONCOLACION =  2 DIAS/SEMANA</v>
      </c>
      <c r="J16" s="216"/>
    </row>
    <row r="17" ht="23.25" customHeight="1">
      <c r="A17" s="235" t="s">
        <v>314</v>
      </c>
      <c r="B17" s="235" t="s">
        <v>88</v>
      </c>
      <c r="C17" s="235" t="s">
        <v>24</v>
      </c>
      <c r="D17" s="235" t="s">
        <v>308</v>
      </c>
      <c r="E17" s="235" t="s">
        <v>309</v>
      </c>
      <c r="F17" s="235">
        <v>5.0</v>
      </c>
      <c r="G17" s="239" t="s">
        <v>152</v>
      </c>
      <c r="H17" s="240">
        <f t="shared" si="1"/>
        <v>5</v>
      </c>
      <c r="I17" s="216" t="str">
        <f t="shared" si="2"/>
        <v>CONSTANZA PALMA MONTERODERECHO FUNCIONARIOCOLACIONCOLACION =  5 DIAS/SEMANA</v>
      </c>
      <c r="J17" s="216"/>
    </row>
    <row r="18" ht="23.25" customHeight="1">
      <c r="A18" s="235" t="s">
        <v>315</v>
      </c>
      <c r="B18" s="235" t="s">
        <v>176</v>
      </c>
      <c r="C18" s="235" t="s">
        <v>24</v>
      </c>
      <c r="D18" s="235" t="s">
        <v>308</v>
      </c>
      <c r="E18" s="235" t="s">
        <v>309</v>
      </c>
      <c r="F18" s="235">
        <v>5.0</v>
      </c>
      <c r="G18" s="239" t="s">
        <v>152</v>
      </c>
      <c r="H18" s="240">
        <f t="shared" si="1"/>
        <v>5</v>
      </c>
      <c r="I18" s="216" t="str">
        <f t="shared" si="2"/>
        <v>CRISTOBAL VELASQUEZ VASQUEZDERECHO FUNCIONARIOCOLACIONCOLACION =  5 DIAS/SEMANA</v>
      </c>
      <c r="J18" s="216"/>
    </row>
    <row r="19" ht="23.25" customHeight="1">
      <c r="A19" s="235" t="s">
        <v>316</v>
      </c>
      <c r="B19" s="235" t="s">
        <v>110</v>
      </c>
      <c r="C19" s="235" t="s">
        <v>24</v>
      </c>
      <c r="D19" s="235" t="s">
        <v>308</v>
      </c>
      <c r="E19" s="235" t="s">
        <v>309</v>
      </c>
      <c r="F19" s="235">
        <v>5.0</v>
      </c>
      <c r="G19" s="239" t="s">
        <v>152</v>
      </c>
      <c r="H19" s="240">
        <f t="shared" si="1"/>
        <v>5</v>
      </c>
      <c r="I19" s="216" t="str">
        <f t="shared" si="2"/>
        <v>DANIELA ROJAS GAMBOADERECHO FUNCIONARIOCOLACIONCOLACION =  5 DIAS/SEMANA</v>
      </c>
      <c r="J19" s="216"/>
    </row>
    <row r="20" ht="23.25" customHeight="1">
      <c r="A20" s="235" t="s">
        <v>317</v>
      </c>
      <c r="B20" s="235" t="s">
        <v>91</v>
      </c>
      <c r="C20" s="235" t="s">
        <v>24</v>
      </c>
      <c r="D20" s="235" t="s">
        <v>308</v>
      </c>
      <c r="E20" s="235" t="s">
        <v>318</v>
      </c>
      <c r="F20" s="235">
        <v>3.0</v>
      </c>
      <c r="G20" s="239" t="s">
        <v>152</v>
      </c>
      <c r="H20" s="240">
        <f t="shared" si="1"/>
        <v>3</v>
      </c>
      <c r="I20" s="216" t="str">
        <f t="shared" si="2"/>
        <v>EDGAR CARVAJAL TORRESDERECHO FUNCIONARIOCOLACIONCOLACION =  3 DIAS/SEMANA</v>
      </c>
      <c r="J20" s="216"/>
    </row>
    <row r="21" ht="23.25" customHeight="1">
      <c r="A21" s="235" t="s">
        <v>319</v>
      </c>
      <c r="B21" s="235" t="s">
        <v>120</v>
      </c>
      <c r="C21" s="235" t="s">
        <v>24</v>
      </c>
      <c r="D21" s="235" t="s">
        <v>308</v>
      </c>
      <c r="E21" s="235" t="s">
        <v>313</v>
      </c>
      <c r="F21" s="235">
        <v>2.0</v>
      </c>
      <c r="G21" s="239" t="s">
        <v>152</v>
      </c>
      <c r="H21" s="240">
        <f t="shared" si="1"/>
        <v>2</v>
      </c>
      <c r="I21" s="216" t="str">
        <f t="shared" si="2"/>
        <v>ELIZABETH ZARATE ROJASDERECHO FUNCIONARIOCOLACIONCOLACION =  2 DIAS/SEMANA</v>
      </c>
      <c r="J21" s="216"/>
    </row>
    <row r="22" ht="23.25" customHeight="1">
      <c r="A22" s="235" t="s">
        <v>320</v>
      </c>
      <c r="B22" s="235" t="s">
        <v>98</v>
      </c>
      <c r="C22" s="235" t="s">
        <v>24</v>
      </c>
      <c r="D22" s="235" t="s">
        <v>308</v>
      </c>
      <c r="E22" s="235" t="s">
        <v>313</v>
      </c>
      <c r="F22" s="235">
        <v>2.0</v>
      </c>
      <c r="G22" s="239" t="s">
        <v>152</v>
      </c>
      <c r="H22" s="240">
        <f t="shared" si="1"/>
        <v>2</v>
      </c>
      <c r="I22" s="216" t="str">
        <f t="shared" si="2"/>
        <v>FANNY QUINTANILLA CORDERODERECHO FUNCIONARIOCOLACIONCOLACION =  2 DIAS/SEMANA</v>
      </c>
      <c r="J22" s="216"/>
    </row>
    <row r="23" ht="23.25" customHeight="1">
      <c r="A23" s="235" t="s">
        <v>321</v>
      </c>
      <c r="B23" s="235" t="s">
        <v>86</v>
      </c>
      <c r="C23" s="235" t="s">
        <v>24</v>
      </c>
      <c r="D23" s="235" t="s">
        <v>308</v>
      </c>
      <c r="E23" s="235" t="s">
        <v>309</v>
      </c>
      <c r="F23" s="242">
        <v>5.0</v>
      </c>
      <c r="G23" s="239" t="s">
        <v>152</v>
      </c>
      <c r="H23" s="240">
        <f t="shared" si="1"/>
        <v>5</v>
      </c>
      <c r="I23" s="216" t="str">
        <f t="shared" si="2"/>
        <v>GERARDO VALENCIA BERMUDEZDERECHO FUNCIONARIOCOLACIONCOLACION =  5 DIAS/SEMANA</v>
      </c>
      <c r="J23" s="216"/>
    </row>
    <row r="24" ht="23.25" customHeight="1">
      <c r="A24" s="235" t="s">
        <v>322</v>
      </c>
      <c r="B24" s="235" t="s">
        <v>103</v>
      </c>
      <c r="C24" s="235" t="s">
        <v>24</v>
      </c>
      <c r="D24" s="235" t="s">
        <v>308</v>
      </c>
      <c r="E24" s="235" t="s">
        <v>313</v>
      </c>
      <c r="F24" s="235">
        <v>2.0</v>
      </c>
      <c r="G24" s="239" t="s">
        <v>152</v>
      </c>
      <c r="H24" s="240">
        <f t="shared" si="1"/>
        <v>2</v>
      </c>
      <c r="I24" s="216" t="str">
        <f t="shared" si="2"/>
        <v>JAIME REYES TORODERECHO FUNCIONARIOCOLACIONCOLACION =  2 DIAS/SEMANA</v>
      </c>
      <c r="J24" s="216"/>
    </row>
    <row r="25" ht="23.25" customHeight="1">
      <c r="A25" s="235" t="s">
        <v>323</v>
      </c>
      <c r="B25" s="243" t="s">
        <v>107</v>
      </c>
      <c r="C25" s="235" t="s">
        <v>24</v>
      </c>
      <c r="D25" s="235" t="s">
        <v>308</v>
      </c>
      <c r="E25" s="235" t="s">
        <v>313</v>
      </c>
      <c r="F25" s="235">
        <v>2.0</v>
      </c>
      <c r="G25" s="239" t="s">
        <v>152</v>
      </c>
      <c r="H25" s="240">
        <f t="shared" si="1"/>
        <v>2</v>
      </c>
      <c r="I25" s="216" t="str">
        <f t="shared" si="2"/>
        <v>KARINA MONTANARESDERECHO FUNCIONARIOCOLACIONCOLACION =  2 DIAS/SEMANA</v>
      </c>
      <c r="J25" s="216"/>
    </row>
    <row r="26" ht="23.25" customHeight="1">
      <c r="A26" s="235" t="s">
        <v>324</v>
      </c>
      <c r="B26" s="235" t="s">
        <v>112</v>
      </c>
      <c r="C26" s="235" t="s">
        <v>24</v>
      </c>
      <c r="D26" s="235" t="s">
        <v>308</v>
      </c>
      <c r="E26" s="235" t="s">
        <v>309</v>
      </c>
      <c r="F26" s="235">
        <v>5.0</v>
      </c>
      <c r="G26" s="239" t="s">
        <v>152</v>
      </c>
      <c r="H26" s="240">
        <f t="shared" si="1"/>
        <v>5</v>
      </c>
      <c r="I26" s="216" t="str">
        <f t="shared" si="2"/>
        <v>LUIS GONZALEZ SEPULVEDADERECHO FUNCIONARIOCOLACIONCOLACION =  5 DIAS/SEMANA</v>
      </c>
      <c r="J26" s="216"/>
    </row>
    <row r="27" ht="23.25" customHeight="1">
      <c r="A27" s="235"/>
      <c r="B27" s="235"/>
      <c r="C27" s="235"/>
      <c r="D27" s="235"/>
      <c r="E27" s="235"/>
      <c r="F27" s="235"/>
      <c r="G27" s="239"/>
      <c r="H27" s="240"/>
      <c r="I27" s="216"/>
      <c r="J27" s="216"/>
    </row>
    <row r="28" ht="23.25" customHeight="1">
      <c r="A28" s="235" t="s">
        <v>325</v>
      </c>
      <c r="B28" s="235" t="s">
        <v>131</v>
      </c>
      <c r="C28" s="235" t="s">
        <v>24</v>
      </c>
      <c r="D28" s="235" t="s">
        <v>308</v>
      </c>
      <c r="E28" s="235" t="s">
        <v>309</v>
      </c>
      <c r="F28" s="235">
        <v>5.0</v>
      </c>
      <c r="G28" s="239" t="s">
        <v>152</v>
      </c>
      <c r="H28" s="240">
        <f t="shared" ref="H28:H43" si="3">IFERROR(SUMIF(G28,"Independiente",F28),0)*1</f>
        <v>5</v>
      </c>
      <c r="I28" s="216" t="str">
        <f t="shared" ref="I28:I43" si="4">CONCATENATE(B28,C28,D28,E28)</f>
        <v>MYRRHA ANDAUR MARTINEZDERECHO FUNCIONARIOCOLACIONCOLACION =  5 DIAS/SEMANA</v>
      </c>
      <c r="J28" s="216"/>
    </row>
    <row r="29" ht="23.25" customHeight="1">
      <c r="A29" s="235" t="s">
        <v>326</v>
      </c>
      <c r="B29" s="235" t="s">
        <v>133</v>
      </c>
      <c r="C29" s="235" t="s">
        <v>24</v>
      </c>
      <c r="D29" s="235" t="s">
        <v>308</v>
      </c>
      <c r="E29" s="235" t="s">
        <v>309</v>
      </c>
      <c r="F29" s="235">
        <v>5.0</v>
      </c>
      <c r="G29" s="239" t="s">
        <v>152</v>
      </c>
      <c r="H29" s="240">
        <f t="shared" si="3"/>
        <v>5</v>
      </c>
      <c r="I29" s="216" t="str">
        <f t="shared" si="4"/>
        <v>PAULINA DIAZ MEDINADERECHO FUNCIONARIOCOLACIONCOLACION =  5 DIAS/SEMANA</v>
      </c>
      <c r="J29" s="216"/>
    </row>
    <row r="30" ht="23.25" customHeight="1">
      <c r="A30" s="235" t="s">
        <v>327</v>
      </c>
      <c r="B30" s="235" t="s">
        <v>95</v>
      </c>
      <c r="C30" s="235" t="s">
        <v>24</v>
      </c>
      <c r="D30" s="235" t="s">
        <v>308</v>
      </c>
      <c r="E30" s="235" t="s">
        <v>309</v>
      </c>
      <c r="F30" s="235">
        <v>5.0</v>
      </c>
      <c r="G30" s="239" t="s">
        <v>152</v>
      </c>
      <c r="H30" s="240">
        <f t="shared" si="3"/>
        <v>5</v>
      </c>
      <c r="I30" s="216" t="str">
        <f t="shared" si="4"/>
        <v>SORAYA CRUCES DIAZDERECHO FUNCIONARIOCOLACIONCOLACION =  5 DIAS/SEMANA</v>
      </c>
      <c r="J30" s="216"/>
    </row>
    <row r="31" ht="23.25" customHeight="1">
      <c r="A31" s="235" t="s">
        <v>328</v>
      </c>
      <c r="B31" s="235" t="s">
        <v>126</v>
      </c>
      <c r="C31" s="235" t="s">
        <v>24</v>
      </c>
      <c r="D31" s="235" t="s">
        <v>308</v>
      </c>
      <c r="E31" s="235" t="s">
        <v>309</v>
      </c>
      <c r="F31" s="235">
        <v>5.0</v>
      </c>
      <c r="G31" s="239" t="s">
        <v>152</v>
      </c>
      <c r="H31" s="240">
        <f t="shared" si="3"/>
        <v>5</v>
      </c>
      <c r="I31" s="216" t="str">
        <f t="shared" si="4"/>
        <v>VALERIA NUÑEZ QUINCHELDERECHO FUNCIONARIOCOLACIONCOLACION =  5 DIAS/SEMANA</v>
      </c>
      <c r="J31" s="216"/>
    </row>
    <row r="32" ht="23.25" customHeight="1">
      <c r="A32" s="235" t="s">
        <v>329</v>
      </c>
      <c r="B32" s="235" t="s">
        <v>129</v>
      </c>
      <c r="C32" s="235" t="s">
        <v>24</v>
      </c>
      <c r="D32" s="235" t="s">
        <v>308</v>
      </c>
      <c r="E32" s="235" t="s">
        <v>309</v>
      </c>
      <c r="F32" s="235">
        <v>5.0</v>
      </c>
      <c r="G32" s="239" t="s">
        <v>152</v>
      </c>
      <c r="H32" s="240">
        <f t="shared" si="3"/>
        <v>5</v>
      </c>
      <c r="I32" s="216" t="str">
        <f t="shared" si="4"/>
        <v>VANESSA ESPINOZA ESPINOZADERECHO FUNCIONARIOCOLACIONCOLACION =  5 DIAS/SEMANA</v>
      </c>
      <c r="J32" s="216"/>
    </row>
    <row r="33" ht="23.25" customHeight="1">
      <c r="A33" s="235" t="s">
        <v>330</v>
      </c>
      <c r="B33" s="235" t="s">
        <v>129</v>
      </c>
      <c r="C33" s="235" t="s">
        <v>24</v>
      </c>
      <c r="D33" s="235" t="s">
        <v>331</v>
      </c>
      <c r="E33" s="235" t="s">
        <v>332</v>
      </c>
      <c r="F33" s="235">
        <v>1.25</v>
      </c>
      <c r="G33" s="239" t="s">
        <v>152</v>
      </c>
      <c r="H33" s="240">
        <f t="shared" si="3"/>
        <v>1.25</v>
      </c>
      <c r="I33" s="216" t="str">
        <f t="shared" si="4"/>
        <v>VANESSA ESPINOZA ESPINOZADERECHO FUNCIONARIOPAUSA SALUDABLEPAUSA SALUDABLE = 5/SEMANA</v>
      </c>
      <c r="J33" s="216"/>
    </row>
    <row r="34" ht="23.25" customHeight="1">
      <c r="A34" s="235" t="s">
        <v>333</v>
      </c>
      <c r="B34" s="243" t="s">
        <v>101</v>
      </c>
      <c r="C34" s="235" t="s">
        <v>24</v>
      </c>
      <c r="D34" s="235" t="s">
        <v>331</v>
      </c>
      <c r="E34" s="235" t="s">
        <v>334</v>
      </c>
      <c r="F34" s="235">
        <v>1.66</v>
      </c>
      <c r="G34" s="239" t="s">
        <v>152</v>
      </c>
      <c r="H34" s="240">
        <f t="shared" si="3"/>
        <v>1.66</v>
      </c>
      <c r="I34" s="216" t="str">
        <f t="shared" si="4"/>
        <v>ALEJANDRO REYES MURILLODERECHO FUNCIONARIOPAUSA SALUDABLEPAUSA SALUDABLE = 5/SEMANA (20  MIN)</v>
      </c>
      <c r="J34" s="216"/>
    </row>
    <row r="35" ht="23.25" customHeight="1">
      <c r="A35" s="235" t="s">
        <v>335</v>
      </c>
      <c r="B35" s="235" t="s">
        <v>123</v>
      </c>
      <c r="C35" s="235" t="s">
        <v>24</v>
      </c>
      <c r="D35" s="235" t="s">
        <v>331</v>
      </c>
      <c r="E35" s="235" t="s">
        <v>332</v>
      </c>
      <c r="F35" s="235">
        <v>1.25</v>
      </c>
      <c r="G35" s="239" t="s">
        <v>152</v>
      </c>
      <c r="H35" s="240">
        <f t="shared" si="3"/>
        <v>1.25</v>
      </c>
      <c r="I35" s="216" t="str">
        <f t="shared" si="4"/>
        <v>ANGELA ZUÑIGA MUGADERECHO FUNCIONARIOPAUSA SALUDABLEPAUSA SALUDABLE = 5/SEMANA</v>
      </c>
      <c r="J35" s="216"/>
    </row>
    <row r="36" ht="23.25" customHeight="1">
      <c r="A36" s="235" t="s">
        <v>336</v>
      </c>
      <c r="B36" s="235" t="s">
        <v>118</v>
      </c>
      <c r="C36" s="235" t="s">
        <v>24</v>
      </c>
      <c r="D36" s="235" t="s">
        <v>331</v>
      </c>
      <c r="E36" s="235" t="s">
        <v>332</v>
      </c>
      <c r="F36" s="235">
        <v>1.25</v>
      </c>
      <c r="G36" s="239" t="s">
        <v>152</v>
      </c>
      <c r="H36" s="240">
        <f t="shared" si="3"/>
        <v>1.25</v>
      </c>
      <c r="I36" s="216" t="str">
        <f t="shared" si="4"/>
        <v>CLAUDIO PINTO VILLALOBOSDERECHO FUNCIONARIOPAUSA SALUDABLEPAUSA SALUDABLE = 5/SEMANA</v>
      </c>
      <c r="J36" s="216"/>
    </row>
    <row r="37" ht="23.25" customHeight="1">
      <c r="A37" s="235" t="s">
        <v>337</v>
      </c>
      <c r="B37" s="235" t="s">
        <v>88</v>
      </c>
      <c r="C37" s="235" t="s">
        <v>24</v>
      </c>
      <c r="D37" s="235" t="s">
        <v>331</v>
      </c>
      <c r="E37" s="235" t="s">
        <v>332</v>
      </c>
      <c r="F37" s="235">
        <v>1.25</v>
      </c>
      <c r="G37" s="239" t="s">
        <v>152</v>
      </c>
      <c r="H37" s="240">
        <f t="shared" si="3"/>
        <v>1.25</v>
      </c>
      <c r="I37" s="216" t="str">
        <f t="shared" si="4"/>
        <v>CONSTANZA PALMA MONTERODERECHO FUNCIONARIOPAUSA SALUDABLEPAUSA SALUDABLE = 5/SEMANA</v>
      </c>
      <c r="J37" s="216"/>
    </row>
    <row r="38" ht="23.25" customHeight="1">
      <c r="A38" s="235" t="s">
        <v>338</v>
      </c>
      <c r="B38" s="235" t="s">
        <v>176</v>
      </c>
      <c r="C38" s="235" t="s">
        <v>24</v>
      </c>
      <c r="D38" s="235" t="s">
        <v>331</v>
      </c>
      <c r="E38" s="235" t="s">
        <v>334</v>
      </c>
      <c r="F38" s="235">
        <v>1.66</v>
      </c>
      <c r="G38" s="239" t="s">
        <v>152</v>
      </c>
      <c r="H38" s="240">
        <f t="shared" si="3"/>
        <v>1.66</v>
      </c>
      <c r="I38" s="216" t="str">
        <f t="shared" si="4"/>
        <v>CRISTOBAL VELASQUEZ VASQUEZDERECHO FUNCIONARIOPAUSA SALUDABLEPAUSA SALUDABLE = 5/SEMANA (20  MIN)</v>
      </c>
      <c r="J38" s="216"/>
    </row>
    <row r="39" ht="23.25" customHeight="1">
      <c r="A39" s="235" t="s">
        <v>339</v>
      </c>
      <c r="B39" s="235" t="s">
        <v>110</v>
      </c>
      <c r="C39" s="235" t="s">
        <v>24</v>
      </c>
      <c r="D39" s="235" t="s">
        <v>331</v>
      </c>
      <c r="E39" s="235" t="s">
        <v>332</v>
      </c>
      <c r="F39" s="235">
        <v>1.25</v>
      </c>
      <c r="G39" s="239" t="s">
        <v>152</v>
      </c>
      <c r="H39" s="240">
        <f t="shared" si="3"/>
        <v>1.25</v>
      </c>
      <c r="I39" s="216" t="str">
        <f t="shared" si="4"/>
        <v>DANIELA ROJAS GAMBOADERECHO FUNCIONARIOPAUSA SALUDABLEPAUSA SALUDABLE = 5/SEMANA</v>
      </c>
      <c r="J39" s="216"/>
    </row>
    <row r="40" ht="23.25" customHeight="1">
      <c r="A40" s="235" t="s">
        <v>340</v>
      </c>
      <c r="B40" s="235" t="s">
        <v>91</v>
      </c>
      <c r="C40" s="235" t="s">
        <v>24</v>
      </c>
      <c r="D40" s="235" t="s">
        <v>331</v>
      </c>
      <c r="E40" s="235" t="s">
        <v>334</v>
      </c>
      <c r="F40" s="242">
        <v>1.66</v>
      </c>
      <c r="G40" s="239" t="s">
        <v>152</v>
      </c>
      <c r="H40" s="240">
        <f t="shared" si="3"/>
        <v>1.66</v>
      </c>
      <c r="I40" s="216" t="str">
        <f t="shared" si="4"/>
        <v>EDGAR CARVAJAL TORRESDERECHO FUNCIONARIOPAUSA SALUDABLEPAUSA SALUDABLE = 5/SEMANA (20  MIN)</v>
      </c>
      <c r="J40" s="216"/>
    </row>
    <row r="41" ht="23.25" customHeight="1">
      <c r="A41" s="235" t="s">
        <v>341</v>
      </c>
      <c r="B41" s="235" t="s">
        <v>120</v>
      </c>
      <c r="C41" s="235" t="s">
        <v>24</v>
      </c>
      <c r="D41" s="235" t="s">
        <v>331</v>
      </c>
      <c r="E41" s="235" t="s">
        <v>342</v>
      </c>
      <c r="F41" s="235">
        <v>0.5</v>
      </c>
      <c r="G41" s="239" t="s">
        <v>152</v>
      </c>
      <c r="H41" s="240">
        <f t="shared" si="3"/>
        <v>0.5</v>
      </c>
      <c r="I41" s="216" t="str">
        <f t="shared" si="4"/>
        <v>ELIZABETH ZARATE ROJASDERECHO FUNCIONARIOPAUSA SALUDABLEPAUSA SALUDABLE = 2/SEMANA</v>
      </c>
      <c r="J41" s="216"/>
    </row>
    <row r="42" ht="23.25" customHeight="1">
      <c r="A42" s="235" t="s">
        <v>343</v>
      </c>
      <c r="B42" s="235" t="s">
        <v>98</v>
      </c>
      <c r="C42" s="235" t="s">
        <v>24</v>
      </c>
      <c r="D42" s="235" t="s">
        <v>331</v>
      </c>
      <c r="E42" s="235" t="s">
        <v>342</v>
      </c>
      <c r="F42" s="235">
        <v>0.5</v>
      </c>
      <c r="G42" s="239" t="s">
        <v>152</v>
      </c>
      <c r="H42" s="240">
        <f t="shared" si="3"/>
        <v>0.5</v>
      </c>
      <c r="I42" s="216" t="str">
        <f t="shared" si="4"/>
        <v>FANNY QUINTANILLA CORDERODERECHO FUNCIONARIOPAUSA SALUDABLEPAUSA SALUDABLE = 2/SEMANA</v>
      </c>
      <c r="J42" s="216"/>
    </row>
    <row r="43" ht="23.25" customHeight="1">
      <c r="A43" s="235" t="s">
        <v>344</v>
      </c>
      <c r="B43" s="235" t="s">
        <v>86</v>
      </c>
      <c r="C43" s="235" t="s">
        <v>24</v>
      </c>
      <c r="D43" s="235" t="s">
        <v>331</v>
      </c>
      <c r="E43" s="235" t="s">
        <v>332</v>
      </c>
      <c r="F43" s="235">
        <v>1.25</v>
      </c>
      <c r="G43" s="239" t="s">
        <v>152</v>
      </c>
      <c r="H43" s="240">
        <f t="shared" si="3"/>
        <v>1.25</v>
      </c>
      <c r="I43" s="216" t="str">
        <f t="shared" si="4"/>
        <v>GERARDO VALENCIA BERMUDEZDERECHO FUNCIONARIOPAUSA SALUDABLEPAUSA SALUDABLE = 5/SEMANA</v>
      </c>
      <c r="J43" s="216"/>
    </row>
    <row r="44" ht="23.25" customHeight="1">
      <c r="A44" s="235"/>
      <c r="B44" s="235"/>
      <c r="C44" s="235"/>
      <c r="D44" s="235"/>
      <c r="E44" s="235"/>
      <c r="F44" s="242"/>
      <c r="G44" s="239"/>
      <c r="H44" s="240"/>
      <c r="I44" s="216"/>
      <c r="J44" s="216"/>
    </row>
    <row r="45" ht="23.25" customHeight="1">
      <c r="A45" s="235" t="s">
        <v>345</v>
      </c>
      <c r="B45" s="243" t="s">
        <v>103</v>
      </c>
      <c r="C45" s="235" t="s">
        <v>24</v>
      </c>
      <c r="D45" s="235" t="s">
        <v>331</v>
      </c>
      <c r="E45" s="235" t="s">
        <v>346</v>
      </c>
      <c r="F45" s="235">
        <v>0.75</v>
      </c>
      <c r="G45" s="239" t="s">
        <v>152</v>
      </c>
      <c r="H45" s="240">
        <f t="shared" ref="H45:H52" si="5">IFERROR(SUMIF(G45,"Independiente",F45),0)*1</f>
        <v>0.75</v>
      </c>
      <c r="I45" s="216" t="str">
        <f t="shared" ref="I45:I52" si="6">CONCATENATE(B45,C45,D45,E45)</f>
        <v>JAIME REYES TORODERECHO FUNCIONARIOPAUSA SALUDABLEPAUSA SALUDABLE = 3/SEMANA</v>
      </c>
      <c r="J45" s="216"/>
    </row>
    <row r="46" ht="23.25" customHeight="1">
      <c r="A46" s="235" t="s">
        <v>347</v>
      </c>
      <c r="B46" s="235" t="s">
        <v>107</v>
      </c>
      <c r="C46" s="235" t="s">
        <v>24</v>
      </c>
      <c r="D46" s="235" t="s">
        <v>331</v>
      </c>
      <c r="E46" s="235" t="s">
        <v>342</v>
      </c>
      <c r="F46" s="235">
        <v>0.5</v>
      </c>
      <c r="G46" s="239" t="s">
        <v>152</v>
      </c>
      <c r="H46" s="240">
        <f t="shared" si="5"/>
        <v>0.5</v>
      </c>
      <c r="I46" s="216" t="str">
        <f t="shared" si="6"/>
        <v>KARINA MONTANARESDERECHO FUNCIONARIOPAUSA SALUDABLEPAUSA SALUDABLE = 2/SEMANA</v>
      </c>
      <c r="J46" s="216"/>
    </row>
    <row r="47" ht="23.25" customHeight="1">
      <c r="A47" s="235" t="s">
        <v>348</v>
      </c>
      <c r="B47" s="243" t="s">
        <v>112</v>
      </c>
      <c r="C47" s="235" t="s">
        <v>24</v>
      </c>
      <c r="D47" s="235" t="s">
        <v>331</v>
      </c>
      <c r="E47" s="235" t="s">
        <v>332</v>
      </c>
      <c r="F47" s="235">
        <v>1.25</v>
      </c>
      <c r="G47" s="239" t="s">
        <v>152</v>
      </c>
      <c r="H47" s="240">
        <f t="shared" si="5"/>
        <v>1.25</v>
      </c>
      <c r="I47" s="216" t="str">
        <f t="shared" si="6"/>
        <v>LUIS GONZALEZ SEPULVEDADERECHO FUNCIONARIOPAUSA SALUDABLEPAUSA SALUDABLE = 5/SEMANA</v>
      </c>
      <c r="J47" s="216"/>
    </row>
    <row r="48" ht="23.25" customHeight="1">
      <c r="A48" s="235" t="s">
        <v>349</v>
      </c>
      <c r="B48" s="235" t="s">
        <v>115</v>
      </c>
      <c r="C48" s="235" t="s">
        <v>24</v>
      </c>
      <c r="D48" s="235" t="s">
        <v>331</v>
      </c>
      <c r="E48" s="235" t="s">
        <v>332</v>
      </c>
      <c r="F48" s="235">
        <v>1.25</v>
      </c>
      <c r="G48" s="239" t="s">
        <v>152</v>
      </c>
      <c r="H48" s="240">
        <f t="shared" si="5"/>
        <v>1.25</v>
      </c>
      <c r="I48" s="216" t="str">
        <f t="shared" si="6"/>
        <v>MARCELA JAQUE LIZAMADERECHO FUNCIONARIOPAUSA SALUDABLEPAUSA SALUDABLE = 5/SEMANA</v>
      </c>
      <c r="J48" s="216"/>
    </row>
    <row r="49" ht="23.25" customHeight="1">
      <c r="A49" s="235" t="s">
        <v>350</v>
      </c>
      <c r="B49" s="235" t="s">
        <v>131</v>
      </c>
      <c r="C49" s="235" t="s">
        <v>24</v>
      </c>
      <c r="D49" s="235" t="s">
        <v>331</v>
      </c>
      <c r="E49" s="235" t="s">
        <v>332</v>
      </c>
      <c r="F49" s="235">
        <v>1.25</v>
      </c>
      <c r="G49" s="239" t="s">
        <v>152</v>
      </c>
      <c r="H49" s="240">
        <f t="shared" si="5"/>
        <v>1.25</v>
      </c>
      <c r="I49" s="216" t="str">
        <f t="shared" si="6"/>
        <v>MYRRHA ANDAUR MARTINEZDERECHO FUNCIONARIOPAUSA SALUDABLEPAUSA SALUDABLE = 5/SEMANA</v>
      </c>
      <c r="J49" s="216"/>
    </row>
    <row r="50" ht="23.25" customHeight="1">
      <c r="A50" s="235" t="s">
        <v>351</v>
      </c>
      <c r="B50" s="235" t="s">
        <v>133</v>
      </c>
      <c r="C50" s="235" t="s">
        <v>24</v>
      </c>
      <c r="D50" s="235" t="s">
        <v>331</v>
      </c>
      <c r="E50" s="235" t="s">
        <v>332</v>
      </c>
      <c r="F50" s="235">
        <v>1.25</v>
      </c>
      <c r="G50" s="239" t="s">
        <v>152</v>
      </c>
      <c r="H50" s="240">
        <f t="shared" si="5"/>
        <v>1.25</v>
      </c>
      <c r="I50" s="216" t="str">
        <f t="shared" si="6"/>
        <v>PAULINA DIAZ MEDINADERECHO FUNCIONARIOPAUSA SALUDABLEPAUSA SALUDABLE = 5/SEMANA</v>
      </c>
      <c r="J50" s="216"/>
    </row>
    <row r="51" ht="23.25" customHeight="1">
      <c r="A51" s="235" t="s">
        <v>352</v>
      </c>
      <c r="B51" s="235" t="s">
        <v>95</v>
      </c>
      <c r="C51" s="235" t="s">
        <v>24</v>
      </c>
      <c r="D51" s="235" t="s">
        <v>331</v>
      </c>
      <c r="E51" s="235" t="s">
        <v>334</v>
      </c>
      <c r="F51" s="242">
        <v>1.66</v>
      </c>
      <c r="G51" s="239" t="s">
        <v>152</v>
      </c>
      <c r="H51" s="240">
        <f t="shared" si="5"/>
        <v>1.66</v>
      </c>
      <c r="I51" s="216" t="str">
        <f t="shared" si="6"/>
        <v>SORAYA CRUCES DIAZDERECHO FUNCIONARIOPAUSA SALUDABLEPAUSA SALUDABLE = 5/SEMANA (20  MIN)</v>
      </c>
      <c r="J51" s="216"/>
    </row>
    <row r="52" ht="23.25" customHeight="1">
      <c r="A52" s="235" t="s">
        <v>353</v>
      </c>
      <c r="B52" s="235" t="s">
        <v>126</v>
      </c>
      <c r="C52" s="235" t="s">
        <v>24</v>
      </c>
      <c r="D52" s="235" t="s">
        <v>331</v>
      </c>
      <c r="E52" s="235" t="s">
        <v>332</v>
      </c>
      <c r="F52" s="235">
        <v>1.25</v>
      </c>
      <c r="G52" s="239" t="s">
        <v>152</v>
      </c>
      <c r="H52" s="240">
        <f t="shared" si="5"/>
        <v>1.25</v>
      </c>
      <c r="I52" s="216" t="str">
        <f t="shared" si="6"/>
        <v>VALERIA NUÑEZ QUINCHELDERECHO FUNCIONARIOPAUSA SALUDABLEPAUSA SALUDABLE = 5/SEMANA</v>
      </c>
      <c r="J52" s="216"/>
    </row>
    <row r="53" ht="23.25" customHeight="1">
      <c r="A53" s="235"/>
      <c r="B53" s="235"/>
      <c r="C53" s="235"/>
      <c r="D53" s="235"/>
      <c r="E53" s="235"/>
      <c r="F53" s="235"/>
      <c r="G53" s="239"/>
      <c r="H53" s="240"/>
      <c r="I53" s="216"/>
      <c r="J53" s="216"/>
    </row>
    <row r="54" ht="23.25" customHeight="1">
      <c r="A54" s="235" t="s">
        <v>354</v>
      </c>
      <c r="B54" s="235" t="s">
        <v>135</v>
      </c>
      <c r="C54" s="235" t="s">
        <v>24</v>
      </c>
      <c r="D54" s="235" t="s">
        <v>331</v>
      </c>
      <c r="E54" s="235" t="s">
        <v>332</v>
      </c>
      <c r="F54" s="235">
        <v>1.25</v>
      </c>
      <c r="G54" s="239" t="s">
        <v>152</v>
      </c>
      <c r="H54" s="240">
        <f t="shared" ref="H54:H263" si="7">IFERROR(SUMIF(G54,"Independiente",F54),0)*1</f>
        <v>1.25</v>
      </c>
      <c r="I54" s="216" t="str">
        <f t="shared" ref="I54:I263" si="8">CONCATENATE(B54,C54,D54,E54)</f>
        <v>CAROL AMBO AMPUERODERECHO FUNCIONARIOPAUSA SALUDABLEPAUSA SALUDABLE = 5/SEMANA</v>
      </c>
      <c r="J54" s="216"/>
    </row>
    <row r="55" ht="23.25" customHeight="1">
      <c r="A55" s="235" t="s">
        <v>355</v>
      </c>
      <c r="B55" s="235" t="s">
        <v>135</v>
      </c>
      <c r="C55" s="235" t="s">
        <v>24</v>
      </c>
      <c r="D55" s="235" t="s">
        <v>308</v>
      </c>
      <c r="E55" s="235" t="s">
        <v>309</v>
      </c>
      <c r="F55" s="235">
        <v>5.0</v>
      </c>
      <c r="G55" s="239" t="s">
        <v>152</v>
      </c>
      <c r="H55" s="240">
        <f t="shared" si="7"/>
        <v>5</v>
      </c>
      <c r="I55" s="216" t="str">
        <f t="shared" si="8"/>
        <v>CAROL AMBO AMPUERODERECHO FUNCIONARIOCOLACIONCOLACION =  5 DIAS/SEMANA</v>
      </c>
      <c r="J55" s="216"/>
    </row>
    <row r="56" ht="23.25" customHeight="1">
      <c r="A56" s="235" t="s">
        <v>356</v>
      </c>
      <c r="B56" s="235" t="s">
        <v>138</v>
      </c>
      <c r="C56" s="235" t="s">
        <v>24</v>
      </c>
      <c r="D56" s="235" t="s">
        <v>308</v>
      </c>
      <c r="E56" s="235" t="s">
        <v>309</v>
      </c>
      <c r="F56" s="235">
        <v>5.0</v>
      </c>
      <c r="G56" s="239" t="s">
        <v>152</v>
      </c>
      <c r="H56" s="240">
        <f t="shared" si="7"/>
        <v>5</v>
      </c>
      <c r="I56" s="216" t="str">
        <f t="shared" si="8"/>
        <v>PAULA ABARCA MORALESDERECHO FUNCIONARIOCOLACIONCOLACION =  5 DIAS/SEMANA</v>
      </c>
      <c r="J56" s="216"/>
    </row>
    <row r="57" ht="23.25" customHeight="1">
      <c r="A57" s="235" t="s">
        <v>357</v>
      </c>
      <c r="B57" s="241" t="s">
        <v>138</v>
      </c>
      <c r="C57" s="235" t="s">
        <v>24</v>
      </c>
      <c r="D57" s="235" t="s">
        <v>331</v>
      </c>
      <c r="E57" s="235" t="s">
        <v>332</v>
      </c>
      <c r="F57" s="235">
        <v>1.25</v>
      </c>
      <c r="G57" s="239" t="s">
        <v>152</v>
      </c>
      <c r="H57" s="240">
        <f t="shared" si="7"/>
        <v>1.25</v>
      </c>
      <c r="I57" s="216" t="str">
        <f t="shared" si="8"/>
        <v>PAULA ABARCA MORALESDERECHO FUNCIONARIOPAUSA SALUDABLEPAUSA SALUDABLE = 5/SEMANA</v>
      </c>
      <c r="J57" s="216"/>
    </row>
    <row r="58" ht="23.25" customHeight="1">
      <c r="A58" s="212"/>
      <c r="B58" s="212"/>
      <c r="C58" s="212"/>
      <c r="D58" s="212"/>
      <c r="E58" s="212"/>
      <c r="F58" s="212"/>
      <c r="G58" s="248"/>
      <c r="H58" s="240">
        <f t="shared" si="7"/>
        <v>0</v>
      </c>
      <c r="I58" s="216" t="str">
        <f t="shared" si="8"/>
        <v/>
      </c>
      <c r="J58" s="216" t="str">
        <f t="array" ref="J58">IFERROR(IF(B58&lt;&gt;"",XLOOKUP(B58,FUNC!E:E,#REF!,"NO VIGENTE"),""),"")</f>
        <v/>
      </c>
    </row>
    <row r="59" ht="23.25" customHeight="1">
      <c r="A59" s="212"/>
      <c r="B59" s="212"/>
      <c r="C59" s="212"/>
      <c r="D59" s="212"/>
      <c r="E59" s="212"/>
      <c r="F59" s="226"/>
      <c r="G59" s="248"/>
      <c r="H59" s="240">
        <f t="shared" si="7"/>
        <v>0</v>
      </c>
      <c r="I59" s="216" t="str">
        <f t="shared" si="8"/>
        <v/>
      </c>
      <c r="J59" s="216" t="str">
        <f t="array" ref="J59">IFERROR(IF(B59&lt;&gt;"",XLOOKUP(B59,FUNC!E:E,#REF!,"NO VIGENTE"),""),"")</f>
        <v/>
      </c>
    </row>
    <row r="60" ht="23.25" customHeight="1">
      <c r="A60" s="212"/>
      <c r="B60" s="212"/>
      <c r="C60" s="212"/>
      <c r="D60" s="212"/>
      <c r="E60" s="212"/>
      <c r="F60" s="212"/>
      <c r="G60" s="248"/>
      <c r="H60" s="240">
        <f t="shared" si="7"/>
        <v>0</v>
      </c>
      <c r="I60" s="216" t="str">
        <f t="shared" si="8"/>
        <v/>
      </c>
      <c r="J60" s="216" t="str">
        <f t="array" ref="J60">IFERROR(IF(B60&lt;&gt;"",XLOOKUP(B60,FUNC!E:E,#REF!,"NO VIGENTE"),""),"")</f>
        <v/>
      </c>
    </row>
    <row r="61" ht="23.25" customHeight="1">
      <c r="A61" s="212"/>
      <c r="B61" s="53"/>
      <c r="C61" s="212"/>
      <c r="D61" s="212"/>
      <c r="E61" s="212"/>
      <c r="F61" s="212"/>
      <c r="G61" s="248"/>
      <c r="H61" s="240">
        <f t="shared" si="7"/>
        <v>0</v>
      </c>
      <c r="I61" s="216" t="str">
        <f t="shared" si="8"/>
        <v/>
      </c>
      <c r="J61" s="216" t="str">
        <f t="array" ref="J61">IFERROR(IF(B61&lt;&gt;"",XLOOKUP(B61,FUNC!E:E,#REF!,"NO VIGENTE"),""),"")</f>
        <v/>
      </c>
    </row>
    <row r="62" ht="23.25" customHeight="1">
      <c r="A62" s="212"/>
      <c r="B62" s="212"/>
      <c r="C62" s="212"/>
      <c r="D62" s="212"/>
      <c r="E62" s="212"/>
      <c r="F62" s="212"/>
      <c r="G62" s="248"/>
      <c r="H62" s="240">
        <f t="shared" si="7"/>
        <v>0</v>
      </c>
      <c r="I62" s="216" t="str">
        <f t="shared" si="8"/>
        <v/>
      </c>
      <c r="J62" s="216" t="str">
        <f t="array" ref="J62">IFERROR(IF(B62&lt;&gt;"",XLOOKUP(B62,FUNC!E:E,#REF!,"NO VIGENTE"),""),"")</f>
        <v/>
      </c>
    </row>
    <row r="63" ht="23.25" customHeight="1">
      <c r="A63" s="212"/>
      <c r="B63" s="212"/>
      <c r="C63" s="212"/>
      <c r="D63" s="212"/>
      <c r="E63" s="212"/>
      <c r="F63" s="212"/>
      <c r="G63" s="248"/>
      <c r="H63" s="240">
        <f t="shared" si="7"/>
        <v>0</v>
      </c>
      <c r="I63" s="216" t="str">
        <f t="shared" si="8"/>
        <v/>
      </c>
      <c r="J63" s="216" t="str">
        <f t="array" ref="J63">IFERROR(IF(B63&lt;&gt;"",XLOOKUP(B63,FUNC!E:E,#REF!,"NO VIGENTE"),""),"")</f>
        <v/>
      </c>
    </row>
    <row r="64" ht="23.25" customHeight="1">
      <c r="A64" s="212"/>
      <c r="B64" s="212"/>
      <c r="C64" s="212"/>
      <c r="D64" s="212"/>
      <c r="E64" s="212"/>
      <c r="F64" s="226"/>
      <c r="G64" s="248"/>
      <c r="H64" s="240">
        <f t="shared" si="7"/>
        <v>0</v>
      </c>
      <c r="I64" s="216" t="str">
        <f t="shared" si="8"/>
        <v/>
      </c>
      <c r="J64" s="216" t="str">
        <f t="array" ref="J64">IFERROR(IF(B64&lt;&gt;"",XLOOKUP(B64,FUNC!E:E,#REF!,"NO VIGENTE"),""),"")</f>
        <v/>
      </c>
    </row>
    <row r="65" ht="23.25" customHeight="1">
      <c r="A65" s="212"/>
      <c r="B65" s="212"/>
      <c r="C65" s="212"/>
      <c r="D65" s="212"/>
      <c r="E65" s="212"/>
      <c r="F65" s="212"/>
      <c r="G65" s="248"/>
      <c r="H65" s="240">
        <f t="shared" si="7"/>
        <v>0</v>
      </c>
      <c r="I65" s="216" t="str">
        <f t="shared" si="8"/>
        <v/>
      </c>
      <c r="J65" s="216" t="str">
        <f t="array" ref="J65">IFERROR(IF(B65&lt;&gt;"",XLOOKUP(B65,FUNC!E:E,#REF!,"NO VIGENTE"),""),"")</f>
        <v/>
      </c>
    </row>
    <row r="66" ht="23.25" customHeight="1">
      <c r="A66" s="212"/>
      <c r="B66" s="249"/>
      <c r="C66" s="212"/>
      <c r="D66" s="212"/>
      <c r="E66" s="212"/>
      <c r="F66" s="212"/>
      <c r="G66" s="248"/>
      <c r="H66" s="240">
        <f t="shared" si="7"/>
        <v>0</v>
      </c>
      <c r="I66" s="216" t="str">
        <f t="shared" si="8"/>
        <v/>
      </c>
      <c r="J66" s="216" t="str">
        <f t="array" ref="J66">IFERROR(IF(B66&lt;&gt;"",XLOOKUP(B66,FUNC!E:E,#REF!,"NO VIGENTE"),""),"")</f>
        <v/>
      </c>
    </row>
    <row r="67" ht="23.25" customHeight="1">
      <c r="A67" s="212"/>
      <c r="B67" s="212"/>
      <c r="C67" s="212"/>
      <c r="D67" s="212"/>
      <c r="E67" s="212"/>
      <c r="F67" s="212"/>
      <c r="G67" s="248"/>
      <c r="H67" s="240">
        <f t="shared" si="7"/>
        <v>0</v>
      </c>
      <c r="I67" s="216" t="str">
        <f t="shared" si="8"/>
        <v/>
      </c>
      <c r="J67" s="216" t="str">
        <f t="array" ref="J67">IFERROR(IF(B67&lt;&gt;"",XLOOKUP(B67,FUNC!E:E,#REF!,"NO VIGENTE"),""),"")</f>
        <v/>
      </c>
    </row>
    <row r="68" ht="23.25" customHeight="1">
      <c r="A68" s="212"/>
      <c r="B68" s="212"/>
      <c r="C68" s="212"/>
      <c r="D68" s="212"/>
      <c r="E68" s="212"/>
      <c r="F68" s="212"/>
      <c r="G68" s="248"/>
      <c r="H68" s="240">
        <f t="shared" si="7"/>
        <v>0</v>
      </c>
      <c r="I68" s="216" t="str">
        <f t="shared" si="8"/>
        <v/>
      </c>
      <c r="J68" s="216" t="str">
        <f t="array" ref="J68">IFERROR(IF(B68&lt;&gt;"",XLOOKUP(B68,FUNC!E:E,#REF!,"NO VIGENTE"),""),"")</f>
        <v/>
      </c>
    </row>
    <row r="69" ht="23.25" customHeight="1">
      <c r="A69" s="212"/>
      <c r="B69" s="212"/>
      <c r="C69" s="212"/>
      <c r="D69" s="212"/>
      <c r="E69" s="212"/>
      <c r="F69" s="212"/>
      <c r="G69" s="248"/>
      <c r="H69" s="240">
        <f t="shared" si="7"/>
        <v>0</v>
      </c>
      <c r="I69" s="216" t="str">
        <f t="shared" si="8"/>
        <v/>
      </c>
      <c r="J69" s="216" t="str">
        <f t="array" ref="J69">IFERROR(IF(B69&lt;&gt;"",XLOOKUP(B69,FUNC!E:E,#REF!,"NO VIGENTE"),""),"")</f>
        <v/>
      </c>
    </row>
    <row r="70" ht="23.25" customHeight="1">
      <c r="A70" s="212"/>
      <c r="B70" s="212"/>
      <c r="C70" s="212"/>
      <c r="D70" s="212"/>
      <c r="E70" s="212"/>
      <c r="F70" s="212"/>
      <c r="G70" s="248"/>
      <c r="H70" s="240">
        <f t="shared" si="7"/>
        <v>0</v>
      </c>
      <c r="I70" s="216" t="str">
        <f t="shared" si="8"/>
        <v/>
      </c>
      <c r="J70" s="216" t="str">
        <f t="array" ref="J70">IFERROR(IF(B70&lt;&gt;"",XLOOKUP(B70,FUNC!E:E,#REF!,"NO VIGENTE"),""),"")</f>
        <v/>
      </c>
    </row>
    <row r="71" ht="23.25" customHeight="1">
      <c r="A71" s="212"/>
      <c r="B71" s="212"/>
      <c r="C71" s="212"/>
      <c r="D71" s="212"/>
      <c r="E71" s="212"/>
      <c r="F71" s="212"/>
      <c r="G71" s="248"/>
      <c r="H71" s="240">
        <f t="shared" si="7"/>
        <v>0</v>
      </c>
      <c r="I71" s="216" t="str">
        <f t="shared" si="8"/>
        <v/>
      </c>
      <c r="J71" s="216" t="str">
        <f t="array" ref="J71">IFERROR(IF(B71&lt;&gt;"",XLOOKUP(B71,FUNC!E:E,#REF!,"NO VIGENTE"),""),"")</f>
        <v/>
      </c>
    </row>
    <row r="72" ht="23.25" customHeight="1">
      <c r="A72" s="212"/>
      <c r="B72" s="212"/>
      <c r="C72" s="212"/>
      <c r="D72" s="212"/>
      <c r="E72" s="212"/>
      <c r="F72" s="212"/>
      <c r="G72" s="248"/>
      <c r="H72" s="240">
        <f t="shared" si="7"/>
        <v>0</v>
      </c>
      <c r="I72" s="216" t="str">
        <f t="shared" si="8"/>
        <v/>
      </c>
      <c r="J72" s="216" t="str">
        <f t="array" ref="J72">IFERROR(IF(B72&lt;&gt;"",XLOOKUP(B72,FUNC!E:E,#REF!,"NO VIGENTE"),""),"")</f>
        <v/>
      </c>
    </row>
    <row r="73" ht="23.25" customHeight="1">
      <c r="A73" s="212"/>
      <c r="B73" s="212"/>
      <c r="C73" s="212"/>
      <c r="D73" s="212"/>
      <c r="E73" s="212"/>
      <c r="F73" s="212"/>
      <c r="G73" s="248"/>
      <c r="H73" s="240">
        <f t="shared" si="7"/>
        <v>0</v>
      </c>
      <c r="I73" s="216" t="str">
        <f t="shared" si="8"/>
        <v/>
      </c>
      <c r="J73" s="216" t="str">
        <f t="array" ref="J73">IFERROR(IF(B73&lt;&gt;"",XLOOKUP(B73,FUNC!E:E,#REF!,"NO VIGENTE"),""),"")</f>
        <v/>
      </c>
    </row>
    <row r="74" ht="23.25" customHeight="1">
      <c r="A74" s="212"/>
      <c r="B74" s="269"/>
      <c r="C74" s="212"/>
      <c r="D74" s="212"/>
      <c r="E74" s="212"/>
      <c r="F74" s="212"/>
      <c r="G74" s="248"/>
      <c r="H74" s="240">
        <f t="shared" si="7"/>
        <v>0</v>
      </c>
      <c r="I74" s="216" t="str">
        <f t="shared" si="8"/>
        <v/>
      </c>
      <c r="J74" s="216" t="str">
        <f t="array" ref="J74">IFERROR(IF(B74&lt;&gt;"",XLOOKUP(B74,FUNC!E:E,#REF!,"NO VIGENTE"),""),"")</f>
        <v/>
      </c>
    </row>
    <row r="75" ht="23.25" customHeight="1">
      <c r="A75" s="212"/>
      <c r="B75" s="212"/>
      <c r="C75" s="212"/>
      <c r="D75" s="212"/>
      <c r="E75" s="212"/>
      <c r="F75" s="212"/>
      <c r="G75" s="248"/>
      <c r="H75" s="240">
        <f t="shared" si="7"/>
        <v>0</v>
      </c>
      <c r="I75" s="216" t="str">
        <f t="shared" si="8"/>
        <v/>
      </c>
      <c r="J75" s="216" t="str">
        <f t="array" ref="J75">IFERROR(IF(B75&lt;&gt;"",XLOOKUP(B75,FUNC!E:E,#REF!,"NO VIGENTE"),""),"")</f>
        <v/>
      </c>
    </row>
    <row r="76" ht="23.25" customHeight="1">
      <c r="A76" s="212"/>
      <c r="B76" s="212"/>
      <c r="C76" s="212"/>
      <c r="D76" s="212"/>
      <c r="E76" s="212"/>
      <c r="F76" s="212"/>
      <c r="G76" s="248"/>
      <c r="H76" s="240">
        <f t="shared" si="7"/>
        <v>0</v>
      </c>
      <c r="I76" s="216" t="str">
        <f t="shared" si="8"/>
        <v/>
      </c>
      <c r="J76" s="216" t="str">
        <f t="array" ref="J76">IFERROR(IF(B76&lt;&gt;"",XLOOKUP(B76,FUNC!E:E,#REF!,"NO VIGENTE"),""),"")</f>
        <v/>
      </c>
    </row>
    <row r="77" ht="23.25" customHeight="1">
      <c r="A77" s="212"/>
      <c r="B77" s="212"/>
      <c r="C77" s="212"/>
      <c r="D77" s="212"/>
      <c r="E77" s="212"/>
      <c r="F77" s="212"/>
      <c r="G77" s="248"/>
      <c r="H77" s="240">
        <f t="shared" si="7"/>
        <v>0</v>
      </c>
      <c r="I77" s="216" t="str">
        <f t="shared" si="8"/>
        <v/>
      </c>
      <c r="J77" s="216" t="str">
        <f t="array" ref="J77">IFERROR(IF(B77&lt;&gt;"",XLOOKUP(B77,FUNC!E:E,#REF!,"NO VIGENTE"),""),"")</f>
        <v/>
      </c>
    </row>
    <row r="78" ht="23.25" customHeight="1">
      <c r="A78" s="212"/>
      <c r="B78" s="53"/>
      <c r="C78" s="212"/>
      <c r="D78" s="212"/>
      <c r="E78" s="212"/>
      <c r="F78" s="212"/>
      <c r="G78" s="248"/>
      <c r="H78" s="240">
        <f t="shared" si="7"/>
        <v>0</v>
      </c>
      <c r="I78" s="216" t="str">
        <f t="shared" si="8"/>
        <v/>
      </c>
      <c r="J78" s="216" t="str">
        <f t="array" ref="J78">IFERROR(IF(B78&lt;&gt;"",XLOOKUP(B78,FUNC!E:E,#REF!,"NO VIGENTE"),""),"")</f>
        <v/>
      </c>
    </row>
    <row r="79" ht="23.25" customHeight="1">
      <c r="A79" s="212"/>
      <c r="B79" s="212"/>
      <c r="C79" s="212"/>
      <c r="D79" s="212"/>
      <c r="E79" s="212"/>
      <c r="F79" s="212"/>
      <c r="G79" s="248"/>
      <c r="H79" s="240">
        <f t="shared" si="7"/>
        <v>0</v>
      </c>
      <c r="I79" s="216" t="str">
        <f t="shared" si="8"/>
        <v/>
      </c>
      <c r="J79" s="216" t="str">
        <f t="array" ref="J79">IFERROR(IF(B79&lt;&gt;"",XLOOKUP(B79,FUNC!E:E,#REF!,"NO VIGENTE"),""),"")</f>
        <v/>
      </c>
    </row>
    <row r="80" ht="23.25" customHeight="1">
      <c r="A80" s="212"/>
      <c r="B80" s="212"/>
      <c r="C80" s="212"/>
      <c r="D80" s="212"/>
      <c r="E80" s="212"/>
      <c r="F80" s="226"/>
      <c r="G80" s="248"/>
      <c r="H80" s="240">
        <f t="shared" si="7"/>
        <v>0</v>
      </c>
      <c r="I80" s="216" t="str">
        <f t="shared" si="8"/>
        <v/>
      </c>
      <c r="J80" s="216" t="str">
        <f t="array" ref="J80">IFERROR(IF(B80&lt;&gt;"",XLOOKUP(B80,FUNC!E:E,#REF!,"NO VIGENTE"),""),"")</f>
        <v/>
      </c>
    </row>
    <row r="81" ht="23.25" customHeight="1">
      <c r="A81" s="212"/>
      <c r="B81" s="212"/>
      <c r="C81" s="212"/>
      <c r="D81" s="212"/>
      <c r="E81" s="212"/>
      <c r="F81" s="212"/>
      <c r="G81" s="248"/>
      <c r="H81" s="240">
        <f t="shared" si="7"/>
        <v>0</v>
      </c>
      <c r="I81" s="216" t="str">
        <f t="shared" si="8"/>
        <v/>
      </c>
      <c r="J81" s="216" t="str">
        <f t="array" ref="J81">IFERROR(IF(B81&lt;&gt;"",XLOOKUP(B81,FUNC!E:E,#REF!,"NO VIGENTE"),""),"")</f>
        <v/>
      </c>
    </row>
    <row r="82" ht="23.25" customHeight="1">
      <c r="A82" s="212"/>
      <c r="B82" s="212"/>
      <c r="C82" s="212"/>
      <c r="D82" s="212"/>
      <c r="E82" s="212"/>
      <c r="F82" s="212"/>
      <c r="G82" s="248"/>
      <c r="H82" s="240">
        <f t="shared" si="7"/>
        <v>0</v>
      </c>
      <c r="I82" s="216" t="str">
        <f t="shared" si="8"/>
        <v/>
      </c>
      <c r="J82" s="216" t="str">
        <f t="array" ref="J82">IFERROR(IF(B82&lt;&gt;"",XLOOKUP(B82,FUNC!E:E,#REF!,"NO VIGENTE"),""),"")</f>
        <v/>
      </c>
    </row>
    <row r="83" ht="23.25" customHeight="1">
      <c r="A83" s="212"/>
      <c r="B83" s="212"/>
      <c r="C83" s="212"/>
      <c r="D83" s="212"/>
      <c r="E83" s="212"/>
      <c r="F83" s="212"/>
      <c r="G83" s="248"/>
      <c r="H83" s="240">
        <f t="shared" si="7"/>
        <v>0</v>
      </c>
      <c r="I83" s="216" t="str">
        <f t="shared" si="8"/>
        <v/>
      </c>
      <c r="J83" s="216" t="str">
        <f t="array" ref="J83">IFERROR(IF(B83&lt;&gt;"",XLOOKUP(B83,FUNC!E:E,#REF!,"NO VIGENTE"),""),"")</f>
        <v/>
      </c>
    </row>
    <row r="84" ht="23.25" customHeight="1">
      <c r="A84" s="212"/>
      <c r="B84" s="212"/>
      <c r="C84" s="212"/>
      <c r="D84" s="212"/>
      <c r="E84" s="212"/>
      <c r="F84" s="212"/>
      <c r="G84" s="248"/>
      <c r="H84" s="240">
        <f t="shared" si="7"/>
        <v>0</v>
      </c>
      <c r="I84" s="216" t="str">
        <f t="shared" si="8"/>
        <v/>
      </c>
      <c r="J84" s="216" t="str">
        <f t="array" ref="J84">IFERROR(IF(B84&lt;&gt;"",XLOOKUP(B84,FUNC!E:E,#REF!,"NO VIGENTE"),""),"")</f>
        <v/>
      </c>
    </row>
    <row r="85" ht="23.25" customHeight="1">
      <c r="A85" s="212"/>
      <c r="B85" s="53"/>
      <c r="C85" s="212"/>
      <c r="D85" s="212"/>
      <c r="E85" s="212"/>
      <c r="F85" s="212"/>
      <c r="G85" s="248"/>
      <c r="H85" s="240">
        <f t="shared" si="7"/>
        <v>0</v>
      </c>
      <c r="I85" s="216" t="str">
        <f t="shared" si="8"/>
        <v/>
      </c>
      <c r="J85" s="216" t="str">
        <f t="array" ref="J85">IFERROR(IF(B85&lt;&gt;"",XLOOKUP(B85,FUNC!E:E,#REF!,"NO VIGENTE"),""),"")</f>
        <v/>
      </c>
    </row>
    <row r="86" ht="23.25" customHeight="1">
      <c r="A86" s="212"/>
      <c r="B86" s="212"/>
      <c r="C86" s="212"/>
      <c r="D86" s="212"/>
      <c r="E86" s="212"/>
      <c r="F86" s="212"/>
      <c r="G86" s="248"/>
      <c r="H86" s="240">
        <f t="shared" si="7"/>
        <v>0</v>
      </c>
      <c r="I86" s="216" t="str">
        <f t="shared" si="8"/>
        <v/>
      </c>
      <c r="J86" s="216" t="str">
        <f t="array" ref="J86">IFERROR(IF(B86&lt;&gt;"",XLOOKUP(B86,FUNC!E:E,#REF!,"NO VIGENTE"),""),"")</f>
        <v/>
      </c>
    </row>
    <row r="87" ht="23.25" customHeight="1">
      <c r="A87" s="212"/>
      <c r="B87" s="212"/>
      <c r="C87" s="212"/>
      <c r="D87" s="212"/>
      <c r="E87" s="212"/>
      <c r="F87" s="212"/>
      <c r="G87" s="248"/>
      <c r="H87" s="240">
        <f t="shared" si="7"/>
        <v>0</v>
      </c>
      <c r="I87" s="216" t="str">
        <f t="shared" si="8"/>
        <v/>
      </c>
      <c r="J87" s="216" t="str">
        <f t="array" ref="J87">IFERROR(IF(B87&lt;&gt;"",XLOOKUP(B87,FUNC!E:E,#REF!,"NO VIGENTE"),""),"")</f>
        <v/>
      </c>
    </row>
    <row r="88" ht="23.25" customHeight="1">
      <c r="A88" s="212"/>
      <c r="B88" s="212"/>
      <c r="C88" s="212"/>
      <c r="D88" s="212"/>
      <c r="E88" s="212"/>
      <c r="F88" s="212"/>
      <c r="G88" s="248"/>
      <c r="H88" s="240">
        <f t="shared" si="7"/>
        <v>0</v>
      </c>
      <c r="I88" s="216" t="str">
        <f t="shared" si="8"/>
        <v/>
      </c>
      <c r="J88" s="216" t="str">
        <f t="array" ref="J88">IFERROR(IF(B88&lt;&gt;"",XLOOKUP(B88,FUNC!E:E,#REF!,"NO VIGENTE"),""),"")</f>
        <v/>
      </c>
    </row>
    <row r="89" ht="23.25" customHeight="1">
      <c r="A89" s="212"/>
      <c r="B89" s="249"/>
      <c r="C89" s="212"/>
      <c r="D89" s="212"/>
      <c r="E89" s="212"/>
      <c r="F89" s="212"/>
      <c r="G89" s="248"/>
      <c r="H89" s="240">
        <f t="shared" si="7"/>
        <v>0</v>
      </c>
      <c r="I89" s="216" t="str">
        <f t="shared" si="8"/>
        <v/>
      </c>
      <c r="J89" s="216" t="str">
        <f t="array" ref="J89">IFERROR(IF(B89&lt;&gt;"",XLOOKUP(B89,FUNC!E:E,#REF!,"NO VIGENTE"),""),"")</f>
        <v/>
      </c>
    </row>
    <row r="90" ht="23.25" customHeight="1">
      <c r="A90" s="212"/>
      <c r="B90" s="212"/>
      <c r="C90" s="212"/>
      <c r="D90" s="212"/>
      <c r="E90" s="212"/>
      <c r="F90" s="212"/>
      <c r="G90" s="248"/>
      <c r="H90" s="240">
        <f t="shared" si="7"/>
        <v>0</v>
      </c>
      <c r="I90" s="216" t="str">
        <f t="shared" si="8"/>
        <v/>
      </c>
      <c r="J90" s="216" t="str">
        <f t="array" ref="J90">IFERROR(IF(B90&lt;&gt;"",XLOOKUP(B90,FUNC!E:E,#REF!,"NO VIGENTE"),""),"")</f>
        <v/>
      </c>
    </row>
    <row r="91" ht="23.25" customHeight="1">
      <c r="A91" s="212"/>
      <c r="B91" s="212"/>
      <c r="C91" s="212"/>
      <c r="D91" s="212"/>
      <c r="E91" s="212"/>
      <c r="F91" s="212"/>
      <c r="G91" s="248"/>
      <c r="H91" s="240">
        <f t="shared" si="7"/>
        <v>0</v>
      </c>
      <c r="I91" s="216" t="str">
        <f t="shared" si="8"/>
        <v/>
      </c>
      <c r="J91" s="216" t="str">
        <f t="array" ref="J91">IFERROR(IF(B91&lt;&gt;"",XLOOKUP(B91,FUNC!E:E,#REF!,"NO VIGENTE"),""),"")</f>
        <v/>
      </c>
    </row>
    <row r="92" ht="23.25" customHeight="1">
      <c r="A92" s="212"/>
      <c r="B92" s="212"/>
      <c r="C92" s="212"/>
      <c r="D92" s="212"/>
      <c r="E92" s="212"/>
      <c r="F92" s="212"/>
      <c r="G92" s="248"/>
      <c r="H92" s="240">
        <f t="shared" si="7"/>
        <v>0</v>
      </c>
      <c r="I92" s="216" t="str">
        <f t="shared" si="8"/>
        <v/>
      </c>
      <c r="J92" s="216" t="str">
        <f t="array" ref="J92">IFERROR(IF(B92&lt;&gt;"",XLOOKUP(B92,FUNC!E:E,#REF!,"NO VIGENTE"),""),"")</f>
        <v/>
      </c>
    </row>
    <row r="93" ht="23.25" customHeight="1">
      <c r="A93" s="212"/>
      <c r="B93" s="212"/>
      <c r="C93" s="212"/>
      <c r="D93" s="212"/>
      <c r="E93" s="212"/>
      <c r="F93" s="212"/>
      <c r="G93" s="248"/>
      <c r="H93" s="240">
        <f t="shared" si="7"/>
        <v>0</v>
      </c>
      <c r="I93" s="216" t="str">
        <f t="shared" si="8"/>
        <v/>
      </c>
      <c r="J93" s="216" t="str">
        <f t="array" ref="J93">IFERROR(IF(B93&lt;&gt;"",XLOOKUP(B93,FUNC!E:E,#REF!,"NO VIGENTE"),""),"")</f>
        <v/>
      </c>
    </row>
    <row r="94" ht="23.25" customHeight="1">
      <c r="A94" s="212"/>
      <c r="B94" s="212"/>
      <c r="C94" s="212"/>
      <c r="D94" s="212"/>
      <c r="E94" s="212"/>
      <c r="F94" s="212"/>
      <c r="G94" s="248"/>
      <c r="H94" s="240">
        <f t="shared" si="7"/>
        <v>0</v>
      </c>
      <c r="I94" s="216" t="str">
        <f t="shared" si="8"/>
        <v/>
      </c>
      <c r="J94" s="216" t="str">
        <f t="array" ref="J94">IFERROR(IF(B94&lt;&gt;"",XLOOKUP(B94,FUNC!E:E,#REF!,"NO VIGENTE"),""),"")</f>
        <v/>
      </c>
    </row>
    <row r="95" ht="23.25" customHeight="1">
      <c r="A95" s="212"/>
      <c r="B95" s="212"/>
      <c r="C95" s="212"/>
      <c r="D95" s="212"/>
      <c r="E95" s="212"/>
      <c r="F95" s="212"/>
      <c r="G95" s="248"/>
      <c r="H95" s="240">
        <f t="shared" si="7"/>
        <v>0</v>
      </c>
      <c r="I95" s="216" t="str">
        <f t="shared" si="8"/>
        <v/>
      </c>
      <c r="J95" s="216" t="str">
        <f t="array" ref="J95">IFERROR(IF(B95&lt;&gt;"",XLOOKUP(B95,FUNC!E:E,#REF!,"NO VIGENTE"),""),"")</f>
        <v/>
      </c>
    </row>
    <row r="96" ht="23.25" customHeight="1">
      <c r="A96" s="212"/>
      <c r="B96" s="212"/>
      <c r="C96" s="212"/>
      <c r="D96" s="212"/>
      <c r="E96" s="212"/>
      <c r="F96" s="212"/>
      <c r="G96" s="248"/>
      <c r="H96" s="240">
        <f t="shared" si="7"/>
        <v>0</v>
      </c>
      <c r="I96" s="216" t="str">
        <f t="shared" si="8"/>
        <v/>
      </c>
      <c r="J96" s="216" t="str">
        <f t="array" ref="J96">IFERROR(IF(B96&lt;&gt;"",XLOOKUP(B96,FUNC!E:E,#REF!,"NO VIGENTE"),""),"")</f>
        <v/>
      </c>
    </row>
    <row r="97" ht="23.25" customHeight="1">
      <c r="A97" s="212"/>
      <c r="B97" s="212"/>
      <c r="C97" s="212"/>
      <c r="D97" s="212"/>
      <c r="E97" s="212"/>
      <c r="F97" s="212"/>
      <c r="G97" s="248"/>
      <c r="H97" s="240">
        <f t="shared" si="7"/>
        <v>0</v>
      </c>
      <c r="I97" s="216" t="str">
        <f t="shared" si="8"/>
        <v/>
      </c>
      <c r="J97" s="216" t="str">
        <f t="array" ref="J97">IFERROR(IF(B97&lt;&gt;"",XLOOKUP(B97,FUNC!E:E,#REF!,"NO VIGENTE"),""),"")</f>
        <v/>
      </c>
    </row>
    <row r="98" ht="23.25" customHeight="1">
      <c r="A98" s="212"/>
      <c r="B98" s="212"/>
      <c r="C98" s="212"/>
      <c r="D98" s="212"/>
      <c r="E98" s="212"/>
      <c r="F98" s="212"/>
      <c r="G98" s="248"/>
      <c r="H98" s="240">
        <f t="shared" si="7"/>
        <v>0</v>
      </c>
      <c r="I98" s="216" t="str">
        <f t="shared" si="8"/>
        <v/>
      </c>
      <c r="J98" s="216"/>
    </row>
    <row r="99" ht="23.25" customHeight="1">
      <c r="A99" s="212"/>
      <c r="B99" s="212"/>
      <c r="C99" s="212"/>
      <c r="D99" s="212"/>
      <c r="E99" s="212"/>
      <c r="F99" s="212"/>
      <c r="G99" s="248"/>
      <c r="H99" s="240">
        <f t="shared" si="7"/>
        <v>0</v>
      </c>
      <c r="I99" s="216" t="str">
        <f t="shared" si="8"/>
        <v/>
      </c>
      <c r="J99" s="216" t="str">
        <f t="array" ref="J99">IFERROR(IF(B99&lt;&gt;"",XLOOKUP(B99,FUNC!E:E,#REF!,"NO VIGENTE"),""),"")</f>
        <v/>
      </c>
    </row>
    <row r="100" ht="23.25" customHeight="1">
      <c r="A100" s="212"/>
      <c r="B100" s="212"/>
      <c r="C100" s="212"/>
      <c r="D100" s="212"/>
      <c r="E100" s="212"/>
      <c r="F100" s="212"/>
      <c r="G100" s="248"/>
      <c r="H100" s="240">
        <f t="shared" si="7"/>
        <v>0</v>
      </c>
      <c r="I100" s="216" t="str">
        <f t="shared" si="8"/>
        <v/>
      </c>
      <c r="J100" s="216" t="str">
        <f t="array" ref="J100">IFERROR(IF(B100&lt;&gt;"",XLOOKUP(B100,FUNC!E:E,#REF!,"NO VIGENTE"),""),"")</f>
        <v/>
      </c>
    </row>
    <row r="101" ht="23.25" customHeight="1">
      <c r="A101" s="212"/>
      <c r="B101" s="212"/>
      <c r="C101" s="212"/>
      <c r="D101" s="212"/>
      <c r="E101" s="212"/>
      <c r="F101" s="212"/>
      <c r="G101" s="248"/>
      <c r="H101" s="240">
        <f t="shared" si="7"/>
        <v>0</v>
      </c>
      <c r="I101" s="216" t="str">
        <f t="shared" si="8"/>
        <v/>
      </c>
      <c r="J101" s="216" t="str">
        <f t="array" ref="J101">IFERROR(IF(B101&lt;&gt;"",XLOOKUP(B101,FUNC!E:E,#REF!,"NO VIGENTE"),""),"")</f>
        <v/>
      </c>
    </row>
    <row r="102" ht="23.25" customHeight="1">
      <c r="A102" s="212"/>
      <c r="B102" s="212"/>
      <c r="C102" s="212"/>
      <c r="D102" s="212"/>
      <c r="E102" s="212"/>
      <c r="F102" s="212"/>
      <c r="G102" s="248"/>
      <c r="H102" s="240">
        <f t="shared" si="7"/>
        <v>0</v>
      </c>
      <c r="I102" s="216" t="str">
        <f t="shared" si="8"/>
        <v/>
      </c>
      <c r="J102" s="216" t="str">
        <f t="array" ref="J102">IFERROR(IF(B102&lt;&gt;"",XLOOKUP(B102,FUNC!E:E,#REF!,"NO VIGENTE"),""),"")</f>
        <v/>
      </c>
    </row>
    <row r="103" ht="23.25" customHeight="1">
      <c r="A103" s="212"/>
      <c r="B103" s="212"/>
      <c r="C103" s="212"/>
      <c r="D103" s="212"/>
      <c r="E103" s="212"/>
      <c r="F103" s="212"/>
      <c r="G103" s="248"/>
      <c r="H103" s="240">
        <f t="shared" si="7"/>
        <v>0</v>
      </c>
      <c r="I103" s="216" t="str">
        <f t="shared" si="8"/>
        <v/>
      </c>
      <c r="J103" s="216" t="str">
        <f t="array" ref="J103">IFERROR(IF(B103&lt;&gt;"",XLOOKUP(B103,FUNC!E:E,#REF!,"NO VIGENTE"),""),"")</f>
        <v/>
      </c>
    </row>
    <row r="104" ht="23.25" customHeight="1">
      <c r="A104" s="212"/>
      <c r="B104" s="212"/>
      <c r="C104" s="212"/>
      <c r="D104" s="212"/>
      <c r="E104" s="212"/>
      <c r="F104" s="212"/>
      <c r="G104" s="248"/>
      <c r="H104" s="240">
        <f t="shared" si="7"/>
        <v>0</v>
      </c>
      <c r="I104" s="216" t="str">
        <f t="shared" si="8"/>
        <v/>
      </c>
      <c r="J104" s="216" t="str">
        <f t="array" ref="J104">IFERROR(IF(B104&lt;&gt;"",XLOOKUP(B104,FUNC!E:E,#REF!,"NO VIGENTE"),""),"")</f>
        <v/>
      </c>
    </row>
    <row r="105" ht="23.25" customHeight="1">
      <c r="A105" s="212"/>
      <c r="B105" s="212"/>
      <c r="C105" s="212"/>
      <c r="D105" s="212"/>
      <c r="E105" s="212"/>
      <c r="F105" s="212"/>
      <c r="G105" s="248"/>
      <c r="H105" s="240">
        <f t="shared" si="7"/>
        <v>0</v>
      </c>
      <c r="I105" s="216" t="str">
        <f t="shared" si="8"/>
        <v/>
      </c>
      <c r="J105" s="216" t="str">
        <f t="array" ref="J105">IFERROR(IF(B105&lt;&gt;"",XLOOKUP(B105,FUNC!E:E,#REF!,"NO VIGENTE"),""),"")</f>
        <v/>
      </c>
    </row>
    <row r="106" ht="23.25" customHeight="1">
      <c r="A106" s="212"/>
      <c r="B106" s="212"/>
      <c r="C106" s="212"/>
      <c r="D106" s="212"/>
      <c r="E106" s="212"/>
      <c r="F106" s="212"/>
      <c r="G106" s="248"/>
      <c r="H106" s="240">
        <f t="shared" si="7"/>
        <v>0</v>
      </c>
      <c r="I106" s="216" t="str">
        <f t="shared" si="8"/>
        <v/>
      </c>
      <c r="J106" s="216" t="str">
        <f t="array" ref="J106">IFERROR(IF(B106&lt;&gt;"",XLOOKUP(B106,FUNC!E:E,#REF!,"NO VIGENTE"),""),"")</f>
        <v/>
      </c>
    </row>
    <row r="107" ht="23.25" customHeight="1">
      <c r="A107" s="212"/>
      <c r="B107" s="212"/>
      <c r="C107" s="212"/>
      <c r="D107" s="212"/>
      <c r="E107" s="212"/>
      <c r="F107" s="212"/>
      <c r="G107" s="248"/>
      <c r="H107" s="240">
        <f t="shared" si="7"/>
        <v>0</v>
      </c>
      <c r="I107" s="216" t="str">
        <f t="shared" si="8"/>
        <v/>
      </c>
      <c r="J107" s="216" t="str">
        <f t="array" ref="J107">IFERROR(IF(B107&lt;&gt;"",XLOOKUP(B107,FUNC!E:E,#REF!,"NO VIGENTE"),""),"")</f>
        <v/>
      </c>
    </row>
    <row r="108" ht="23.25" customHeight="1">
      <c r="A108" s="212"/>
      <c r="B108" s="212"/>
      <c r="C108" s="212"/>
      <c r="D108" s="212"/>
      <c r="E108" s="212"/>
      <c r="F108" s="212"/>
      <c r="G108" s="248"/>
      <c r="H108" s="240">
        <f t="shared" si="7"/>
        <v>0</v>
      </c>
      <c r="I108" s="216" t="str">
        <f t="shared" si="8"/>
        <v/>
      </c>
      <c r="J108" s="216" t="str">
        <f t="array" ref="J108">IFERROR(IF(B108&lt;&gt;"",XLOOKUP(B108,FUNC!E:E,#REF!,"NO VIGENTE"),""),"")</f>
        <v/>
      </c>
    </row>
    <row r="109" ht="23.25" customHeight="1">
      <c r="A109" s="212"/>
      <c r="B109" s="212"/>
      <c r="C109" s="212"/>
      <c r="D109" s="212"/>
      <c r="E109" s="212"/>
      <c r="F109" s="212"/>
      <c r="G109" s="248"/>
      <c r="H109" s="240">
        <f t="shared" si="7"/>
        <v>0</v>
      </c>
      <c r="I109" s="216" t="str">
        <f t="shared" si="8"/>
        <v/>
      </c>
      <c r="J109" s="216" t="str">
        <f t="array" ref="J109">IFERROR(IF(B109&lt;&gt;"",XLOOKUP(B109,FUNC!E:E,#REF!,"NO VIGENTE"),""),"")</f>
        <v/>
      </c>
    </row>
    <row r="110" ht="23.25" customHeight="1">
      <c r="A110" s="212"/>
      <c r="B110" s="212"/>
      <c r="C110" s="212"/>
      <c r="D110" s="212"/>
      <c r="E110" s="212"/>
      <c r="F110" s="212"/>
      <c r="G110" s="248"/>
      <c r="H110" s="240">
        <f t="shared" si="7"/>
        <v>0</v>
      </c>
      <c r="I110" s="216" t="str">
        <f t="shared" si="8"/>
        <v/>
      </c>
      <c r="J110" s="216" t="str">
        <f t="array" ref="J110">IFERROR(IF(B110&lt;&gt;"",XLOOKUP(B110,FUNC!E:E,#REF!,"NO VIGENTE"),""),"")</f>
        <v/>
      </c>
    </row>
    <row r="111" ht="23.25" customHeight="1">
      <c r="A111" s="212"/>
      <c r="B111" s="212"/>
      <c r="C111" s="212"/>
      <c r="D111" s="212"/>
      <c r="E111" s="212"/>
      <c r="F111" s="212"/>
      <c r="G111" s="248"/>
      <c r="H111" s="240">
        <f t="shared" si="7"/>
        <v>0</v>
      </c>
      <c r="I111" s="216" t="str">
        <f t="shared" si="8"/>
        <v/>
      </c>
      <c r="J111" s="216" t="str">
        <f t="array" ref="J111">IFERROR(IF(B111&lt;&gt;"",XLOOKUP(B111,FUNC!E:E,#REF!,"NO VIGENTE"),""),"")</f>
        <v/>
      </c>
    </row>
    <row r="112" ht="23.25" customHeight="1">
      <c r="A112" s="212"/>
      <c r="B112" s="212"/>
      <c r="C112" s="212"/>
      <c r="D112" s="212"/>
      <c r="E112" s="212"/>
      <c r="F112" s="212"/>
      <c r="G112" s="248"/>
      <c r="H112" s="240">
        <f t="shared" si="7"/>
        <v>0</v>
      </c>
      <c r="I112" s="216" t="str">
        <f t="shared" si="8"/>
        <v/>
      </c>
      <c r="J112" s="216" t="str">
        <f t="array" ref="J112">IFERROR(IF(B112&lt;&gt;"",XLOOKUP(B112,FUNC!E:E,#REF!,"NO VIGENTE"),""),"")</f>
        <v/>
      </c>
    </row>
    <row r="113" ht="23.25" customHeight="1">
      <c r="A113" s="212"/>
      <c r="B113" s="212"/>
      <c r="C113" s="212"/>
      <c r="D113" s="212"/>
      <c r="E113" s="212"/>
      <c r="F113" s="212"/>
      <c r="G113" s="248"/>
      <c r="H113" s="240">
        <f t="shared" si="7"/>
        <v>0</v>
      </c>
      <c r="I113" s="216" t="str">
        <f t="shared" si="8"/>
        <v/>
      </c>
      <c r="J113" s="216" t="str">
        <f t="array" ref="J113">IFERROR(IF(B113&lt;&gt;"",XLOOKUP(B113,FUNC!E:E,#REF!,"NO VIGENTE"),""),"")</f>
        <v/>
      </c>
    </row>
    <row r="114" ht="23.25" customHeight="1">
      <c r="A114" s="212"/>
      <c r="B114" s="212"/>
      <c r="C114" s="212"/>
      <c r="D114" s="212"/>
      <c r="E114" s="212"/>
      <c r="F114" s="212"/>
      <c r="G114" s="248"/>
      <c r="H114" s="240">
        <f t="shared" si="7"/>
        <v>0</v>
      </c>
      <c r="I114" s="216" t="str">
        <f t="shared" si="8"/>
        <v/>
      </c>
      <c r="J114" s="216" t="str">
        <f t="array" ref="J114">IFERROR(IF(B114&lt;&gt;"",XLOOKUP(B114,FUNC!E:E,#REF!,"NO VIGENTE"),""),"")</f>
        <v/>
      </c>
    </row>
    <row r="115" ht="23.25" customHeight="1">
      <c r="A115" s="212"/>
      <c r="B115" s="212"/>
      <c r="C115" s="212"/>
      <c r="D115" s="212"/>
      <c r="E115" s="212"/>
      <c r="F115" s="212"/>
      <c r="G115" s="248"/>
      <c r="H115" s="240">
        <f t="shared" si="7"/>
        <v>0</v>
      </c>
      <c r="I115" s="216" t="str">
        <f t="shared" si="8"/>
        <v/>
      </c>
      <c r="J115" s="216" t="str">
        <f t="array" ref="J115">IFERROR(IF(B115&lt;&gt;"",XLOOKUP(B115,FUNC!E:E,#REF!,"NO VIGENTE"),""),"")</f>
        <v/>
      </c>
    </row>
    <row r="116" ht="23.25" customHeight="1">
      <c r="A116" s="212"/>
      <c r="B116" s="212"/>
      <c r="C116" s="212"/>
      <c r="D116" s="212"/>
      <c r="E116" s="212"/>
      <c r="F116" s="212"/>
      <c r="G116" s="248"/>
      <c r="H116" s="240">
        <f t="shared" si="7"/>
        <v>0</v>
      </c>
      <c r="I116" s="216" t="str">
        <f t="shared" si="8"/>
        <v/>
      </c>
      <c r="J116" s="216" t="str">
        <f t="array" ref="J116">IFERROR(IF(B116&lt;&gt;"",XLOOKUP(B116,FUNC!E:E,#REF!,"NO VIGENTE"),""),"")</f>
        <v/>
      </c>
    </row>
    <row r="117" ht="23.25" customHeight="1">
      <c r="A117" s="212"/>
      <c r="B117" s="212"/>
      <c r="C117" s="212"/>
      <c r="D117" s="212"/>
      <c r="E117" s="212"/>
      <c r="F117" s="212"/>
      <c r="G117" s="248"/>
      <c r="H117" s="240">
        <f t="shared" si="7"/>
        <v>0</v>
      </c>
      <c r="I117" s="216" t="str">
        <f t="shared" si="8"/>
        <v/>
      </c>
      <c r="J117" s="216" t="str">
        <f t="array" ref="J117">IFERROR(IF(B117&lt;&gt;"",XLOOKUP(B117,FUNC!E:E,#REF!,"NO VIGENTE"),""),"")</f>
        <v/>
      </c>
    </row>
    <row r="118" ht="23.25" customHeight="1">
      <c r="A118" s="212"/>
      <c r="B118" s="212"/>
      <c r="C118" s="212"/>
      <c r="D118" s="212"/>
      <c r="E118" s="212"/>
      <c r="F118" s="212"/>
      <c r="G118" s="248"/>
      <c r="H118" s="240">
        <f t="shared" si="7"/>
        <v>0</v>
      </c>
      <c r="I118" s="216" t="str">
        <f t="shared" si="8"/>
        <v/>
      </c>
      <c r="J118" s="216" t="str">
        <f t="array" ref="J118">IFERROR(IF(B118&lt;&gt;"",XLOOKUP(B118,FUNC!E:E,#REF!,"NO VIGENTE"),""),"")</f>
        <v/>
      </c>
    </row>
    <row r="119" ht="23.25" customHeight="1">
      <c r="A119" s="212"/>
      <c r="B119" s="212"/>
      <c r="C119" s="212"/>
      <c r="D119" s="212"/>
      <c r="E119" s="212"/>
      <c r="F119" s="212"/>
      <c r="G119" s="248"/>
      <c r="H119" s="240">
        <f t="shared" si="7"/>
        <v>0</v>
      </c>
      <c r="I119" s="216" t="str">
        <f t="shared" si="8"/>
        <v/>
      </c>
      <c r="J119" s="216" t="str">
        <f t="array" ref="J119">IFERROR(IF(B119&lt;&gt;"",XLOOKUP(B119,FUNC!E:E,#REF!,"NO VIGENTE"),""),"")</f>
        <v/>
      </c>
    </row>
    <row r="120" ht="23.25" customHeight="1">
      <c r="A120" s="212"/>
      <c r="B120" s="212"/>
      <c r="C120" s="212"/>
      <c r="D120" s="212"/>
      <c r="E120" s="212"/>
      <c r="F120" s="212"/>
      <c r="G120" s="248"/>
      <c r="H120" s="240">
        <f t="shared" si="7"/>
        <v>0</v>
      </c>
      <c r="I120" s="216" t="str">
        <f t="shared" si="8"/>
        <v/>
      </c>
      <c r="J120" s="216" t="str">
        <f t="array" ref="J120">IFERROR(IF(B120&lt;&gt;"",XLOOKUP(B120,FUNC!E:E,#REF!,"NO VIGENTE"),""),"")</f>
        <v/>
      </c>
    </row>
    <row r="121" ht="23.25" customHeight="1">
      <c r="A121" s="212"/>
      <c r="B121" s="212"/>
      <c r="C121" s="212"/>
      <c r="D121" s="212"/>
      <c r="E121" s="212"/>
      <c r="F121" s="212"/>
      <c r="G121" s="248"/>
      <c r="H121" s="240">
        <f t="shared" si="7"/>
        <v>0</v>
      </c>
      <c r="I121" s="216" t="str">
        <f t="shared" si="8"/>
        <v/>
      </c>
      <c r="J121" s="216" t="str">
        <f t="array" ref="J121">IFERROR(IF(B121&lt;&gt;"",XLOOKUP(B121,FUNC!E:E,#REF!,"NO VIGENTE"),""),"")</f>
        <v/>
      </c>
    </row>
    <row r="122" ht="23.25" customHeight="1">
      <c r="A122" s="212"/>
      <c r="B122" s="212"/>
      <c r="C122" s="212"/>
      <c r="D122" s="212"/>
      <c r="E122" s="212"/>
      <c r="F122" s="212"/>
      <c r="G122" s="248"/>
      <c r="H122" s="240">
        <f t="shared" si="7"/>
        <v>0</v>
      </c>
      <c r="I122" s="216" t="str">
        <f t="shared" si="8"/>
        <v/>
      </c>
      <c r="J122" s="216" t="str">
        <f t="array" ref="J122">IFERROR(IF(B122&lt;&gt;"",XLOOKUP(B122,FUNC!E:E,#REF!,"NO VIGENTE"),""),"")</f>
        <v/>
      </c>
    </row>
    <row r="123" ht="23.25" customHeight="1">
      <c r="A123" s="212"/>
      <c r="B123" s="212"/>
      <c r="C123" s="212"/>
      <c r="D123" s="212"/>
      <c r="E123" s="212"/>
      <c r="F123" s="212"/>
      <c r="G123" s="248"/>
      <c r="H123" s="240">
        <f t="shared" si="7"/>
        <v>0</v>
      </c>
      <c r="I123" s="216" t="str">
        <f t="shared" si="8"/>
        <v/>
      </c>
      <c r="J123" s="216" t="str">
        <f t="array" ref="J123">IFERROR(IF(B123&lt;&gt;"",XLOOKUP(B123,FUNC!E:E,#REF!,"NO VIGENTE"),""),"")</f>
        <v/>
      </c>
    </row>
    <row r="124" ht="23.25" customHeight="1">
      <c r="A124" s="212"/>
      <c r="B124" s="212"/>
      <c r="C124" s="212"/>
      <c r="D124" s="212"/>
      <c r="E124" s="212"/>
      <c r="F124" s="212"/>
      <c r="G124" s="248"/>
      <c r="H124" s="240">
        <f t="shared" si="7"/>
        <v>0</v>
      </c>
      <c r="I124" s="216" t="str">
        <f t="shared" si="8"/>
        <v/>
      </c>
      <c r="J124" s="216" t="str">
        <f t="array" ref="J124">IFERROR(IF(B124&lt;&gt;"",XLOOKUP(B124,FUNC!E:E,#REF!,"NO VIGENTE"),""),"")</f>
        <v/>
      </c>
    </row>
    <row r="125" ht="23.25" customHeight="1">
      <c r="A125" s="212"/>
      <c r="B125" s="212"/>
      <c r="C125" s="212"/>
      <c r="D125" s="212"/>
      <c r="E125" s="212"/>
      <c r="F125" s="212"/>
      <c r="G125" s="248"/>
      <c r="H125" s="240">
        <f t="shared" si="7"/>
        <v>0</v>
      </c>
      <c r="I125" s="216" t="str">
        <f t="shared" si="8"/>
        <v/>
      </c>
      <c r="J125" s="216" t="str">
        <f t="array" ref="J125">IFERROR(IF(B125&lt;&gt;"",XLOOKUP(B125,FUNC!E:E,#REF!,"NO VIGENTE"),""),"")</f>
        <v/>
      </c>
    </row>
    <row r="126" ht="23.25" customHeight="1">
      <c r="A126" s="212"/>
      <c r="B126" s="212"/>
      <c r="C126" s="212"/>
      <c r="D126" s="212"/>
      <c r="E126" s="212"/>
      <c r="F126" s="212"/>
      <c r="G126" s="248"/>
      <c r="H126" s="240">
        <f t="shared" si="7"/>
        <v>0</v>
      </c>
      <c r="I126" s="216" t="str">
        <f t="shared" si="8"/>
        <v/>
      </c>
      <c r="J126" s="216" t="str">
        <f t="array" ref="J126">IFERROR(IF(B126&lt;&gt;"",XLOOKUP(B126,FUNC!E:E,#REF!,"NO VIGENTE"),""),"")</f>
        <v/>
      </c>
    </row>
    <row r="127" ht="23.25" customHeight="1">
      <c r="A127" s="212"/>
      <c r="B127" s="212"/>
      <c r="C127" s="212"/>
      <c r="D127" s="212"/>
      <c r="E127" s="212"/>
      <c r="F127" s="212"/>
      <c r="G127" s="248"/>
      <c r="H127" s="240">
        <f t="shared" si="7"/>
        <v>0</v>
      </c>
      <c r="I127" s="216" t="str">
        <f t="shared" si="8"/>
        <v/>
      </c>
      <c r="J127" s="216" t="str">
        <f t="array" ref="J127">IFERROR(IF(B127&lt;&gt;"",XLOOKUP(B127,FUNC!E:E,#REF!,"NO VIGENTE"),""),"")</f>
        <v/>
      </c>
    </row>
    <row r="128" ht="23.25" customHeight="1">
      <c r="A128" s="212"/>
      <c r="B128" s="212"/>
      <c r="C128" s="212"/>
      <c r="D128" s="212"/>
      <c r="E128" s="212"/>
      <c r="F128" s="212"/>
      <c r="G128" s="248"/>
      <c r="H128" s="240">
        <f t="shared" si="7"/>
        <v>0</v>
      </c>
      <c r="I128" s="216" t="str">
        <f t="shared" si="8"/>
        <v/>
      </c>
      <c r="J128" s="216" t="str">
        <f t="array" ref="J128">IFERROR(IF(B128&lt;&gt;"",XLOOKUP(B128,FUNC!E:E,#REF!,"NO VIGENTE"),""),"")</f>
        <v/>
      </c>
    </row>
    <row r="129" ht="23.25" customHeight="1">
      <c r="A129" s="212"/>
      <c r="B129" s="212"/>
      <c r="C129" s="212"/>
      <c r="D129" s="212"/>
      <c r="E129" s="212"/>
      <c r="F129" s="212"/>
      <c r="G129" s="248"/>
      <c r="H129" s="240">
        <f t="shared" si="7"/>
        <v>0</v>
      </c>
      <c r="I129" s="216" t="str">
        <f t="shared" si="8"/>
        <v/>
      </c>
      <c r="J129" s="216" t="str">
        <f t="array" ref="J129">IFERROR(IF(B129&lt;&gt;"",XLOOKUP(B129,FUNC!E:E,#REF!,"NO VIGENTE"),""),"")</f>
        <v/>
      </c>
    </row>
    <row r="130" ht="23.25" customHeight="1">
      <c r="A130" s="212"/>
      <c r="B130" s="212"/>
      <c r="C130" s="212"/>
      <c r="D130" s="212"/>
      <c r="E130" s="212"/>
      <c r="F130" s="212"/>
      <c r="G130" s="248"/>
      <c r="H130" s="240">
        <f t="shared" si="7"/>
        <v>0</v>
      </c>
      <c r="I130" s="216" t="str">
        <f t="shared" si="8"/>
        <v/>
      </c>
      <c r="J130" s="216" t="str">
        <f t="array" ref="J130">IFERROR(IF(B130&lt;&gt;"",XLOOKUP(B130,FUNC!E:E,#REF!,"NO VIGENTE"),""),"")</f>
        <v/>
      </c>
    </row>
    <row r="131" ht="23.25" customHeight="1">
      <c r="A131" s="212"/>
      <c r="B131" s="212"/>
      <c r="C131" s="212"/>
      <c r="D131" s="212"/>
      <c r="E131" s="212"/>
      <c r="F131" s="212"/>
      <c r="G131" s="248"/>
      <c r="H131" s="240">
        <f t="shared" si="7"/>
        <v>0</v>
      </c>
      <c r="I131" s="216" t="str">
        <f t="shared" si="8"/>
        <v/>
      </c>
      <c r="J131" s="216" t="str">
        <f t="array" ref="J131">IFERROR(IF(B131&lt;&gt;"",XLOOKUP(B131,FUNC!E:E,#REF!,"NO VIGENTE"),""),"")</f>
        <v/>
      </c>
    </row>
    <row r="132" ht="23.25" customHeight="1">
      <c r="A132" s="212"/>
      <c r="B132" s="212"/>
      <c r="C132" s="212"/>
      <c r="D132" s="212"/>
      <c r="E132" s="212"/>
      <c r="F132" s="212"/>
      <c r="G132" s="248"/>
      <c r="H132" s="240">
        <f t="shared" si="7"/>
        <v>0</v>
      </c>
      <c r="I132" s="216" t="str">
        <f t="shared" si="8"/>
        <v/>
      </c>
      <c r="J132" s="216" t="str">
        <f t="array" ref="J132">IFERROR(IF(B132&lt;&gt;"",XLOOKUP(B132,FUNC!E:E,#REF!,"NO VIGENTE"),""),"")</f>
        <v/>
      </c>
    </row>
    <row r="133" ht="23.25" customHeight="1">
      <c r="A133" s="212"/>
      <c r="B133" s="212"/>
      <c r="C133" s="212"/>
      <c r="D133" s="212"/>
      <c r="E133" s="212"/>
      <c r="F133" s="212"/>
      <c r="G133" s="248"/>
      <c r="H133" s="240">
        <f t="shared" si="7"/>
        <v>0</v>
      </c>
      <c r="I133" s="216" t="str">
        <f t="shared" si="8"/>
        <v/>
      </c>
      <c r="J133" s="216" t="str">
        <f t="array" ref="J133">IFERROR(IF(B133&lt;&gt;"",XLOOKUP(B133,FUNC!E:E,#REF!,"NO VIGENTE"),""),"")</f>
        <v/>
      </c>
    </row>
    <row r="134" ht="23.25" customHeight="1">
      <c r="A134" s="212"/>
      <c r="B134" s="212"/>
      <c r="C134" s="212"/>
      <c r="D134" s="212"/>
      <c r="E134" s="212"/>
      <c r="F134" s="212"/>
      <c r="G134" s="248"/>
      <c r="H134" s="240">
        <f t="shared" si="7"/>
        <v>0</v>
      </c>
      <c r="I134" s="216" t="str">
        <f t="shared" si="8"/>
        <v/>
      </c>
      <c r="J134" s="216" t="str">
        <f t="array" ref="J134">IFERROR(IF(B134&lt;&gt;"",XLOOKUP(B134,FUNC!E:E,#REF!,"NO VIGENTE"),""),"")</f>
        <v/>
      </c>
    </row>
    <row r="135" ht="23.25" customHeight="1">
      <c r="A135" s="212"/>
      <c r="B135" s="212"/>
      <c r="C135" s="212"/>
      <c r="D135" s="212"/>
      <c r="E135" s="212"/>
      <c r="F135" s="212"/>
      <c r="G135" s="248"/>
      <c r="H135" s="240">
        <f t="shared" si="7"/>
        <v>0</v>
      </c>
      <c r="I135" s="216" t="str">
        <f t="shared" si="8"/>
        <v/>
      </c>
      <c r="J135" s="216" t="str">
        <f t="array" ref="J135">IFERROR(IF(B135&lt;&gt;"",XLOOKUP(B135,FUNC!E:E,#REF!,"NO VIGENTE"),""),"")</f>
        <v/>
      </c>
    </row>
    <row r="136" ht="23.25" customHeight="1">
      <c r="A136" s="212"/>
      <c r="B136" s="212"/>
      <c r="C136" s="212"/>
      <c r="D136" s="212"/>
      <c r="E136" s="212"/>
      <c r="F136" s="212"/>
      <c r="G136" s="248"/>
      <c r="H136" s="240">
        <f t="shared" si="7"/>
        <v>0</v>
      </c>
      <c r="I136" s="216" t="str">
        <f t="shared" si="8"/>
        <v/>
      </c>
      <c r="J136" s="216" t="str">
        <f t="array" ref="J136">IFERROR(IF(B136&lt;&gt;"",XLOOKUP(B136,FUNC!E:E,#REF!,"NO VIGENTE"),""),"")</f>
        <v/>
      </c>
    </row>
    <row r="137" ht="23.25" customHeight="1">
      <c r="A137" s="212"/>
      <c r="B137" s="212"/>
      <c r="C137" s="212"/>
      <c r="D137" s="212"/>
      <c r="E137" s="212"/>
      <c r="F137" s="212"/>
      <c r="G137" s="248"/>
      <c r="H137" s="240">
        <f t="shared" si="7"/>
        <v>0</v>
      </c>
      <c r="I137" s="216" t="str">
        <f t="shared" si="8"/>
        <v/>
      </c>
      <c r="J137" s="216" t="str">
        <f t="array" ref="J137">IFERROR(IF(B137&lt;&gt;"",XLOOKUP(B137,FUNC!E:E,#REF!,"NO VIGENTE"),""),"")</f>
        <v/>
      </c>
    </row>
    <row r="138" ht="23.25" customHeight="1">
      <c r="A138" s="212"/>
      <c r="B138" s="212"/>
      <c r="C138" s="212"/>
      <c r="D138" s="212"/>
      <c r="E138" s="212"/>
      <c r="F138" s="212"/>
      <c r="G138" s="248"/>
      <c r="H138" s="240">
        <f t="shared" si="7"/>
        <v>0</v>
      </c>
      <c r="I138" s="216" t="str">
        <f t="shared" si="8"/>
        <v/>
      </c>
      <c r="J138" s="216" t="str">
        <f t="array" ref="J138">IFERROR(IF(B138&lt;&gt;"",XLOOKUP(B138,FUNC!E:E,#REF!,"NO VIGENTE"),""),"")</f>
        <v/>
      </c>
    </row>
    <row r="139" ht="23.25" customHeight="1">
      <c r="A139" s="212"/>
      <c r="B139" s="212"/>
      <c r="C139" s="212"/>
      <c r="D139" s="212"/>
      <c r="E139" s="212"/>
      <c r="F139" s="212"/>
      <c r="G139" s="248"/>
      <c r="H139" s="240">
        <f t="shared" si="7"/>
        <v>0</v>
      </c>
      <c r="I139" s="216" t="str">
        <f t="shared" si="8"/>
        <v/>
      </c>
      <c r="J139" s="216" t="str">
        <f t="array" ref="J139">IFERROR(IF(B139&lt;&gt;"",XLOOKUP(B139,FUNC!E:E,#REF!,"NO VIGENTE"),""),"")</f>
        <v/>
      </c>
    </row>
    <row r="140" ht="23.25" customHeight="1">
      <c r="A140" s="212"/>
      <c r="B140" s="212"/>
      <c r="C140" s="212"/>
      <c r="D140" s="212"/>
      <c r="E140" s="212"/>
      <c r="F140" s="212"/>
      <c r="G140" s="248"/>
      <c r="H140" s="240">
        <f t="shared" si="7"/>
        <v>0</v>
      </c>
      <c r="I140" s="216" t="str">
        <f t="shared" si="8"/>
        <v/>
      </c>
      <c r="J140" s="216" t="str">
        <f t="array" ref="J140">IFERROR(IF(B140&lt;&gt;"",XLOOKUP(B140,FUNC!E:E,#REF!,"NO VIGENTE"),""),"")</f>
        <v/>
      </c>
    </row>
    <row r="141" ht="23.25" customHeight="1">
      <c r="A141" s="212"/>
      <c r="B141" s="212"/>
      <c r="C141" s="212"/>
      <c r="D141" s="212"/>
      <c r="E141" s="212"/>
      <c r="F141" s="212"/>
      <c r="G141" s="248"/>
      <c r="H141" s="240">
        <f t="shared" si="7"/>
        <v>0</v>
      </c>
      <c r="I141" s="216" t="str">
        <f t="shared" si="8"/>
        <v/>
      </c>
      <c r="J141" s="216" t="str">
        <f t="array" ref="J141">IFERROR(IF(B141&lt;&gt;"",XLOOKUP(B141,FUNC!E:E,#REF!,"NO VIGENTE"),""),"")</f>
        <v/>
      </c>
    </row>
    <row r="142" ht="23.25" customHeight="1">
      <c r="A142" s="212"/>
      <c r="B142" s="212"/>
      <c r="C142" s="212"/>
      <c r="D142" s="212"/>
      <c r="E142" s="212"/>
      <c r="F142" s="212"/>
      <c r="G142" s="248"/>
      <c r="H142" s="240">
        <f t="shared" si="7"/>
        <v>0</v>
      </c>
      <c r="I142" s="216" t="str">
        <f t="shared" si="8"/>
        <v/>
      </c>
      <c r="J142" s="216" t="str">
        <f t="array" ref="J142">IFERROR(IF(B142&lt;&gt;"",XLOOKUP(B142,FUNC!E:E,#REF!,"NO VIGENTE"),""),"")</f>
        <v/>
      </c>
    </row>
    <row r="143" ht="23.25" customHeight="1">
      <c r="A143" s="212"/>
      <c r="B143" s="212"/>
      <c r="C143" s="212"/>
      <c r="D143" s="212"/>
      <c r="E143" s="212"/>
      <c r="F143" s="212"/>
      <c r="G143" s="248"/>
      <c r="H143" s="240">
        <f t="shared" si="7"/>
        <v>0</v>
      </c>
      <c r="I143" s="216" t="str">
        <f t="shared" si="8"/>
        <v/>
      </c>
      <c r="J143" s="216" t="str">
        <f t="array" ref="J143">IFERROR(IF(B143&lt;&gt;"",XLOOKUP(B143,FUNC!E:E,#REF!,"NO VIGENTE"),""),"")</f>
        <v/>
      </c>
    </row>
    <row r="144" ht="23.25" customHeight="1">
      <c r="A144" s="212"/>
      <c r="B144" s="212"/>
      <c r="C144" s="212"/>
      <c r="D144" s="212"/>
      <c r="E144" s="212"/>
      <c r="F144" s="212"/>
      <c r="G144" s="248"/>
      <c r="H144" s="240">
        <f t="shared" si="7"/>
        <v>0</v>
      </c>
      <c r="I144" s="216" t="str">
        <f t="shared" si="8"/>
        <v/>
      </c>
      <c r="J144" s="216" t="str">
        <f t="array" ref="J144">IFERROR(IF(B144&lt;&gt;"",XLOOKUP(B144,FUNC!E:E,#REF!,"NO VIGENTE"),""),"")</f>
        <v/>
      </c>
    </row>
    <row r="145" ht="23.25" customHeight="1">
      <c r="A145" s="212"/>
      <c r="B145" s="212"/>
      <c r="C145" s="212"/>
      <c r="D145" s="212"/>
      <c r="E145" s="212"/>
      <c r="F145" s="212"/>
      <c r="G145" s="248"/>
      <c r="H145" s="240">
        <f t="shared" si="7"/>
        <v>0</v>
      </c>
      <c r="I145" s="216" t="str">
        <f t="shared" si="8"/>
        <v/>
      </c>
      <c r="J145" s="216" t="str">
        <f t="array" ref="J145">IFERROR(IF(B145&lt;&gt;"",XLOOKUP(B145,FUNC!E:E,#REF!,"NO VIGENTE"),""),"")</f>
        <v/>
      </c>
    </row>
    <row r="146" ht="23.25" customHeight="1">
      <c r="A146" s="212"/>
      <c r="B146" s="212"/>
      <c r="C146" s="212"/>
      <c r="D146" s="212"/>
      <c r="E146" s="212"/>
      <c r="F146" s="212"/>
      <c r="G146" s="248"/>
      <c r="H146" s="240">
        <f t="shared" si="7"/>
        <v>0</v>
      </c>
      <c r="I146" s="216" t="str">
        <f t="shared" si="8"/>
        <v/>
      </c>
      <c r="J146" s="216" t="str">
        <f t="array" ref="J146">IFERROR(IF(B146&lt;&gt;"",XLOOKUP(B146,FUNC!E:E,#REF!,"NO VIGENTE"),""),"")</f>
        <v/>
      </c>
    </row>
    <row r="147" ht="23.25" customHeight="1">
      <c r="A147" s="212"/>
      <c r="B147" s="212"/>
      <c r="C147" s="212"/>
      <c r="D147" s="212"/>
      <c r="E147" s="212"/>
      <c r="F147" s="212"/>
      <c r="G147" s="248"/>
      <c r="H147" s="240">
        <f t="shared" si="7"/>
        <v>0</v>
      </c>
      <c r="I147" s="216" t="str">
        <f t="shared" si="8"/>
        <v/>
      </c>
      <c r="J147" s="216" t="str">
        <f t="array" ref="J147">IFERROR(IF(B147&lt;&gt;"",XLOOKUP(B147,FUNC!E:E,#REF!,"NO VIGENTE"),""),"")</f>
        <v/>
      </c>
    </row>
    <row r="148" ht="23.25" customHeight="1">
      <c r="A148" s="212"/>
      <c r="B148" s="212"/>
      <c r="C148" s="212"/>
      <c r="D148" s="212"/>
      <c r="E148" s="212"/>
      <c r="F148" s="212"/>
      <c r="G148" s="248"/>
      <c r="H148" s="240">
        <f t="shared" si="7"/>
        <v>0</v>
      </c>
      <c r="I148" s="216" t="str">
        <f t="shared" si="8"/>
        <v/>
      </c>
      <c r="J148" s="216" t="str">
        <f t="array" ref="J148">IFERROR(IF(B148&lt;&gt;"",XLOOKUP(B148,FUNC!E:E,#REF!,"NO VIGENTE"),""),"")</f>
        <v/>
      </c>
    </row>
    <row r="149" ht="23.25" customHeight="1">
      <c r="A149" s="212"/>
      <c r="B149" s="212"/>
      <c r="C149" s="212"/>
      <c r="D149" s="212"/>
      <c r="E149" s="212"/>
      <c r="F149" s="212"/>
      <c r="G149" s="248"/>
      <c r="H149" s="240">
        <f t="shared" si="7"/>
        <v>0</v>
      </c>
      <c r="I149" s="216" t="str">
        <f t="shared" si="8"/>
        <v/>
      </c>
      <c r="J149" s="216" t="str">
        <f t="array" ref="J149">IFERROR(IF(B149&lt;&gt;"",XLOOKUP(B149,FUNC!E:E,#REF!,"NO VIGENTE"),""),"")</f>
        <v/>
      </c>
    </row>
    <row r="150" ht="23.25" customHeight="1">
      <c r="A150" s="212"/>
      <c r="B150" s="212"/>
      <c r="C150" s="212"/>
      <c r="D150" s="212"/>
      <c r="E150" s="212"/>
      <c r="F150" s="212"/>
      <c r="G150" s="248"/>
      <c r="H150" s="240">
        <f t="shared" si="7"/>
        <v>0</v>
      </c>
      <c r="I150" s="216" t="str">
        <f t="shared" si="8"/>
        <v/>
      </c>
      <c r="J150" s="216" t="str">
        <f t="array" ref="J150">IFERROR(IF(B150&lt;&gt;"",XLOOKUP(B150,FUNC!E:E,#REF!,"NO VIGENTE"),""),"")</f>
        <v/>
      </c>
    </row>
    <row r="151" ht="23.25" customHeight="1">
      <c r="A151" s="212"/>
      <c r="B151" s="212"/>
      <c r="C151" s="212"/>
      <c r="D151" s="212"/>
      <c r="E151" s="212"/>
      <c r="F151" s="212"/>
      <c r="G151" s="248"/>
      <c r="H151" s="240">
        <f t="shared" si="7"/>
        <v>0</v>
      </c>
      <c r="I151" s="216" t="str">
        <f t="shared" si="8"/>
        <v/>
      </c>
      <c r="J151" s="216" t="str">
        <f t="array" ref="J151">IFERROR(IF(B151&lt;&gt;"",XLOOKUP(B151,FUNC!E:E,#REF!,"NO VIGENTE"),""),"")</f>
        <v/>
      </c>
    </row>
    <row r="152" ht="23.25" customHeight="1">
      <c r="A152" s="212"/>
      <c r="B152" s="212"/>
      <c r="C152" s="212"/>
      <c r="D152" s="212"/>
      <c r="E152" s="212"/>
      <c r="F152" s="212"/>
      <c r="G152" s="248"/>
      <c r="H152" s="240">
        <f t="shared" si="7"/>
        <v>0</v>
      </c>
      <c r="I152" s="216" t="str">
        <f t="shared" si="8"/>
        <v/>
      </c>
      <c r="J152" s="216" t="str">
        <f t="array" ref="J152">IFERROR(IF(B152&lt;&gt;"",XLOOKUP(B152,FUNC!E:E,#REF!,"NO VIGENTE"),""),"")</f>
        <v/>
      </c>
    </row>
    <row r="153" ht="23.25" customHeight="1">
      <c r="A153" s="212"/>
      <c r="B153" s="212"/>
      <c r="C153" s="212"/>
      <c r="D153" s="212"/>
      <c r="E153" s="212"/>
      <c r="F153" s="212"/>
      <c r="G153" s="248"/>
      <c r="H153" s="240">
        <f t="shared" si="7"/>
        <v>0</v>
      </c>
      <c r="I153" s="216" t="str">
        <f t="shared" si="8"/>
        <v/>
      </c>
      <c r="J153" s="216" t="str">
        <f t="array" ref="J153">IFERROR(IF(B153&lt;&gt;"",XLOOKUP(B153,FUNC!E:E,#REF!,"NO VIGENTE"),""),"")</f>
        <v/>
      </c>
    </row>
    <row r="154" ht="23.25" customHeight="1">
      <c r="A154" s="212"/>
      <c r="B154" s="212"/>
      <c r="C154" s="212"/>
      <c r="D154" s="212"/>
      <c r="E154" s="212"/>
      <c r="F154" s="212"/>
      <c r="G154" s="248"/>
      <c r="H154" s="240">
        <f t="shared" si="7"/>
        <v>0</v>
      </c>
      <c r="I154" s="216" t="str">
        <f t="shared" si="8"/>
        <v/>
      </c>
      <c r="J154" s="216" t="str">
        <f t="array" ref="J154">IFERROR(IF(B154&lt;&gt;"",XLOOKUP(B154,FUNC!E:E,#REF!,"NO VIGENTE"),""),"")</f>
        <v/>
      </c>
    </row>
    <row r="155" ht="23.25" customHeight="1">
      <c r="A155" s="212"/>
      <c r="B155" s="212"/>
      <c r="C155" s="212"/>
      <c r="D155" s="212"/>
      <c r="E155" s="212"/>
      <c r="F155" s="212"/>
      <c r="G155" s="248"/>
      <c r="H155" s="240">
        <f t="shared" si="7"/>
        <v>0</v>
      </c>
      <c r="I155" s="216" t="str">
        <f t="shared" si="8"/>
        <v/>
      </c>
      <c r="J155" s="216" t="str">
        <f t="array" ref="J155">IFERROR(IF(B155&lt;&gt;"",XLOOKUP(B155,FUNC!E:E,#REF!,"NO VIGENTE"),""),"")</f>
        <v/>
      </c>
    </row>
    <row r="156" ht="23.25" customHeight="1">
      <c r="A156" s="212"/>
      <c r="B156" s="212"/>
      <c r="C156" s="212"/>
      <c r="D156" s="212"/>
      <c r="E156" s="212"/>
      <c r="F156" s="212"/>
      <c r="G156" s="248"/>
      <c r="H156" s="240">
        <f t="shared" si="7"/>
        <v>0</v>
      </c>
      <c r="I156" s="216" t="str">
        <f t="shared" si="8"/>
        <v/>
      </c>
      <c r="J156" s="216" t="str">
        <f t="array" ref="J156">IFERROR(IF(B156&lt;&gt;"",XLOOKUP(B156,FUNC!E:E,#REF!,"NO VIGENTE"),""),"")</f>
        <v/>
      </c>
    </row>
    <row r="157" ht="23.25" customHeight="1">
      <c r="A157" s="212"/>
      <c r="B157" s="212"/>
      <c r="C157" s="212"/>
      <c r="D157" s="212"/>
      <c r="E157" s="212"/>
      <c r="F157" s="212"/>
      <c r="G157" s="248"/>
      <c r="H157" s="240">
        <f t="shared" si="7"/>
        <v>0</v>
      </c>
      <c r="I157" s="216" t="str">
        <f t="shared" si="8"/>
        <v/>
      </c>
      <c r="J157" s="216" t="str">
        <f t="array" ref="J157">IFERROR(IF(B157&lt;&gt;"",XLOOKUP(B157,FUNC!E:E,#REF!,"NO VIGENTE"),""),"")</f>
        <v/>
      </c>
    </row>
    <row r="158" ht="23.25" customHeight="1">
      <c r="A158" s="212"/>
      <c r="B158" s="212"/>
      <c r="C158" s="212"/>
      <c r="D158" s="212"/>
      <c r="E158" s="212"/>
      <c r="F158" s="212"/>
      <c r="G158" s="248"/>
      <c r="H158" s="240">
        <f t="shared" si="7"/>
        <v>0</v>
      </c>
      <c r="I158" s="216" t="str">
        <f t="shared" si="8"/>
        <v/>
      </c>
      <c r="J158" s="216" t="str">
        <f t="array" ref="J158">IFERROR(IF(B158&lt;&gt;"",XLOOKUP(B158,FUNC!E:E,#REF!,"NO VIGENTE"),""),"")</f>
        <v/>
      </c>
    </row>
    <row r="159" ht="23.25" customHeight="1">
      <c r="A159" s="212"/>
      <c r="B159" s="212"/>
      <c r="C159" s="212"/>
      <c r="D159" s="212"/>
      <c r="E159" s="212"/>
      <c r="F159" s="212"/>
      <c r="G159" s="248"/>
      <c r="H159" s="240">
        <f t="shared" si="7"/>
        <v>0</v>
      </c>
      <c r="I159" s="216" t="str">
        <f t="shared" si="8"/>
        <v/>
      </c>
      <c r="J159" s="216" t="str">
        <f t="array" ref="J159">IFERROR(IF(B159&lt;&gt;"",XLOOKUP(B159,FUNC!E:E,#REF!,"NO VIGENTE"),""),"")</f>
        <v/>
      </c>
    </row>
    <row r="160" ht="23.25" customHeight="1">
      <c r="A160" s="212"/>
      <c r="B160" s="212"/>
      <c r="C160" s="212"/>
      <c r="D160" s="212"/>
      <c r="E160" s="212"/>
      <c r="F160" s="212"/>
      <c r="G160" s="248"/>
      <c r="H160" s="240">
        <f t="shared" si="7"/>
        <v>0</v>
      </c>
      <c r="I160" s="216" t="str">
        <f t="shared" si="8"/>
        <v/>
      </c>
      <c r="J160" s="216" t="str">
        <f t="array" ref="J160">IFERROR(IF(B160&lt;&gt;"",XLOOKUP(B160,FUNC!E:E,#REF!,"NO VIGENTE"),""),"")</f>
        <v/>
      </c>
    </row>
    <row r="161" ht="23.25" customHeight="1">
      <c r="A161" s="212"/>
      <c r="B161" s="212"/>
      <c r="C161" s="212"/>
      <c r="D161" s="212"/>
      <c r="E161" s="212"/>
      <c r="F161" s="212"/>
      <c r="G161" s="248"/>
      <c r="H161" s="240">
        <f t="shared" si="7"/>
        <v>0</v>
      </c>
      <c r="I161" s="216" t="str">
        <f t="shared" si="8"/>
        <v/>
      </c>
      <c r="J161" s="216" t="str">
        <f t="array" ref="J161">IFERROR(IF(B161&lt;&gt;"",XLOOKUP(B161,FUNC!E:E,#REF!,"NO VIGENTE"),""),"")</f>
        <v/>
      </c>
    </row>
    <row r="162" ht="23.25" customHeight="1">
      <c r="A162" s="212"/>
      <c r="B162" s="212"/>
      <c r="C162" s="212"/>
      <c r="D162" s="212"/>
      <c r="E162" s="212"/>
      <c r="F162" s="212"/>
      <c r="G162" s="248"/>
      <c r="H162" s="240">
        <f t="shared" si="7"/>
        <v>0</v>
      </c>
      <c r="I162" s="216" t="str">
        <f t="shared" si="8"/>
        <v/>
      </c>
      <c r="J162" s="216" t="str">
        <f t="array" ref="J162">IFERROR(IF(B162&lt;&gt;"",XLOOKUP(B162,FUNC!E:E,#REF!,"NO VIGENTE"),""),"")</f>
        <v/>
      </c>
    </row>
    <row r="163" ht="23.25" customHeight="1">
      <c r="A163" s="212"/>
      <c r="B163" s="212"/>
      <c r="C163" s="212"/>
      <c r="D163" s="212"/>
      <c r="E163" s="212"/>
      <c r="F163" s="212"/>
      <c r="G163" s="248"/>
      <c r="H163" s="240">
        <f t="shared" si="7"/>
        <v>0</v>
      </c>
      <c r="I163" s="216" t="str">
        <f t="shared" si="8"/>
        <v/>
      </c>
      <c r="J163" s="216" t="str">
        <f t="array" ref="J163">IFERROR(IF(B163&lt;&gt;"",XLOOKUP(B163,FUNC!E:E,#REF!,"NO VIGENTE"),""),"")</f>
        <v/>
      </c>
    </row>
    <row r="164" ht="23.25" customHeight="1">
      <c r="A164" s="212"/>
      <c r="B164" s="212"/>
      <c r="C164" s="212"/>
      <c r="D164" s="212"/>
      <c r="E164" s="212"/>
      <c r="F164" s="212"/>
      <c r="G164" s="248"/>
      <c r="H164" s="240">
        <f t="shared" si="7"/>
        <v>0</v>
      </c>
      <c r="I164" s="216" t="str">
        <f t="shared" si="8"/>
        <v/>
      </c>
      <c r="J164" s="216" t="str">
        <f t="array" ref="J164">IFERROR(IF(B164&lt;&gt;"",XLOOKUP(B164,FUNC!E:E,#REF!,"NO VIGENTE"),""),"")</f>
        <v/>
      </c>
    </row>
    <row r="165" ht="23.25" customHeight="1">
      <c r="A165" s="212"/>
      <c r="B165" s="212"/>
      <c r="C165" s="212"/>
      <c r="D165" s="212"/>
      <c r="E165" s="212"/>
      <c r="F165" s="212"/>
      <c r="G165" s="248"/>
      <c r="H165" s="240">
        <f t="shared" si="7"/>
        <v>0</v>
      </c>
      <c r="I165" s="216" t="str">
        <f t="shared" si="8"/>
        <v/>
      </c>
      <c r="J165" s="216" t="str">
        <f t="array" ref="J165">IFERROR(IF(B165&lt;&gt;"",XLOOKUP(B165,FUNC!E:E,#REF!,"NO VIGENTE"),""),"")</f>
        <v/>
      </c>
    </row>
    <row r="166" ht="23.25" customHeight="1">
      <c r="A166" s="212"/>
      <c r="B166" s="212"/>
      <c r="C166" s="212"/>
      <c r="D166" s="212"/>
      <c r="E166" s="212"/>
      <c r="F166" s="212"/>
      <c r="G166" s="248"/>
      <c r="H166" s="240">
        <f t="shared" si="7"/>
        <v>0</v>
      </c>
      <c r="I166" s="216" t="str">
        <f t="shared" si="8"/>
        <v/>
      </c>
      <c r="J166" s="216" t="str">
        <f t="array" ref="J166">IFERROR(IF(B166&lt;&gt;"",XLOOKUP(B166,FUNC!E:E,#REF!,"NO VIGENTE"),""),"")</f>
        <v/>
      </c>
    </row>
    <row r="167" ht="23.25" customHeight="1">
      <c r="A167" s="212"/>
      <c r="B167" s="212"/>
      <c r="C167" s="212"/>
      <c r="D167" s="212"/>
      <c r="E167" s="212"/>
      <c r="F167" s="212"/>
      <c r="G167" s="248"/>
      <c r="H167" s="240">
        <f t="shared" si="7"/>
        <v>0</v>
      </c>
      <c r="I167" s="216" t="str">
        <f t="shared" si="8"/>
        <v/>
      </c>
      <c r="J167" s="216" t="str">
        <f t="array" ref="J167">IFERROR(IF(B167&lt;&gt;"",XLOOKUP(B167,FUNC!E:E,#REF!,"NO VIGENTE"),""),"")</f>
        <v/>
      </c>
    </row>
    <row r="168" ht="23.25" customHeight="1">
      <c r="A168" s="212"/>
      <c r="B168" s="212"/>
      <c r="C168" s="212"/>
      <c r="D168" s="212"/>
      <c r="E168" s="212"/>
      <c r="F168" s="212"/>
      <c r="G168" s="248"/>
      <c r="H168" s="240">
        <f t="shared" si="7"/>
        <v>0</v>
      </c>
      <c r="I168" s="216" t="str">
        <f t="shared" si="8"/>
        <v/>
      </c>
      <c r="J168" s="216" t="str">
        <f t="array" ref="J168">IFERROR(IF(B168&lt;&gt;"",XLOOKUP(B168,FUNC!E:E,#REF!,"NO VIGENTE"),""),"")</f>
        <v/>
      </c>
    </row>
    <row r="169" ht="23.25" customHeight="1">
      <c r="A169" s="212"/>
      <c r="B169" s="212"/>
      <c r="C169" s="212"/>
      <c r="D169" s="212"/>
      <c r="E169" s="212"/>
      <c r="F169" s="212"/>
      <c r="G169" s="248"/>
      <c r="H169" s="240">
        <f t="shared" si="7"/>
        <v>0</v>
      </c>
      <c r="I169" s="216" t="str">
        <f t="shared" si="8"/>
        <v/>
      </c>
      <c r="J169" s="216" t="str">
        <f t="array" ref="J169">IFERROR(IF(B169&lt;&gt;"",XLOOKUP(B169,FUNC!E:E,#REF!,"NO VIGENTE"),""),"")</f>
        <v/>
      </c>
    </row>
    <row r="170" ht="23.25" customHeight="1">
      <c r="A170" s="212"/>
      <c r="B170" s="212"/>
      <c r="C170" s="212"/>
      <c r="D170" s="212"/>
      <c r="E170" s="212"/>
      <c r="F170" s="212"/>
      <c r="G170" s="248"/>
      <c r="H170" s="240">
        <f t="shared" si="7"/>
        <v>0</v>
      </c>
      <c r="I170" s="216" t="str">
        <f t="shared" si="8"/>
        <v/>
      </c>
      <c r="J170" s="216" t="str">
        <f t="array" ref="J170">IFERROR(IF(B170&lt;&gt;"",XLOOKUP(B170,FUNC!E:E,#REF!,"NO VIGENTE"),""),"")</f>
        <v/>
      </c>
    </row>
    <row r="171" ht="23.25" customHeight="1">
      <c r="A171" s="212"/>
      <c r="B171" s="212"/>
      <c r="C171" s="212"/>
      <c r="D171" s="212"/>
      <c r="E171" s="212"/>
      <c r="F171" s="212"/>
      <c r="G171" s="248"/>
      <c r="H171" s="240">
        <f t="shared" si="7"/>
        <v>0</v>
      </c>
      <c r="I171" s="216" t="str">
        <f t="shared" si="8"/>
        <v/>
      </c>
      <c r="J171" s="216" t="str">
        <f t="array" ref="J171">IFERROR(IF(B171&lt;&gt;"",XLOOKUP(B171,FUNC!E:E,#REF!,"NO VIGENTE"),""),"")</f>
        <v/>
      </c>
    </row>
    <row r="172" ht="23.25" customHeight="1">
      <c r="A172" s="212"/>
      <c r="B172" s="212"/>
      <c r="C172" s="212"/>
      <c r="D172" s="212"/>
      <c r="E172" s="212"/>
      <c r="F172" s="212"/>
      <c r="G172" s="248"/>
      <c r="H172" s="240">
        <f t="shared" si="7"/>
        <v>0</v>
      </c>
      <c r="I172" s="216" t="str">
        <f t="shared" si="8"/>
        <v/>
      </c>
      <c r="J172" s="216" t="str">
        <f t="array" ref="J172">IFERROR(IF(B172&lt;&gt;"",XLOOKUP(B172,FUNC!E:E,#REF!,"NO VIGENTE"),""),"")</f>
        <v/>
      </c>
    </row>
    <row r="173" ht="23.25" customHeight="1">
      <c r="A173" s="212"/>
      <c r="B173" s="212"/>
      <c r="C173" s="212"/>
      <c r="D173" s="212"/>
      <c r="E173" s="212"/>
      <c r="F173" s="212"/>
      <c r="G173" s="248"/>
      <c r="H173" s="240">
        <f t="shared" si="7"/>
        <v>0</v>
      </c>
      <c r="I173" s="216" t="str">
        <f t="shared" si="8"/>
        <v/>
      </c>
      <c r="J173" s="216" t="str">
        <f t="array" ref="J173">IFERROR(IF(B173&lt;&gt;"",XLOOKUP(B173,FUNC!E:E,#REF!,"NO VIGENTE"),""),"")</f>
        <v/>
      </c>
    </row>
    <row r="174" ht="23.25" customHeight="1">
      <c r="A174" s="212"/>
      <c r="B174" s="212"/>
      <c r="C174" s="212"/>
      <c r="D174" s="212"/>
      <c r="E174" s="212"/>
      <c r="F174" s="212"/>
      <c r="G174" s="248"/>
      <c r="H174" s="240">
        <f t="shared" si="7"/>
        <v>0</v>
      </c>
      <c r="I174" s="216" t="str">
        <f t="shared" si="8"/>
        <v/>
      </c>
      <c r="J174" s="216" t="str">
        <f t="array" ref="J174">IFERROR(IF(B174&lt;&gt;"",XLOOKUP(B174,FUNC!E:E,#REF!,"NO VIGENTE"),""),"")</f>
        <v/>
      </c>
    </row>
    <row r="175" ht="23.25" customHeight="1">
      <c r="A175" s="212"/>
      <c r="B175" s="212"/>
      <c r="C175" s="212"/>
      <c r="D175" s="212"/>
      <c r="E175" s="212"/>
      <c r="F175" s="212"/>
      <c r="G175" s="248"/>
      <c r="H175" s="240">
        <f t="shared" si="7"/>
        <v>0</v>
      </c>
      <c r="I175" s="216" t="str">
        <f t="shared" si="8"/>
        <v/>
      </c>
      <c r="J175" s="216" t="str">
        <f t="array" ref="J175">IFERROR(IF(B175&lt;&gt;"",XLOOKUP(B175,FUNC!E:E,#REF!,"NO VIGENTE"),""),"")</f>
        <v/>
      </c>
    </row>
    <row r="176" ht="23.25" customHeight="1">
      <c r="A176" s="212"/>
      <c r="B176" s="212"/>
      <c r="C176" s="212"/>
      <c r="D176" s="212"/>
      <c r="E176" s="212"/>
      <c r="F176" s="212"/>
      <c r="G176" s="248"/>
      <c r="H176" s="240">
        <f t="shared" si="7"/>
        <v>0</v>
      </c>
      <c r="I176" s="216" t="str">
        <f t="shared" si="8"/>
        <v/>
      </c>
      <c r="J176" s="216" t="str">
        <f t="array" ref="J176">IFERROR(IF(B176&lt;&gt;"",XLOOKUP(B176,FUNC!E:E,#REF!,"NO VIGENTE"),""),"")</f>
        <v/>
      </c>
    </row>
    <row r="177" ht="23.25" customHeight="1">
      <c r="A177" s="212"/>
      <c r="B177" s="212"/>
      <c r="C177" s="212"/>
      <c r="D177" s="212"/>
      <c r="E177" s="212"/>
      <c r="F177" s="212"/>
      <c r="G177" s="248"/>
      <c r="H177" s="240">
        <f t="shared" si="7"/>
        <v>0</v>
      </c>
      <c r="I177" s="216" t="str">
        <f t="shared" si="8"/>
        <v/>
      </c>
      <c r="J177" s="216" t="str">
        <f t="array" ref="J177">IFERROR(IF(B177&lt;&gt;"",XLOOKUP(B177,FUNC!E:E,#REF!,"NO VIGENTE"),""),"")</f>
        <v/>
      </c>
    </row>
    <row r="178" ht="23.25" customHeight="1">
      <c r="A178" s="212"/>
      <c r="B178" s="212"/>
      <c r="C178" s="212"/>
      <c r="D178" s="212"/>
      <c r="E178" s="212"/>
      <c r="F178" s="212"/>
      <c r="G178" s="248"/>
      <c r="H178" s="240">
        <f t="shared" si="7"/>
        <v>0</v>
      </c>
      <c r="I178" s="216" t="str">
        <f t="shared" si="8"/>
        <v/>
      </c>
      <c r="J178" s="216" t="str">
        <f t="array" ref="J178">IFERROR(IF(B178&lt;&gt;"",XLOOKUP(B178,FUNC!E:E,#REF!,"NO VIGENTE"),""),"")</f>
        <v/>
      </c>
    </row>
    <row r="179" ht="23.25" customHeight="1">
      <c r="A179" s="212"/>
      <c r="B179" s="212"/>
      <c r="C179" s="212"/>
      <c r="D179" s="212"/>
      <c r="E179" s="212"/>
      <c r="F179" s="212"/>
      <c r="G179" s="248"/>
      <c r="H179" s="240">
        <f t="shared" si="7"/>
        <v>0</v>
      </c>
      <c r="I179" s="216" t="str">
        <f t="shared" si="8"/>
        <v/>
      </c>
      <c r="J179" s="216" t="str">
        <f t="array" ref="J179">IFERROR(IF(B179&lt;&gt;"",XLOOKUP(B179,FUNC!E:E,#REF!,"NO VIGENTE"),""),"")</f>
        <v/>
      </c>
    </row>
    <row r="180" ht="23.25" customHeight="1">
      <c r="A180" s="212"/>
      <c r="B180" s="212"/>
      <c r="C180" s="212"/>
      <c r="D180" s="212"/>
      <c r="E180" s="212"/>
      <c r="F180" s="212"/>
      <c r="G180" s="248"/>
      <c r="H180" s="240">
        <f t="shared" si="7"/>
        <v>0</v>
      </c>
      <c r="I180" s="216" t="str">
        <f t="shared" si="8"/>
        <v/>
      </c>
      <c r="J180" s="216" t="str">
        <f t="array" ref="J180">IFERROR(IF(B180&lt;&gt;"",XLOOKUP(B180,FUNC!E:E,#REF!,"NO VIGENTE"),""),"")</f>
        <v/>
      </c>
    </row>
    <row r="181" ht="23.25" customHeight="1">
      <c r="A181" s="212"/>
      <c r="B181" s="212"/>
      <c r="C181" s="212"/>
      <c r="D181" s="212"/>
      <c r="E181" s="212"/>
      <c r="F181" s="212"/>
      <c r="G181" s="248"/>
      <c r="H181" s="240">
        <f t="shared" si="7"/>
        <v>0</v>
      </c>
      <c r="I181" s="216" t="str">
        <f t="shared" si="8"/>
        <v/>
      </c>
      <c r="J181" s="216" t="str">
        <f t="array" ref="J181">IFERROR(IF(B181&lt;&gt;"",XLOOKUP(B181,FUNC!E:E,#REF!,"NO VIGENTE"),""),"")</f>
        <v/>
      </c>
    </row>
    <row r="182" ht="23.25" customHeight="1">
      <c r="A182" s="212"/>
      <c r="B182" s="212"/>
      <c r="C182" s="212"/>
      <c r="D182" s="212"/>
      <c r="E182" s="212"/>
      <c r="F182" s="212"/>
      <c r="G182" s="248"/>
      <c r="H182" s="240">
        <f t="shared" si="7"/>
        <v>0</v>
      </c>
      <c r="I182" s="216" t="str">
        <f t="shared" si="8"/>
        <v/>
      </c>
      <c r="J182" s="216" t="str">
        <f t="array" ref="J182">IFERROR(IF(B182&lt;&gt;"",XLOOKUP(B182,FUNC!E:E,#REF!,"NO VIGENTE"),""),"")</f>
        <v/>
      </c>
    </row>
    <row r="183" ht="23.25" customHeight="1">
      <c r="A183" s="212"/>
      <c r="B183" s="212"/>
      <c r="C183" s="212"/>
      <c r="D183" s="212"/>
      <c r="E183" s="212"/>
      <c r="F183" s="212"/>
      <c r="G183" s="248"/>
      <c r="H183" s="240">
        <f t="shared" si="7"/>
        <v>0</v>
      </c>
      <c r="I183" s="216" t="str">
        <f t="shared" si="8"/>
        <v/>
      </c>
      <c r="J183" s="216" t="str">
        <f t="array" ref="J183">IFERROR(IF(B183&lt;&gt;"",XLOOKUP(B183,FUNC!E:E,#REF!,"NO VIGENTE"),""),"")</f>
        <v/>
      </c>
    </row>
    <row r="184" ht="23.25" customHeight="1">
      <c r="A184" s="212"/>
      <c r="B184" s="212"/>
      <c r="C184" s="212"/>
      <c r="D184" s="212"/>
      <c r="E184" s="212"/>
      <c r="F184" s="212"/>
      <c r="G184" s="248"/>
      <c r="H184" s="240">
        <f t="shared" si="7"/>
        <v>0</v>
      </c>
      <c r="I184" s="216" t="str">
        <f t="shared" si="8"/>
        <v/>
      </c>
      <c r="J184" s="216" t="str">
        <f t="array" ref="J184">IFERROR(IF(B184&lt;&gt;"",XLOOKUP(B184,FUNC!E:E,#REF!,"NO VIGENTE"),""),"")</f>
        <v/>
      </c>
    </row>
    <row r="185" ht="23.25" customHeight="1">
      <c r="A185" s="212"/>
      <c r="B185" s="212"/>
      <c r="C185" s="212"/>
      <c r="D185" s="212"/>
      <c r="E185" s="212"/>
      <c r="F185" s="212"/>
      <c r="G185" s="248"/>
      <c r="H185" s="240">
        <f t="shared" si="7"/>
        <v>0</v>
      </c>
      <c r="I185" s="216" t="str">
        <f t="shared" si="8"/>
        <v/>
      </c>
      <c r="J185" s="216" t="str">
        <f t="array" ref="J185">IFERROR(IF(B185&lt;&gt;"",XLOOKUP(B185,FUNC!E:E,#REF!,"NO VIGENTE"),""),"")</f>
        <v/>
      </c>
    </row>
    <row r="186" ht="23.25" customHeight="1">
      <c r="A186" s="212"/>
      <c r="B186" s="212"/>
      <c r="C186" s="212"/>
      <c r="D186" s="212"/>
      <c r="E186" s="212"/>
      <c r="F186" s="212"/>
      <c r="G186" s="248"/>
      <c r="H186" s="240">
        <f t="shared" si="7"/>
        <v>0</v>
      </c>
      <c r="I186" s="216" t="str">
        <f t="shared" si="8"/>
        <v/>
      </c>
      <c r="J186" s="216" t="str">
        <f t="array" ref="J186">IFERROR(IF(B186&lt;&gt;"",XLOOKUP(B186,FUNC!E:E,#REF!,"NO VIGENTE"),""),"")</f>
        <v/>
      </c>
    </row>
    <row r="187" ht="23.25" customHeight="1">
      <c r="A187" s="212"/>
      <c r="B187" s="212"/>
      <c r="C187" s="212"/>
      <c r="D187" s="212"/>
      <c r="E187" s="212"/>
      <c r="F187" s="212"/>
      <c r="G187" s="248"/>
      <c r="H187" s="240">
        <f t="shared" si="7"/>
        <v>0</v>
      </c>
      <c r="I187" s="216" t="str">
        <f t="shared" si="8"/>
        <v/>
      </c>
      <c r="J187" s="216" t="str">
        <f t="array" ref="J187">IFERROR(IF(B187&lt;&gt;"",XLOOKUP(B187,FUNC!E:E,#REF!,"NO VIGENTE"),""),"")</f>
        <v/>
      </c>
    </row>
    <row r="188" ht="23.25" customHeight="1">
      <c r="A188" s="212"/>
      <c r="B188" s="212"/>
      <c r="C188" s="212"/>
      <c r="D188" s="212"/>
      <c r="E188" s="212"/>
      <c r="F188" s="212"/>
      <c r="G188" s="248"/>
      <c r="H188" s="240">
        <f t="shared" si="7"/>
        <v>0</v>
      </c>
      <c r="I188" s="216" t="str">
        <f t="shared" si="8"/>
        <v/>
      </c>
      <c r="J188" s="216" t="str">
        <f t="array" ref="J188">IFERROR(IF(B188&lt;&gt;"",XLOOKUP(B188,FUNC!E:E,#REF!,"NO VIGENTE"),""),"")</f>
        <v/>
      </c>
    </row>
    <row r="189" ht="23.25" customHeight="1">
      <c r="A189" s="212"/>
      <c r="B189" s="212"/>
      <c r="C189" s="212"/>
      <c r="D189" s="212"/>
      <c r="E189" s="212"/>
      <c r="F189" s="212"/>
      <c r="G189" s="248"/>
      <c r="H189" s="240">
        <f t="shared" si="7"/>
        <v>0</v>
      </c>
      <c r="I189" s="216" t="str">
        <f t="shared" si="8"/>
        <v/>
      </c>
      <c r="J189" s="216" t="str">
        <f t="array" ref="J189">IFERROR(IF(B189&lt;&gt;"",XLOOKUP(B189,FUNC!E:E,#REF!,"NO VIGENTE"),""),"")</f>
        <v/>
      </c>
    </row>
    <row r="190" ht="23.25" customHeight="1">
      <c r="A190" s="212"/>
      <c r="B190" s="212"/>
      <c r="C190" s="212"/>
      <c r="D190" s="212"/>
      <c r="E190" s="212"/>
      <c r="F190" s="212"/>
      <c r="G190" s="248"/>
      <c r="H190" s="240">
        <f t="shared" si="7"/>
        <v>0</v>
      </c>
      <c r="I190" s="216" t="str">
        <f t="shared" si="8"/>
        <v/>
      </c>
      <c r="J190" s="216" t="str">
        <f t="array" ref="J190">IFERROR(IF(B190&lt;&gt;"",XLOOKUP(B190,FUNC!E:E,#REF!,"NO VIGENTE"),""),"")</f>
        <v/>
      </c>
    </row>
    <row r="191" ht="23.25" customHeight="1">
      <c r="A191" s="212"/>
      <c r="B191" s="212"/>
      <c r="C191" s="212"/>
      <c r="D191" s="212"/>
      <c r="E191" s="212"/>
      <c r="F191" s="212"/>
      <c r="G191" s="248"/>
      <c r="H191" s="240">
        <f t="shared" si="7"/>
        <v>0</v>
      </c>
      <c r="I191" s="216" t="str">
        <f t="shared" si="8"/>
        <v/>
      </c>
      <c r="J191" s="216" t="str">
        <f t="array" ref="J191">IFERROR(IF(B191&lt;&gt;"",XLOOKUP(B191,FUNC!E:E,#REF!,"NO VIGENTE"),""),"")</f>
        <v/>
      </c>
    </row>
    <row r="192" ht="23.25" customHeight="1">
      <c r="A192" s="212"/>
      <c r="B192" s="212"/>
      <c r="C192" s="212"/>
      <c r="D192" s="212"/>
      <c r="E192" s="212"/>
      <c r="F192" s="212"/>
      <c r="G192" s="248"/>
      <c r="H192" s="240">
        <f t="shared" si="7"/>
        <v>0</v>
      </c>
      <c r="I192" s="216" t="str">
        <f t="shared" si="8"/>
        <v/>
      </c>
      <c r="J192" s="216" t="str">
        <f t="array" ref="J192">IFERROR(IF(B192&lt;&gt;"",XLOOKUP(B192,FUNC!E:E,#REF!,"NO VIGENTE"),""),"")</f>
        <v/>
      </c>
    </row>
    <row r="193" ht="23.25" customHeight="1">
      <c r="A193" s="212"/>
      <c r="B193" s="212"/>
      <c r="C193" s="212"/>
      <c r="D193" s="212"/>
      <c r="E193" s="212"/>
      <c r="F193" s="212"/>
      <c r="G193" s="248"/>
      <c r="H193" s="240">
        <f t="shared" si="7"/>
        <v>0</v>
      </c>
      <c r="I193" s="216" t="str">
        <f t="shared" si="8"/>
        <v/>
      </c>
      <c r="J193" s="216" t="str">
        <f t="array" ref="J193">IFERROR(IF(B193&lt;&gt;"",XLOOKUP(B193,FUNC!E:E,#REF!,"NO VIGENTE"),""),"")</f>
        <v/>
      </c>
    </row>
    <row r="194" ht="23.25" customHeight="1">
      <c r="A194" s="212"/>
      <c r="B194" s="212"/>
      <c r="C194" s="212"/>
      <c r="D194" s="212"/>
      <c r="E194" s="212"/>
      <c r="F194" s="212"/>
      <c r="G194" s="248"/>
      <c r="H194" s="240">
        <f t="shared" si="7"/>
        <v>0</v>
      </c>
      <c r="I194" s="216" t="str">
        <f t="shared" si="8"/>
        <v/>
      </c>
      <c r="J194" s="216" t="str">
        <f t="array" ref="J194">IFERROR(IF(B194&lt;&gt;"",XLOOKUP(B194,FUNC!E:E,#REF!,"NO VIGENTE"),""),"")</f>
        <v/>
      </c>
    </row>
    <row r="195" ht="23.25" customHeight="1">
      <c r="A195" s="212"/>
      <c r="B195" s="212"/>
      <c r="C195" s="212"/>
      <c r="D195" s="212"/>
      <c r="E195" s="212"/>
      <c r="F195" s="212"/>
      <c r="G195" s="248"/>
      <c r="H195" s="240">
        <f t="shared" si="7"/>
        <v>0</v>
      </c>
      <c r="I195" s="216" t="str">
        <f t="shared" si="8"/>
        <v/>
      </c>
      <c r="J195" s="216" t="str">
        <f t="array" ref="J195">IFERROR(IF(B195&lt;&gt;"",XLOOKUP(B195,FUNC!E:E,#REF!,"NO VIGENTE"),""),"")</f>
        <v/>
      </c>
    </row>
    <row r="196" ht="23.25" customHeight="1">
      <c r="A196" s="212"/>
      <c r="B196" s="212"/>
      <c r="C196" s="212"/>
      <c r="D196" s="212"/>
      <c r="E196" s="212"/>
      <c r="F196" s="212"/>
      <c r="G196" s="248"/>
      <c r="H196" s="240">
        <f t="shared" si="7"/>
        <v>0</v>
      </c>
      <c r="I196" s="216" t="str">
        <f t="shared" si="8"/>
        <v/>
      </c>
      <c r="J196" s="216" t="str">
        <f t="array" ref="J196">IFERROR(IF(B196&lt;&gt;"",XLOOKUP(B196,FUNC!E:E,#REF!,"NO VIGENTE"),""),"")</f>
        <v/>
      </c>
    </row>
    <row r="197" ht="23.25" customHeight="1">
      <c r="A197" s="212"/>
      <c r="B197" s="212"/>
      <c r="C197" s="212"/>
      <c r="D197" s="212"/>
      <c r="E197" s="212"/>
      <c r="F197" s="212"/>
      <c r="G197" s="248"/>
      <c r="H197" s="240">
        <f t="shared" si="7"/>
        <v>0</v>
      </c>
      <c r="I197" s="216" t="str">
        <f t="shared" si="8"/>
        <v/>
      </c>
      <c r="J197" s="216" t="str">
        <f t="array" ref="J197">IFERROR(IF(B197&lt;&gt;"",XLOOKUP(B197,FUNC!E:E,#REF!,"NO VIGENTE"),""),"")</f>
        <v/>
      </c>
    </row>
    <row r="198" ht="23.25" customHeight="1">
      <c r="A198" s="212"/>
      <c r="B198" s="212"/>
      <c r="C198" s="212"/>
      <c r="D198" s="212"/>
      <c r="E198" s="212"/>
      <c r="F198" s="212"/>
      <c r="G198" s="248"/>
      <c r="H198" s="240">
        <f t="shared" si="7"/>
        <v>0</v>
      </c>
      <c r="I198" s="216" t="str">
        <f t="shared" si="8"/>
        <v/>
      </c>
      <c r="J198" s="216" t="str">
        <f t="array" ref="J198">IFERROR(IF(B198&lt;&gt;"",XLOOKUP(B198,FUNC!E:E,#REF!,"NO VIGENTE"),""),"")</f>
        <v/>
      </c>
    </row>
    <row r="199" ht="23.25" customHeight="1">
      <c r="A199" s="212"/>
      <c r="B199" s="212"/>
      <c r="C199" s="212"/>
      <c r="D199" s="212"/>
      <c r="E199" s="212"/>
      <c r="F199" s="212"/>
      <c r="G199" s="248"/>
      <c r="H199" s="240">
        <f t="shared" si="7"/>
        <v>0</v>
      </c>
      <c r="I199" s="216" t="str">
        <f t="shared" si="8"/>
        <v/>
      </c>
      <c r="J199" s="216" t="str">
        <f t="array" ref="J199">IFERROR(IF(B199&lt;&gt;"",XLOOKUP(B199,FUNC!E:E,#REF!,"NO VIGENTE"),""),"")</f>
        <v/>
      </c>
    </row>
    <row r="200" ht="23.25" customHeight="1">
      <c r="A200" s="212"/>
      <c r="B200" s="212"/>
      <c r="C200" s="212"/>
      <c r="D200" s="212"/>
      <c r="E200" s="212"/>
      <c r="F200" s="212"/>
      <c r="G200" s="248"/>
      <c r="H200" s="240">
        <f t="shared" si="7"/>
        <v>0</v>
      </c>
      <c r="I200" s="216" t="str">
        <f t="shared" si="8"/>
        <v/>
      </c>
      <c r="J200" s="216" t="str">
        <f t="array" ref="J200">IFERROR(IF(B200&lt;&gt;"",XLOOKUP(B200,FUNC!E:E,#REF!,"NO VIGENTE"),""),"")</f>
        <v/>
      </c>
    </row>
    <row r="201" ht="23.25" customHeight="1">
      <c r="A201" s="212"/>
      <c r="B201" s="212"/>
      <c r="C201" s="212"/>
      <c r="D201" s="212"/>
      <c r="E201" s="212"/>
      <c r="F201" s="212"/>
      <c r="G201" s="248"/>
      <c r="H201" s="240">
        <f t="shared" si="7"/>
        <v>0</v>
      </c>
      <c r="I201" s="216" t="str">
        <f t="shared" si="8"/>
        <v/>
      </c>
      <c r="J201" s="216" t="str">
        <f t="array" ref="J201">IFERROR(IF(B201&lt;&gt;"",XLOOKUP(B201,FUNC!E:E,#REF!,"NO VIGENTE"),""),"")</f>
        <v/>
      </c>
    </row>
    <row r="202" ht="23.25" customHeight="1">
      <c r="A202" s="212"/>
      <c r="B202" s="212"/>
      <c r="C202" s="212"/>
      <c r="D202" s="212"/>
      <c r="E202" s="212"/>
      <c r="F202" s="212"/>
      <c r="G202" s="248"/>
      <c r="H202" s="240">
        <f t="shared" si="7"/>
        <v>0</v>
      </c>
      <c r="I202" s="216" t="str">
        <f t="shared" si="8"/>
        <v/>
      </c>
      <c r="J202" s="216" t="str">
        <f t="array" ref="J202">IFERROR(IF(B202&lt;&gt;"",XLOOKUP(B202,FUNC!E:E,#REF!,"NO VIGENTE"),""),"")</f>
        <v/>
      </c>
    </row>
    <row r="203" ht="23.25" customHeight="1">
      <c r="A203" s="212"/>
      <c r="B203" s="212"/>
      <c r="C203" s="212"/>
      <c r="D203" s="212"/>
      <c r="E203" s="212"/>
      <c r="F203" s="212"/>
      <c r="G203" s="248"/>
      <c r="H203" s="240">
        <f t="shared" si="7"/>
        <v>0</v>
      </c>
      <c r="I203" s="216" t="str">
        <f t="shared" si="8"/>
        <v/>
      </c>
      <c r="J203" s="216" t="str">
        <f t="array" ref="J203">IFERROR(IF(B203&lt;&gt;"",XLOOKUP(B203,FUNC!E:E,#REF!,"NO VIGENTE"),""),"")</f>
        <v/>
      </c>
    </row>
    <row r="204" ht="23.25" customHeight="1">
      <c r="A204" s="212"/>
      <c r="B204" s="212"/>
      <c r="C204" s="212"/>
      <c r="D204" s="212"/>
      <c r="E204" s="212"/>
      <c r="F204" s="212"/>
      <c r="G204" s="248"/>
      <c r="H204" s="240">
        <f t="shared" si="7"/>
        <v>0</v>
      </c>
      <c r="I204" s="216" t="str">
        <f t="shared" si="8"/>
        <v/>
      </c>
      <c r="J204" s="216" t="str">
        <f t="array" ref="J204">IFERROR(IF(B204&lt;&gt;"",XLOOKUP(B204,FUNC!E:E,#REF!,"NO VIGENTE"),""),"")</f>
        <v/>
      </c>
    </row>
    <row r="205" ht="23.25" customHeight="1">
      <c r="A205" s="212"/>
      <c r="B205" s="212"/>
      <c r="C205" s="212"/>
      <c r="D205" s="212"/>
      <c r="E205" s="212"/>
      <c r="F205" s="212"/>
      <c r="G205" s="248"/>
      <c r="H205" s="240">
        <f t="shared" si="7"/>
        <v>0</v>
      </c>
      <c r="I205" s="216" t="str">
        <f t="shared" si="8"/>
        <v/>
      </c>
      <c r="J205" s="216" t="str">
        <f t="array" ref="J205">IFERROR(IF(B205&lt;&gt;"",XLOOKUP(B205,FUNC!E:E,#REF!,"NO VIGENTE"),""),"")</f>
        <v/>
      </c>
    </row>
    <row r="206" ht="23.25" customHeight="1">
      <c r="A206" s="212"/>
      <c r="B206" s="212"/>
      <c r="C206" s="212"/>
      <c r="D206" s="212"/>
      <c r="E206" s="212"/>
      <c r="F206" s="212"/>
      <c r="G206" s="248"/>
      <c r="H206" s="240">
        <f t="shared" si="7"/>
        <v>0</v>
      </c>
      <c r="I206" s="216" t="str">
        <f t="shared" si="8"/>
        <v/>
      </c>
      <c r="J206" s="216" t="str">
        <f t="array" ref="J206">IFERROR(IF(B206&lt;&gt;"",XLOOKUP(B206,FUNC!E:E,#REF!,"NO VIGENTE"),""),"")</f>
        <v/>
      </c>
    </row>
    <row r="207" ht="23.25" customHeight="1">
      <c r="A207" s="212"/>
      <c r="B207" s="212"/>
      <c r="C207" s="212"/>
      <c r="D207" s="212"/>
      <c r="E207" s="212"/>
      <c r="F207" s="212"/>
      <c r="G207" s="248"/>
      <c r="H207" s="240">
        <f t="shared" si="7"/>
        <v>0</v>
      </c>
      <c r="I207" s="216" t="str">
        <f t="shared" si="8"/>
        <v/>
      </c>
      <c r="J207" s="216" t="str">
        <f t="array" ref="J207">IFERROR(IF(B207&lt;&gt;"",XLOOKUP(B207,FUNC!E:E,#REF!,"NO VIGENTE"),""),"")</f>
        <v/>
      </c>
    </row>
    <row r="208" ht="23.25" customHeight="1">
      <c r="A208" s="212"/>
      <c r="B208" s="212"/>
      <c r="C208" s="212"/>
      <c r="D208" s="212"/>
      <c r="E208" s="212"/>
      <c r="F208" s="212"/>
      <c r="G208" s="248"/>
      <c r="H208" s="240">
        <f t="shared" si="7"/>
        <v>0</v>
      </c>
      <c r="I208" s="216" t="str">
        <f t="shared" si="8"/>
        <v/>
      </c>
      <c r="J208" s="216" t="str">
        <f t="array" ref="J208">IFERROR(IF(B208&lt;&gt;"",XLOOKUP(B208,FUNC!E:E,#REF!,"NO VIGENTE"),""),"")</f>
        <v/>
      </c>
    </row>
    <row r="209" ht="23.25" customHeight="1">
      <c r="A209" s="212"/>
      <c r="B209" s="212"/>
      <c r="C209" s="212"/>
      <c r="D209" s="212"/>
      <c r="E209" s="212"/>
      <c r="F209" s="212"/>
      <c r="G209" s="248"/>
      <c r="H209" s="240">
        <f t="shared" si="7"/>
        <v>0</v>
      </c>
      <c r="I209" s="216" t="str">
        <f t="shared" si="8"/>
        <v/>
      </c>
      <c r="J209" s="216" t="str">
        <f t="array" ref="J209">IFERROR(IF(B209&lt;&gt;"",XLOOKUP(B209,FUNC!E:E,#REF!,"NO VIGENTE"),""),"")</f>
        <v/>
      </c>
    </row>
    <row r="210" ht="23.25" customHeight="1">
      <c r="A210" s="212"/>
      <c r="B210" s="212"/>
      <c r="C210" s="212"/>
      <c r="D210" s="212"/>
      <c r="E210" s="212"/>
      <c r="F210" s="212"/>
      <c r="G210" s="248"/>
      <c r="H210" s="240">
        <f t="shared" si="7"/>
        <v>0</v>
      </c>
      <c r="I210" s="216" t="str">
        <f t="shared" si="8"/>
        <v/>
      </c>
      <c r="J210" s="216" t="str">
        <f t="array" ref="J210">IFERROR(IF(B210&lt;&gt;"",XLOOKUP(B210,FUNC!E:E,#REF!,"NO VIGENTE"),""),"")</f>
        <v/>
      </c>
    </row>
    <row r="211" ht="23.25" customHeight="1">
      <c r="A211" s="212"/>
      <c r="B211" s="212"/>
      <c r="C211" s="212"/>
      <c r="D211" s="212"/>
      <c r="E211" s="212"/>
      <c r="F211" s="212"/>
      <c r="G211" s="248"/>
      <c r="H211" s="240">
        <f t="shared" si="7"/>
        <v>0</v>
      </c>
      <c r="I211" s="216" t="str">
        <f t="shared" si="8"/>
        <v/>
      </c>
      <c r="J211" s="216" t="str">
        <f t="array" ref="J211">IFERROR(IF(B211&lt;&gt;"",XLOOKUP(B211,FUNC!E:E,#REF!,"NO VIGENTE"),""),"")</f>
        <v/>
      </c>
    </row>
    <row r="212" ht="23.25" customHeight="1">
      <c r="A212" s="212"/>
      <c r="B212" s="212"/>
      <c r="C212" s="212"/>
      <c r="D212" s="212"/>
      <c r="E212" s="212"/>
      <c r="F212" s="212"/>
      <c r="G212" s="248"/>
      <c r="H212" s="240">
        <f t="shared" si="7"/>
        <v>0</v>
      </c>
      <c r="I212" s="216" t="str">
        <f t="shared" si="8"/>
        <v/>
      </c>
      <c r="J212" s="216" t="str">
        <f t="array" ref="J212">IFERROR(IF(B212&lt;&gt;"",XLOOKUP(B212,FUNC!E:E,#REF!,"NO VIGENTE"),""),"")</f>
        <v/>
      </c>
    </row>
    <row r="213" ht="23.25" customHeight="1">
      <c r="A213" s="212"/>
      <c r="B213" s="212"/>
      <c r="C213" s="212"/>
      <c r="D213" s="212"/>
      <c r="E213" s="212"/>
      <c r="F213" s="212"/>
      <c r="G213" s="248"/>
      <c r="H213" s="240">
        <f t="shared" si="7"/>
        <v>0</v>
      </c>
      <c r="I213" s="216" t="str">
        <f t="shared" si="8"/>
        <v/>
      </c>
      <c r="J213" s="216" t="str">
        <f t="array" ref="J213">IFERROR(IF(B213&lt;&gt;"",XLOOKUP(B213,FUNC!E:E,#REF!,"NO VIGENTE"),""),"")</f>
        <v/>
      </c>
    </row>
    <row r="214" ht="23.25" customHeight="1">
      <c r="A214" s="212"/>
      <c r="B214" s="212"/>
      <c r="C214" s="212"/>
      <c r="D214" s="212"/>
      <c r="E214" s="212"/>
      <c r="F214" s="212"/>
      <c r="G214" s="248"/>
      <c r="H214" s="240">
        <f t="shared" si="7"/>
        <v>0</v>
      </c>
      <c r="I214" s="216" t="str">
        <f t="shared" si="8"/>
        <v/>
      </c>
      <c r="J214" s="216" t="str">
        <f t="array" ref="J214">IFERROR(IF(B214&lt;&gt;"",XLOOKUP(B214,FUNC!E:E,#REF!,"NO VIGENTE"),""),"")</f>
        <v/>
      </c>
    </row>
    <row r="215" ht="23.25" customHeight="1">
      <c r="A215" s="212"/>
      <c r="B215" s="212"/>
      <c r="C215" s="212"/>
      <c r="D215" s="212"/>
      <c r="E215" s="212"/>
      <c r="F215" s="212"/>
      <c r="G215" s="248"/>
      <c r="H215" s="240">
        <f t="shared" si="7"/>
        <v>0</v>
      </c>
      <c r="I215" s="216" t="str">
        <f t="shared" si="8"/>
        <v/>
      </c>
      <c r="J215" s="216" t="str">
        <f t="array" ref="J215">IFERROR(IF(B215&lt;&gt;"",XLOOKUP(B215,FUNC!E:E,#REF!,"NO VIGENTE"),""),"")</f>
        <v/>
      </c>
    </row>
    <row r="216" ht="23.25" customHeight="1">
      <c r="A216" s="212"/>
      <c r="B216" s="212"/>
      <c r="C216" s="212"/>
      <c r="D216" s="212"/>
      <c r="E216" s="212"/>
      <c r="F216" s="212"/>
      <c r="G216" s="248"/>
      <c r="H216" s="240">
        <f t="shared" si="7"/>
        <v>0</v>
      </c>
      <c r="I216" s="216" t="str">
        <f t="shared" si="8"/>
        <v/>
      </c>
      <c r="J216" s="216" t="str">
        <f t="array" ref="J216">IFERROR(IF(B216&lt;&gt;"",XLOOKUP(B216,FUNC!E:E,#REF!,"NO VIGENTE"),""),"")</f>
        <v/>
      </c>
    </row>
    <row r="217" ht="23.25" customHeight="1">
      <c r="A217" s="212"/>
      <c r="B217" s="212"/>
      <c r="C217" s="212"/>
      <c r="D217" s="212"/>
      <c r="E217" s="212"/>
      <c r="F217" s="212"/>
      <c r="G217" s="248"/>
      <c r="H217" s="240">
        <f t="shared" si="7"/>
        <v>0</v>
      </c>
      <c r="I217" s="216" t="str">
        <f t="shared" si="8"/>
        <v/>
      </c>
      <c r="J217" s="216" t="str">
        <f t="array" ref="J217">IFERROR(IF(B217&lt;&gt;"",XLOOKUP(B217,FUNC!E:E,#REF!,"NO VIGENTE"),""),"")</f>
        <v/>
      </c>
    </row>
    <row r="218" ht="23.25" customHeight="1">
      <c r="A218" s="212"/>
      <c r="B218" s="212"/>
      <c r="C218" s="212"/>
      <c r="D218" s="212"/>
      <c r="E218" s="212"/>
      <c r="F218" s="212"/>
      <c r="G218" s="248"/>
      <c r="H218" s="240">
        <f t="shared" si="7"/>
        <v>0</v>
      </c>
      <c r="I218" s="216" t="str">
        <f t="shared" si="8"/>
        <v/>
      </c>
      <c r="J218" s="216" t="str">
        <f t="array" ref="J218">IFERROR(IF(B218&lt;&gt;"",XLOOKUP(B218,FUNC!E:E,#REF!,"NO VIGENTE"),""),"")</f>
        <v/>
      </c>
    </row>
    <row r="219" ht="23.25" customHeight="1">
      <c r="A219" s="212"/>
      <c r="B219" s="212"/>
      <c r="C219" s="212"/>
      <c r="D219" s="212"/>
      <c r="E219" s="212"/>
      <c r="F219" s="212"/>
      <c r="G219" s="248"/>
      <c r="H219" s="240">
        <f t="shared" si="7"/>
        <v>0</v>
      </c>
      <c r="I219" s="216" t="str">
        <f t="shared" si="8"/>
        <v/>
      </c>
      <c r="J219" s="216" t="str">
        <f t="array" ref="J219">IFERROR(IF(B219&lt;&gt;"",XLOOKUP(B219,FUNC!E:E,#REF!,"NO VIGENTE"),""),"")</f>
        <v/>
      </c>
    </row>
    <row r="220" ht="23.25" customHeight="1">
      <c r="A220" s="212"/>
      <c r="B220" s="212"/>
      <c r="C220" s="212"/>
      <c r="D220" s="212"/>
      <c r="E220" s="212"/>
      <c r="F220" s="212"/>
      <c r="G220" s="248"/>
      <c r="H220" s="240">
        <f t="shared" si="7"/>
        <v>0</v>
      </c>
      <c r="I220" s="216" t="str">
        <f t="shared" si="8"/>
        <v/>
      </c>
      <c r="J220" s="216" t="str">
        <f t="array" ref="J220">IFERROR(IF(B220&lt;&gt;"",XLOOKUP(B220,FUNC!E:E,#REF!,"NO VIGENTE"),""),"")</f>
        <v/>
      </c>
    </row>
    <row r="221" ht="23.25" customHeight="1">
      <c r="A221" s="212"/>
      <c r="B221" s="212"/>
      <c r="C221" s="212"/>
      <c r="D221" s="212"/>
      <c r="E221" s="212"/>
      <c r="F221" s="212"/>
      <c r="G221" s="248"/>
      <c r="H221" s="240">
        <f t="shared" si="7"/>
        <v>0</v>
      </c>
      <c r="I221" s="216" t="str">
        <f t="shared" si="8"/>
        <v/>
      </c>
      <c r="J221" s="216" t="str">
        <f t="array" ref="J221">IFERROR(IF(B221&lt;&gt;"",XLOOKUP(B221,FUNC!E:E,#REF!,"NO VIGENTE"),""),"")</f>
        <v/>
      </c>
    </row>
    <row r="222" ht="23.25" customHeight="1">
      <c r="A222" s="212"/>
      <c r="B222" s="212"/>
      <c r="C222" s="212"/>
      <c r="D222" s="212"/>
      <c r="E222" s="212"/>
      <c r="F222" s="212"/>
      <c r="G222" s="248"/>
      <c r="H222" s="240">
        <f t="shared" si="7"/>
        <v>0</v>
      </c>
      <c r="I222" s="216" t="str">
        <f t="shared" si="8"/>
        <v/>
      </c>
      <c r="J222" s="216" t="str">
        <f t="array" ref="J222">IFERROR(IF(B222&lt;&gt;"",XLOOKUP(B222,FUNC!E:E,#REF!,"NO VIGENTE"),""),"")</f>
        <v/>
      </c>
    </row>
    <row r="223" ht="23.25" customHeight="1">
      <c r="A223" s="212"/>
      <c r="B223" s="212"/>
      <c r="C223" s="212"/>
      <c r="D223" s="212"/>
      <c r="E223" s="212"/>
      <c r="F223" s="212"/>
      <c r="G223" s="248"/>
      <c r="H223" s="240">
        <f t="shared" si="7"/>
        <v>0</v>
      </c>
      <c r="I223" s="216" t="str">
        <f t="shared" si="8"/>
        <v/>
      </c>
      <c r="J223" s="216" t="str">
        <f t="array" ref="J223">IFERROR(IF(B223&lt;&gt;"",XLOOKUP(B223,FUNC!E:E,#REF!,"NO VIGENTE"),""),"")</f>
        <v/>
      </c>
    </row>
    <row r="224" ht="23.25" customHeight="1">
      <c r="A224" s="212"/>
      <c r="B224" s="212"/>
      <c r="C224" s="212"/>
      <c r="D224" s="212"/>
      <c r="E224" s="212"/>
      <c r="F224" s="212"/>
      <c r="G224" s="248"/>
      <c r="H224" s="240">
        <f t="shared" si="7"/>
        <v>0</v>
      </c>
      <c r="I224" s="216" t="str">
        <f t="shared" si="8"/>
        <v/>
      </c>
      <c r="J224" s="216" t="str">
        <f t="array" ref="J224">IFERROR(IF(B224&lt;&gt;"",XLOOKUP(B224,FUNC!E:E,#REF!,"NO VIGENTE"),""),"")</f>
        <v/>
      </c>
    </row>
    <row r="225" ht="23.25" customHeight="1">
      <c r="A225" s="212"/>
      <c r="B225" s="212"/>
      <c r="C225" s="212"/>
      <c r="D225" s="212"/>
      <c r="E225" s="212"/>
      <c r="F225" s="212"/>
      <c r="G225" s="248"/>
      <c r="H225" s="240">
        <f t="shared" si="7"/>
        <v>0</v>
      </c>
      <c r="I225" s="216" t="str">
        <f t="shared" si="8"/>
        <v/>
      </c>
      <c r="J225" s="216" t="str">
        <f t="array" ref="J225">IFERROR(IF(B225&lt;&gt;"",XLOOKUP(B225,FUNC!E:E,#REF!,"NO VIGENTE"),""),"")</f>
        <v/>
      </c>
    </row>
    <row r="226" ht="23.25" customHeight="1">
      <c r="A226" s="212"/>
      <c r="B226" s="212"/>
      <c r="C226" s="212"/>
      <c r="D226" s="212"/>
      <c r="E226" s="212"/>
      <c r="F226" s="212"/>
      <c r="G226" s="248"/>
      <c r="H226" s="240">
        <f t="shared" si="7"/>
        <v>0</v>
      </c>
      <c r="I226" s="216" t="str">
        <f t="shared" si="8"/>
        <v/>
      </c>
      <c r="J226" s="216" t="str">
        <f t="array" ref="J226">IFERROR(IF(B226&lt;&gt;"",XLOOKUP(B226,FUNC!E:E,#REF!,"NO VIGENTE"),""),"")</f>
        <v/>
      </c>
    </row>
    <row r="227" ht="23.25" customHeight="1">
      <c r="A227" s="212"/>
      <c r="B227" s="212"/>
      <c r="C227" s="212"/>
      <c r="D227" s="212"/>
      <c r="E227" s="212"/>
      <c r="F227" s="212"/>
      <c r="G227" s="248"/>
      <c r="H227" s="240">
        <f t="shared" si="7"/>
        <v>0</v>
      </c>
      <c r="I227" s="216" t="str">
        <f t="shared" si="8"/>
        <v/>
      </c>
      <c r="J227" s="216" t="str">
        <f t="array" ref="J227">IFERROR(IF(B227&lt;&gt;"",XLOOKUP(B227,FUNC!E:E,#REF!,"NO VIGENTE"),""),"")</f>
        <v/>
      </c>
    </row>
    <row r="228" ht="23.25" customHeight="1">
      <c r="A228" s="212"/>
      <c r="B228" s="212"/>
      <c r="C228" s="212"/>
      <c r="D228" s="212"/>
      <c r="E228" s="212"/>
      <c r="F228" s="212"/>
      <c r="G228" s="248"/>
      <c r="H228" s="240">
        <f t="shared" si="7"/>
        <v>0</v>
      </c>
      <c r="I228" s="216" t="str">
        <f t="shared" si="8"/>
        <v/>
      </c>
      <c r="J228" s="216" t="str">
        <f t="array" ref="J228">IFERROR(IF(B228&lt;&gt;"",XLOOKUP(B228,FUNC!E:E,#REF!,"NO VIGENTE"),""),"")</f>
        <v/>
      </c>
    </row>
    <row r="229" ht="23.25" customHeight="1">
      <c r="A229" s="212"/>
      <c r="B229" s="212"/>
      <c r="C229" s="212"/>
      <c r="D229" s="212"/>
      <c r="E229" s="212"/>
      <c r="F229" s="212"/>
      <c r="G229" s="248"/>
      <c r="H229" s="240">
        <f t="shared" si="7"/>
        <v>0</v>
      </c>
      <c r="I229" s="216" t="str">
        <f t="shared" si="8"/>
        <v/>
      </c>
      <c r="J229" s="216" t="str">
        <f t="array" ref="J229">IFERROR(IF(B229&lt;&gt;"",XLOOKUP(B229,FUNC!E:E,#REF!,"NO VIGENTE"),""),"")</f>
        <v/>
      </c>
    </row>
    <row r="230" ht="23.25" customHeight="1">
      <c r="A230" s="212"/>
      <c r="B230" s="212"/>
      <c r="C230" s="212"/>
      <c r="D230" s="212"/>
      <c r="E230" s="212"/>
      <c r="F230" s="212"/>
      <c r="G230" s="248"/>
      <c r="H230" s="240">
        <f t="shared" si="7"/>
        <v>0</v>
      </c>
      <c r="I230" s="216" t="str">
        <f t="shared" si="8"/>
        <v/>
      </c>
      <c r="J230" s="216" t="str">
        <f t="array" ref="J230">IFERROR(IF(B230&lt;&gt;"",XLOOKUP(B230,FUNC!E:E,#REF!,"NO VIGENTE"),""),"")</f>
        <v/>
      </c>
    </row>
    <row r="231" ht="23.25" customHeight="1">
      <c r="A231" s="212"/>
      <c r="B231" s="212"/>
      <c r="C231" s="212"/>
      <c r="D231" s="212"/>
      <c r="E231" s="212"/>
      <c r="F231" s="212"/>
      <c r="G231" s="248"/>
      <c r="H231" s="240">
        <f t="shared" si="7"/>
        <v>0</v>
      </c>
      <c r="I231" s="216" t="str">
        <f t="shared" si="8"/>
        <v/>
      </c>
      <c r="J231" s="216" t="str">
        <f t="array" ref="J231">IFERROR(IF(B231&lt;&gt;"",XLOOKUP(B231,FUNC!E:E,#REF!,"NO VIGENTE"),""),"")</f>
        <v/>
      </c>
    </row>
    <row r="232" ht="23.25" customHeight="1">
      <c r="A232" s="212"/>
      <c r="B232" s="212"/>
      <c r="C232" s="212"/>
      <c r="D232" s="212"/>
      <c r="E232" s="212"/>
      <c r="F232" s="212"/>
      <c r="G232" s="248"/>
      <c r="H232" s="240">
        <f t="shared" si="7"/>
        <v>0</v>
      </c>
      <c r="I232" s="216" t="str">
        <f t="shared" si="8"/>
        <v/>
      </c>
      <c r="J232" s="216" t="str">
        <f t="array" ref="J232">IFERROR(IF(B232&lt;&gt;"",XLOOKUP(B232,FUNC!E:E,#REF!,"NO VIGENTE"),""),"")</f>
        <v/>
      </c>
    </row>
    <row r="233" ht="23.25" customHeight="1">
      <c r="A233" s="212"/>
      <c r="B233" s="212"/>
      <c r="C233" s="212"/>
      <c r="D233" s="212"/>
      <c r="E233" s="212"/>
      <c r="F233" s="212"/>
      <c r="G233" s="248"/>
      <c r="H233" s="240">
        <f t="shared" si="7"/>
        <v>0</v>
      </c>
      <c r="I233" s="216" t="str">
        <f t="shared" si="8"/>
        <v/>
      </c>
      <c r="J233" s="216" t="str">
        <f t="array" ref="J233">IFERROR(IF(B233&lt;&gt;"",XLOOKUP(B233,FUNC!E:E,#REF!,"NO VIGENTE"),""),"")</f>
        <v/>
      </c>
    </row>
    <row r="234" ht="23.25" customHeight="1">
      <c r="A234" s="212"/>
      <c r="B234" s="212"/>
      <c r="C234" s="212"/>
      <c r="D234" s="212"/>
      <c r="E234" s="212"/>
      <c r="F234" s="212"/>
      <c r="G234" s="248"/>
      <c r="H234" s="240">
        <f t="shared" si="7"/>
        <v>0</v>
      </c>
      <c r="I234" s="216" t="str">
        <f t="shared" si="8"/>
        <v/>
      </c>
      <c r="J234" s="216" t="str">
        <f t="array" ref="J234">IFERROR(IF(B234&lt;&gt;"",XLOOKUP(B234,FUNC!E:E,#REF!,"NO VIGENTE"),""),"")</f>
        <v/>
      </c>
    </row>
    <row r="235" ht="23.25" customHeight="1">
      <c r="A235" s="212"/>
      <c r="B235" s="212"/>
      <c r="C235" s="212"/>
      <c r="D235" s="212"/>
      <c r="E235" s="212"/>
      <c r="F235" s="212"/>
      <c r="G235" s="248"/>
      <c r="H235" s="240">
        <f t="shared" si="7"/>
        <v>0</v>
      </c>
      <c r="I235" s="216" t="str">
        <f t="shared" si="8"/>
        <v/>
      </c>
      <c r="J235" s="216" t="str">
        <f t="array" ref="J235">IFERROR(IF(B235&lt;&gt;"",XLOOKUP(B235,FUNC!E:E,#REF!,"NO VIGENTE"),""),"")</f>
        <v/>
      </c>
    </row>
    <row r="236" ht="23.25" customHeight="1">
      <c r="A236" s="212"/>
      <c r="B236" s="212"/>
      <c r="C236" s="212"/>
      <c r="D236" s="212"/>
      <c r="E236" s="212"/>
      <c r="F236" s="212"/>
      <c r="G236" s="248"/>
      <c r="H236" s="240">
        <f t="shared" si="7"/>
        <v>0</v>
      </c>
      <c r="I236" s="216" t="str">
        <f t="shared" si="8"/>
        <v/>
      </c>
      <c r="J236" s="216" t="str">
        <f t="array" ref="J236">IFERROR(IF(B236&lt;&gt;"",XLOOKUP(B236,FUNC!E:E,#REF!,"NO VIGENTE"),""),"")</f>
        <v/>
      </c>
    </row>
    <row r="237" ht="23.25" customHeight="1">
      <c r="A237" s="212"/>
      <c r="B237" s="212"/>
      <c r="C237" s="212"/>
      <c r="D237" s="212"/>
      <c r="E237" s="212"/>
      <c r="F237" s="212"/>
      <c r="G237" s="248"/>
      <c r="H237" s="240">
        <f t="shared" si="7"/>
        <v>0</v>
      </c>
      <c r="I237" s="216" t="str">
        <f t="shared" si="8"/>
        <v/>
      </c>
      <c r="J237" s="216" t="str">
        <f t="array" ref="J237">IFERROR(IF(B237&lt;&gt;"",XLOOKUP(B237,FUNC!E:E,#REF!,"NO VIGENTE"),""),"")</f>
        <v/>
      </c>
    </row>
    <row r="238" ht="23.25" customHeight="1">
      <c r="A238" s="212"/>
      <c r="B238" s="212"/>
      <c r="C238" s="212"/>
      <c r="D238" s="212"/>
      <c r="E238" s="212"/>
      <c r="F238" s="212"/>
      <c r="G238" s="248"/>
      <c r="H238" s="240">
        <f t="shared" si="7"/>
        <v>0</v>
      </c>
      <c r="I238" s="216" t="str">
        <f t="shared" si="8"/>
        <v/>
      </c>
      <c r="J238" s="233" t="str">
        <f>CONCATENATE("NO VIGENTE = ",COUNTIF(J240:J540,"NO VIGENTE"))</f>
        <v>NO VIGENTE = 0</v>
      </c>
    </row>
    <row r="239" ht="23.25" customHeight="1">
      <c r="A239" s="212"/>
      <c r="B239" s="212"/>
      <c r="C239" s="212"/>
      <c r="D239" s="212"/>
      <c r="E239" s="212"/>
      <c r="F239" s="212"/>
      <c r="G239" s="248"/>
      <c r="H239" s="240">
        <f t="shared" si="7"/>
        <v>0</v>
      </c>
      <c r="I239" s="216" t="str">
        <f t="shared" si="8"/>
        <v/>
      </c>
      <c r="J239" s="209" t="s">
        <v>148</v>
      </c>
    </row>
    <row r="240" ht="23.25" customHeight="1">
      <c r="A240" s="212"/>
      <c r="B240" s="212"/>
      <c r="C240" s="212"/>
      <c r="D240" s="212"/>
      <c r="E240" s="212"/>
      <c r="F240" s="212"/>
      <c r="G240" s="248"/>
      <c r="H240" s="240">
        <f t="shared" si="7"/>
        <v>0</v>
      </c>
      <c r="I240" s="216" t="str">
        <f t="shared" si="8"/>
        <v/>
      </c>
      <c r="J240" s="216" t="str">
        <f t="array" ref="J240">IFERROR(IF(B240&lt;&gt;"",XLOOKUP(B240,FUNC!E:E,#REF!,"NO VIGENTE"),""),"")</f>
        <v/>
      </c>
    </row>
    <row r="241" ht="23.25" customHeight="1">
      <c r="A241" s="212"/>
      <c r="B241" s="212"/>
      <c r="C241" s="212"/>
      <c r="D241" s="212"/>
      <c r="E241" s="212"/>
      <c r="F241" s="212"/>
      <c r="G241" s="248"/>
      <c r="H241" s="240">
        <f t="shared" si="7"/>
        <v>0</v>
      </c>
      <c r="I241" s="216" t="str">
        <f t="shared" si="8"/>
        <v/>
      </c>
      <c r="J241" s="216" t="str">
        <f t="array" ref="J241">IFERROR(IF(B241&lt;&gt;"",XLOOKUP(B241,FUNC!E:E,#REF!,"NO VIGENTE"),""),"")</f>
        <v/>
      </c>
    </row>
    <row r="242" ht="23.25" customHeight="1">
      <c r="A242" s="212"/>
      <c r="B242" s="212"/>
      <c r="C242" s="212"/>
      <c r="D242" s="212"/>
      <c r="E242" s="212"/>
      <c r="F242" s="212"/>
      <c r="G242" s="248"/>
      <c r="H242" s="240">
        <f t="shared" si="7"/>
        <v>0</v>
      </c>
      <c r="I242" s="216" t="str">
        <f t="shared" si="8"/>
        <v/>
      </c>
      <c r="J242" s="216" t="str">
        <f t="array" ref="J242">IFERROR(IF(B242&lt;&gt;"",XLOOKUP(B242,FUNC!E:E,#REF!,"NO VIGENTE"),""),"")</f>
        <v/>
      </c>
    </row>
    <row r="243" ht="23.25" customHeight="1">
      <c r="A243" s="212"/>
      <c r="B243" s="212"/>
      <c r="C243" s="212"/>
      <c r="D243" s="212"/>
      <c r="E243" s="212"/>
      <c r="F243" s="212"/>
      <c r="G243" s="248"/>
      <c r="H243" s="240">
        <f t="shared" si="7"/>
        <v>0</v>
      </c>
      <c r="I243" s="216" t="str">
        <f t="shared" si="8"/>
        <v/>
      </c>
      <c r="J243" s="216" t="str">
        <f t="array" ref="J243">IFERROR(IF(B243&lt;&gt;"",XLOOKUP(B243,FUNC!E:E,#REF!,"NO VIGENTE"),""),"")</f>
        <v/>
      </c>
    </row>
    <row r="244" ht="23.25" customHeight="1">
      <c r="A244" s="212"/>
      <c r="B244" s="212"/>
      <c r="C244" s="212"/>
      <c r="D244" s="212"/>
      <c r="E244" s="212"/>
      <c r="F244" s="212"/>
      <c r="G244" s="248"/>
      <c r="H244" s="240">
        <f t="shared" si="7"/>
        <v>0</v>
      </c>
      <c r="I244" s="216" t="str">
        <f t="shared" si="8"/>
        <v/>
      </c>
      <c r="J244" s="216" t="str">
        <f t="array" ref="J244">IFERROR(IF(B244&lt;&gt;"",XLOOKUP(B244,FUNC!E:E,#REF!,"NO VIGENTE"),""),"")</f>
        <v/>
      </c>
    </row>
    <row r="245" ht="23.25" customHeight="1">
      <c r="A245" s="212"/>
      <c r="B245" s="212"/>
      <c r="C245" s="212"/>
      <c r="D245" s="212"/>
      <c r="E245" s="212"/>
      <c r="F245" s="212"/>
      <c r="G245" s="248"/>
      <c r="H245" s="240">
        <f t="shared" si="7"/>
        <v>0</v>
      </c>
      <c r="I245" s="216" t="str">
        <f t="shared" si="8"/>
        <v/>
      </c>
      <c r="J245" s="216" t="str">
        <f t="array" ref="J245">IFERROR(IF(B245&lt;&gt;"",XLOOKUP(B245,FUNC!E:E,#REF!,"NO VIGENTE"),""),"")</f>
        <v/>
      </c>
    </row>
    <row r="246" ht="23.25" customHeight="1">
      <c r="A246" s="212"/>
      <c r="B246" s="212"/>
      <c r="C246" s="212"/>
      <c r="D246" s="212"/>
      <c r="E246" s="212"/>
      <c r="F246" s="212"/>
      <c r="G246" s="248"/>
      <c r="H246" s="240">
        <f t="shared" si="7"/>
        <v>0</v>
      </c>
      <c r="I246" s="216" t="str">
        <f t="shared" si="8"/>
        <v/>
      </c>
      <c r="J246" s="216" t="str">
        <f t="array" ref="J246">IFERROR(IF(B246&lt;&gt;"",XLOOKUP(B246,FUNC!E:E,#REF!,"NO VIGENTE"),""),"")</f>
        <v/>
      </c>
    </row>
    <row r="247" ht="23.25" customHeight="1">
      <c r="A247" s="212"/>
      <c r="B247" s="212"/>
      <c r="C247" s="212"/>
      <c r="D247" s="212"/>
      <c r="E247" s="212"/>
      <c r="F247" s="212"/>
      <c r="G247" s="248"/>
      <c r="H247" s="240">
        <f t="shared" si="7"/>
        <v>0</v>
      </c>
      <c r="I247" s="216" t="str">
        <f t="shared" si="8"/>
        <v/>
      </c>
      <c r="J247" s="216" t="str">
        <f t="array" ref="J247">IFERROR(IF(B247&lt;&gt;"",XLOOKUP(B247,FUNC!E:E,#REF!,"NO VIGENTE"),""),"")</f>
        <v/>
      </c>
    </row>
    <row r="248" ht="23.25" customHeight="1">
      <c r="A248" s="212"/>
      <c r="B248" s="212"/>
      <c r="C248" s="212"/>
      <c r="D248" s="212"/>
      <c r="E248" s="212"/>
      <c r="F248" s="212"/>
      <c r="G248" s="248"/>
      <c r="H248" s="240">
        <f t="shared" si="7"/>
        <v>0</v>
      </c>
      <c r="I248" s="216" t="str">
        <f t="shared" si="8"/>
        <v/>
      </c>
      <c r="J248" s="216" t="str">
        <f t="array" ref="J248">IFERROR(IF(B248&lt;&gt;"",XLOOKUP(B248,FUNC!E:E,#REF!,"NO VIGENTE"),""),"")</f>
        <v/>
      </c>
    </row>
    <row r="249" ht="23.25" customHeight="1">
      <c r="A249" s="212"/>
      <c r="B249" s="212"/>
      <c r="C249" s="212"/>
      <c r="D249" s="212"/>
      <c r="E249" s="212"/>
      <c r="F249" s="212"/>
      <c r="G249" s="248"/>
      <c r="H249" s="240">
        <f t="shared" si="7"/>
        <v>0</v>
      </c>
      <c r="I249" s="216" t="str">
        <f t="shared" si="8"/>
        <v/>
      </c>
      <c r="J249" s="216" t="str">
        <f t="array" ref="J249">IFERROR(IF(B249&lt;&gt;"",XLOOKUP(B249,FUNC!E:E,#REF!,"NO VIGENTE"),""),"")</f>
        <v/>
      </c>
    </row>
    <row r="250" ht="23.25" customHeight="1">
      <c r="A250" s="212"/>
      <c r="B250" s="212"/>
      <c r="C250" s="212"/>
      <c r="D250" s="212"/>
      <c r="E250" s="212"/>
      <c r="F250" s="212"/>
      <c r="G250" s="248"/>
      <c r="H250" s="240">
        <f t="shared" si="7"/>
        <v>0</v>
      </c>
      <c r="I250" s="216" t="str">
        <f t="shared" si="8"/>
        <v/>
      </c>
      <c r="J250" s="216" t="str">
        <f t="array" ref="J250">IFERROR(IF(B250&lt;&gt;"",XLOOKUP(B250,FUNC!E:E,#REF!,"NO VIGENTE"),""),"")</f>
        <v/>
      </c>
    </row>
    <row r="251" ht="23.25" customHeight="1">
      <c r="A251" s="212"/>
      <c r="B251" s="212"/>
      <c r="C251" s="212"/>
      <c r="D251" s="212"/>
      <c r="E251" s="212"/>
      <c r="F251" s="212"/>
      <c r="G251" s="248"/>
      <c r="H251" s="240">
        <f t="shared" si="7"/>
        <v>0</v>
      </c>
      <c r="I251" s="216" t="str">
        <f t="shared" si="8"/>
        <v/>
      </c>
      <c r="J251" s="216" t="str">
        <f t="array" ref="J251">IFERROR(IF(B251&lt;&gt;"",XLOOKUP(B251,FUNC!E:E,#REF!,"NO VIGENTE"),""),"")</f>
        <v/>
      </c>
    </row>
    <row r="252" ht="23.25" customHeight="1">
      <c r="A252" s="212"/>
      <c r="B252" s="212"/>
      <c r="C252" s="212"/>
      <c r="D252" s="212"/>
      <c r="E252" s="212"/>
      <c r="F252" s="212"/>
      <c r="G252" s="248"/>
      <c r="H252" s="240">
        <f t="shared" si="7"/>
        <v>0</v>
      </c>
      <c r="I252" s="216" t="str">
        <f t="shared" si="8"/>
        <v/>
      </c>
      <c r="J252" s="216" t="str">
        <f t="array" ref="J252">IFERROR(IF(B252&lt;&gt;"",XLOOKUP(B252,FUNC!E:E,#REF!,"NO VIGENTE"),""),"")</f>
        <v/>
      </c>
    </row>
    <row r="253" ht="23.25" customHeight="1">
      <c r="A253" s="212"/>
      <c r="B253" s="212"/>
      <c r="C253" s="212"/>
      <c r="D253" s="212"/>
      <c r="E253" s="212"/>
      <c r="F253" s="212"/>
      <c r="G253" s="248"/>
      <c r="H253" s="240">
        <f t="shared" si="7"/>
        <v>0</v>
      </c>
      <c r="I253" s="216" t="str">
        <f t="shared" si="8"/>
        <v/>
      </c>
      <c r="J253" s="216" t="str">
        <f t="array" ref="J253">IFERROR(IF(B253&lt;&gt;"",XLOOKUP(B253,FUNC!E:E,#REF!,"NO VIGENTE"),""),"")</f>
        <v/>
      </c>
    </row>
    <row r="254" ht="23.25" customHeight="1">
      <c r="A254" s="212"/>
      <c r="B254" s="212"/>
      <c r="C254" s="212"/>
      <c r="D254" s="212"/>
      <c r="E254" s="212"/>
      <c r="F254" s="212"/>
      <c r="G254" s="248"/>
      <c r="H254" s="240">
        <f t="shared" si="7"/>
        <v>0</v>
      </c>
      <c r="I254" s="216" t="str">
        <f t="shared" si="8"/>
        <v/>
      </c>
      <c r="J254" s="216" t="str">
        <f t="array" ref="J254">IFERROR(IF(B254&lt;&gt;"",XLOOKUP(B254,FUNC!E:E,#REF!,"NO VIGENTE"),""),"")</f>
        <v/>
      </c>
    </row>
    <row r="255" ht="23.25" customHeight="1">
      <c r="A255" s="212"/>
      <c r="B255" s="212"/>
      <c r="C255" s="212"/>
      <c r="D255" s="212"/>
      <c r="E255" s="212"/>
      <c r="F255" s="212"/>
      <c r="G255" s="248"/>
      <c r="H255" s="240">
        <f t="shared" si="7"/>
        <v>0</v>
      </c>
      <c r="I255" s="216" t="str">
        <f t="shared" si="8"/>
        <v/>
      </c>
      <c r="J255" s="216" t="str">
        <f t="array" ref="J255">IFERROR(IF(B255&lt;&gt;"",XLOOKUP(B255,FUNC!E:E,#REF!,"NO VIGENTE"),""),"")</f>
        <v/>
      </c>
    </row>
    <row r="256" ht="23.25" customHeight="1">
      <c r="A256" s="212"/>
      <c r="B256" s="212"/>
      <c r="C256" s="212"/>
      <c r="D256" s="212"/>
      <c r="E256" s="212"/>
      <c r="F256" s="212"/>
      <c r="G256" s="248"/>
      <c r="H256" s="240">
        <f t="shared" si="7"/>
        <v>0</v>
      </c>
      <c r="I256" s="216" t="str">
        <f t="shared" si="8"/>
        <v/>
      </c>
      <c r="J256" s="216" t="str">
        <f t="array" ref="J256">IFERROR(IF(B256&lt;&gt;"",XLOOKUP(B256,FUNC!E:E,#REF!,"NO VIGENTE"),""),"")</f>
        <v/>
      </c>
    </row>
    <row r="257" ht="23.25" customHeight="1">
      <c r="A257" s="212"/>
      <c r="B257" s="212"/>
      <c r="C257" s="212"/>
      <c r="D257" s="212"/>
      <c r="E257" s="212"/>
      <c r="F257" s="212"/>
      <c r="G257" s="248"/>
      <c r="H257" s="240">
        <f t="shared" si="7"/>
        <v>0</v>
      </c>
      <c r="I257" s="216" t="str">
        <f t="shared" si="8"/>
        <v/>
      </c>
      <c r="J257" s="216" t="str">
        <f t="array" ref="J257">IFERROR(IF(B257&lt;&gt;"",XLOOKUP(B257,FUNC!E:E,#REF!,"NO VIGENTE"),""),"")</f>
        <v/>
      </c>
    </row>
    <row r="258" ht="23.25" customHeight="1">
      <c r="A258" s="212"/>
      <c r="B258" s="212"/>
      <c r="C258" s="212"/>
      <c r="D258" s="212"/>
      <c r="E258" s="212"/>
      <c r="F258" s="212"/>
      <c r="G258" s="248"/>
      <c r="H258" s="240">
        <f t="shared" si="7"/>
        <v>0</v>
      </c>
      <c r="I258" s="216" t="str">
        <f t="shared" si="8"/>
        <v/>
      </c>
      <c r="J258" s="216" t="str">
        <f t="array" ref="J258">IFERROR(IF(B258&lt;&gt;"",XLOOKUP(B258,FUNC!E:E,#REF!,"NO VIGENTE"),""),"")</f>
        <v/>
      </c>
    </row>
    <row r="259" ht="23.25" customHeight="1">
      <c r="A259" s="212"/>
      <c r="B259" s="212"/>
      <c r="C259" s="212"/>
      <c r="D259" s="212"/>
      <c r="E259" s="212"/>
      <c r="F259" s="212"/>
      <c r="G259" s="248"/>
      <c r="H259" s="240">
        <f t="shared" si="7"/>
        <v>0</v>
      </c>
      <c r="I259" s="216" t="str">
        <f t="shared" si="8"/>
        <v/>
      </c>
      <c r="J259" s="216" t="str">
        <f t="array" ref="J259">IFERROR(IF(B259&lt;&gt;"",XLOOKUP(B259,FUNC!E:E,#REF!,"NO VIGENTE"),""),"")</f>
        <v/>
      </c>
    </row>
    <row r="260" ht="23.25" customHeight="1">
      <c r="A260" s="212"/>
      <c r="B260" s="212"/>
      <c r="C260" s="212"/>
      <c r="D260" s="212"/>
      <c r="E260" s="212"/>
      <c r="F260" s="212"/>
      <c r="G260" s="248"/>
      <c r="H260" s="240">
        <f t="shared" si="7"/>
        <v>0</v>
      </c>
      <c r="I260" s="216" t="str">
        <f t="shared" si="8"/>
        <v/>
      </c>
      <c r="J260" s="216" t="str">
        <f t="array" ref="J260">IFERROR(IF(B260&lt;&gt;"",XLOOKUP(B260,FUNC!E:E,#REF!,"NO VIGENTE"),""),"")</f>
        <v/>
      </c>
    </row>
    <row r="261" ht="23.25" customHeight="1">
      <c r="A261" s="212"/>
      <c r="B261" s="212"/>
      <c r="C261" s="212"/>
      <c r="D261" s="212"/>
      <c r="E261" s="212"/>
      <c r="F261" s="212"/>
      <c r="G261" s="248"/>
      <c r="H261" s="240">
        <f t="shared" si="7"/>
        <v>0</v>
      </c>
      <c r="I261" s="216" t="str">
        <f t="shared" si="8"/>
        <v/>
      </c>
      <c r="J261" s="216" t="str">
        <f t="array" ref="J261">IFERROR(IF(B261&lt;&gt;"",XLOOKUP(B261,FUNC!E:E,#REF!,"NO VIGENTE"),""),"")</f>
        <v/>
      </c>
    </row>
    <row r="262" ht="23.25" customHeight="1">
      <c r="A262" s="212"/>
      <c r="B262" s="212"/>
      <c r="C262" s="212"/>
      <c r="D262" s="212"/>
      <c r="E262" s="212"/>
      <c r="F262" s="212"/>
      <c r="G262" s="248"/>
      <c r="H262" s="240">
        <f t="shared" si="7"/>
        <v>0</v>
      </c>
      <c r="I262" s="216" t="str">
        <f t="shared" si="8"/>
        <v/>
      </c>
      <c r="J262" s="216" t="str">
        <f t="array" ref="J262">IFERROR(IF(B262&lt;&gt;"",XLOOKUP(B262,FUNC!E:E,#REF!,"NO VIGENTE"),""),"")</f>
        <v/>
      </c>
    </row>
    <row r="263" ht="23.25" customHeight="1">
      <c r="A263" s="212"/>
      <c r="B263" s="212"/>
      <c r="C263" s="212"/>
      <c r="D263" s="212"/>
      <c r="E263" s="212"/>
      <c r="F263" s="212"/>
      <c r="G263" s="248"/>
      <c r="H263" s="240">
        <f t="shared" si="7"/>
        <v>0</v>
      </c>
      <c r="I263" s="216" t="str">
        <f t="shared" si="8"/>
        <v/>
      </c>
      <c r="J263" s="216" t="str">
        <f t="array" ref="J263">IFERROR(IF(B263&lt;&gt;"",XLOOKUP(B263,FUNC!E:E,#REF!,"NO VIGENTE"),""),"")</f>
        <v/>
      </c>
    </row>
    <row r="264" ht="23.25" customHeight="1">
      <c r="A264" s="53"/>
      <c r="B264" s="53"/>
      <c r="C264" s="53"/>
      <c r="D264" s="53"/>
      <c r="E264" s="53"/>
      <c r="F264" s="53"/>
      <c r="G264" s="251"/>
      <c r="H264" s="270"/>
      <c r="I264" s="216"/>
      <c r="J264" s="216" t="str">
        <f t="array" ref="J264">IFERROR(IF(B264&lt;&gt;"",XLOOKUP(B264,FUNC!E:E,#REF!,"NO VIGENTE"),""),"")</f>
        <v/>
      </c>
    </row>
    <row r="265" ht="23.25" customHeight="1">
      <c r="A265" s="53"/>
      <c r="B265" s="53"/>
      <c r="C265" s="53"/>
      <c r="D265" s="53"/>
      <c r="E265" s="53"/>
      <c r="F265" s="53"/>
      <c r="G265" s="251"/>
      <c r="H265" s="270"/>
      <c r="I265" s="216"/>
      <c r="J265" s="216" t="str">
        <f t="array" ref="J265">IFERROR(IF(B265&lt;&gt;"",XLOOKUP(B265,FUNC!E:E,#REF!,"NO VIGENTE"),""),"")</f>
        <v/>
      </c>
    </row>
    <row r="266" ht="23.25" customHeight="1">
      <c r="A266" s="53"/>
      <c r="B266" s="53"/>
      <c r="C266" s="53"/>
      <c r="D266" s="53"/>
      <c r="E266" s="53"/>
      <c r="F266" s="53"/>
      <c r="G266" s="251"/>
      <c r="H266" s="270"/>
      <c r="I266" s="216"/>
      <c r="J266" s="216" t="str">
        <f t="array" ref="J266">IFERROR(IF(B266&lt;&gt;"",XLOOKUP(B266,FUNC!E:E,#REF!,"NO VIGENTE"),""),"")</f>
        <v/>
      </c>
    </row>
    <row r="267" ht="23.25" customHeight="1">
      <c r="A267" s="53"/>
      <c r="B267" s="53"/>
      <c r="C267" s="53"/>
      <c r="D267" s="53"/>
      <c r="E267" s="53"/>
      <c r="F267" s="53"/>
      <c r="G267" s="251"/>
      <c r="H267" s="270"/>
      <c r="I267" s="216"/>
      <c r="J267" s="216" t="str">
        <f t="array" ref="J267">IFERROR(IF(B267&lt;&gt;"",XLOOKUP(B267,FUNC!E:E,#REF!,"NO VIGENTE"),""),"")</f>
        <v/>
      </c>
    </row>
    <row r="268" ht="23.25" customHeight="1">
      <c r="A268" s="53"/>
      <c r="B268" s="53"/>
      <c r="C268" s="53"/>
      <c r="D268" s="53"/>
      <c r="E268" s="53"/>
      <c r="F268" s="53"/>
      <c r="G268" s="251"/>
      <c r="H268" s="270"/>
      <c r="I268" s="216"/>
      <c r="J268" s="216" t="str">
        <f t="array" ref="J268">IFERROR(IF(B268&lt;&gt;"",XLOOKUP(B268,FUNC!E:E,#REF!,"NO VIGENTE"),""),"")</f>
        <v/>
      </c>
    </row>
    <row r="269" ht="23.25" customHeight="1">
      <c r="A269" s="53"/>
      <c r="B269" s="53"/>
      <c r="C269" s="53"/>
      <c r="D269" s="53"/>
      <c r="E269" s="53"/>
      <c r="F269" s="53"/>
      <c r="G269" s="251"/>
      <c r="H269" s="270"/>
      <c r="I269" s="216"/>
      <c r="J269" s="216" t="str">
        <f t="array" ref="J269">IFERROR(IF(B269&lt;&gt;"",XLOOKUP(B269,FUNC!E:E,#REF!,"NO VIGENTE"),""),"")</f>
        <v/>
      </c>
    </row>
    <row r="270" ht="23.25" customHeight="1">
      <c r="A270" s="53"/>
      <c r="B270" s="53"/>
      <c r="C270" s="53"/>
      <c r="D270" s="53"/>
      <c r="E270" s="53"/>
      <c r="F270" s="53"/>
      <c r="G270" s="251"/>
      <c r="H270" s="270"/>
      <c r="I270" s="216"/>
      <c r="J270" s="216" t="str">
        <f t="array" ref="J270">IFERROR(IF(B270&lt;&gt;"",XLOOKUP(B270,FUNC!E:E,#REF!,"NO VIGENTE"),""),"")</f>
        <v/>
      </c>
    </row>
    <row r="271" ht="23.25" customHeight="1">
      <c r="A271" s="53"/>
      <c r="B271" s="53"/>
      <c r="C271" s="53"/>
      <c r="D271" s="53"/>
      <c r="E271" s="53"/>
      <c r="F271" s="53"/>
      <c r="G271" s="251"/>
      <c r="H271" s="270"/>
      <c r="I271" s="216"/>
      <c r="J271" s="216" t="str">
        <f t="array" ref="J271">IFERROR(IF(B271&lt;&gt;"",XLOOKUP(B271,FUNC!E:E,#REF!,"NO VIGENTE"),""),"")</f>
        <v/>
      </c>
    </row>
    <row r="272" ht="23.25" customHeight="1">
      <c r="A272" s="53"/>
      <c r="B272" s="53"/>
      <c r="C272" s="53"/>
      <c r="D272" s="53"/>
      <c r="E272" s="53"/>
      <c r="F272" s="53"/>
      <c r="G272" s="251"/>
      <c r="H272" s="270"/>
      <c r="I272" s="216"/>
      <c r="J272" s="216" t="str">
        <f t="array" ref="J272">IFERROR(IF(B272&lt;&gt;"",XLOOKUP(B272,FUNC!E:E,#REF!,"NO VIGENTE"),""),"")</f>
        <v/>
      </c>
    </row>
    <row r="273" ht="23.25" customHeight="1">
      <c r="A273" s="53"/>
      <c r="B273" s="53"/>
      <c r="C273" s="53"/>
      <c r="D273" s="53"/>
      <c r="E273" s="53"/>
      <c r="F273" s="53"/>
      <c r="G273" s="251"/>
      <c r="H273" s="270"/>
      <c r="I273" s="216"/>
      <c r="J273" s="216" t="str">
        <f t="array" ref="J273">IFERROR(IF(B273&lt;&gt;"",XLOOKUP(B273,FUNC!E:E,#REF!,"NO VIGENTE"),""),"")</f>
        <v/>
      </c>
    </row>
    <row r="274" ht="23.25" customHeight="1">
      <c r="A274" s="53"/>
      <c r="B274" s="53"/>
      <c r="C274" s="53"/>
      <c r="D274" s="53"/>
      <c r="E274" s="53"/>
      <c r="F274" s="53"/>
      <c r="G274" s="251"/>
      <c r="H274" s="270"/>
      <c r="I274" s="216"/>
      <c r="J274" s="216" t="str">
        <f t="array" ref="J274">IFERROR(IF(B274&lt;&gt;"",XLOOKUP(B274,FUNC!E:E,#REF!,"NO VIGENTE"),""),"")</f>
        <v/>
      </c>
    </row>
    <row r="275" ht="23.25" customHeight="1">
      <c r="A275" s="53"/>
      <c r="B275" s="53"/>
      <c r="C275" s="53"/>
      <c r="D275" s="53"/>
      <c r="E275" s="53"/>
      <c r="F275" s="53"/>
      <c r="G275" s="251"/>
      <c r="H275" s="270"/>
      <c r="I275" s="216"/>
      <c r="J275" s="216" t="str">
        <f t="array" ref="J275">IFERROR(IF(B275&lt;&gt;"",XLOOKUP(B275,FUNC!E:E,#REF!,"NO VIGENTE"),""),"")</f>
        <v/>
      </c>
    </row>
    <row r="276" ht="23.25" customHeight="1">
      <c r="A276" s="53"/>
      <c r="B276" s="53"/>
      <c r="C276" s="53"/>
      <c r="D276" s="53"/>
      <c r="E276" s="53"/>
      <c r="F276" s="53"/>
      <c r="G276" s="251"/>
      <c r="H276" s="270"/>
      <c r="I276" s="216"/>
      <c r="J276" s="216" t="str">
        <f t="array" ref="J276">IFERROR(IF(B276&lt;&gt;"",XLOOKUP(B276,FUNC!E:E,#REF!,"NO VIGENTE"),""),"")</f>
        <v/>
      </c>
    </row>
    <row r="277" ht="23.25" customHeight="1">
      <c r="A277" s="53"/>
      <c r="B277" s="53"/>
      <c r="C277" s="53"/>
      <c r="D277" s="53"/>
      <c r="E277" s="53"/>
      <c r="F277" s="53"/>
      <c r="G277" s="251"/>
      <c r="H277" s="270"/>
      <c r="I277" s="216"/>
      <c r="J277" s="216" t="str">
        <f t="array" ref="J277">IFERROR(IF(B277&lt;&gt;"",XLOOKUP(B277,FUNC!E:E,#REF!,"NO VIGENTE"),""),"")</f>
        <v/>
      </c>
    </row>
    <row r="278" ht="23.25" customHeight="1">
      <c r="A278" s="53"/>
      <c r="B278" s="53"/>
      <c r="C278" s="53"/>
      <c r="D278" s="53"/>
      <c r="E278" s="53"/>
      <c r="F278" s="53"/>
      <c r="G278" s="251"/>
      <c r="H278" s="270"/>
      <c r="I278" s="216"/>
      <c r="J278" s="216" t="str">
        <f t="array" ref="J278">IFERROR(IF(B278&lt;&gt;"",XLOOKUP(B278,FUNC!E:E,#REF!,"NO VIGENTE"),""),"")</f>
        <v/>
      </c>
    </row>
    <row r="279" ht="23.25" customHeight="1">
      <c r="A279" s="53"/>
      <c r="B279" s="53"/>
      <c r="C279" s="53"/>
      <c r="D279" s="53"/>
      <c r="E279" s="53"/>
      <c r="F279" s="53"/>
      <c r="G279" s="251"/>
      <c r="H279" s="270"/>
      <c r="I279" s="216"/>
      <c r="J279" s="216" t="str">
        <f t="array" ref="J279">IFERROR(IF(B279&lt;&gt;"",XLOOKUP(B279,FUNC!E:E,#REF!,"NO VIGENTE"),""),"")</f>
        <v/>
      </c>
    </row>
    <row r="280" ht="23.25" customHeight="1">
      <c r="A280" s="53"/>
      <c r="B280" s="53"/>
      <c r="C280" s="53"/>
      <c r="D280" s="53"/>
      <c r="E280" s="53"/>
      <c r="F280" s="53"/>
      <c r="G280" s="251"/>
      <c r="H280" s="270"/>
      <c r="I280" s="216"/>
      <c r="J280" s="216" t="str">
        <f t="array" ref="J280">IFERROR(IF(B280&lt;&gt;"",XLOOKUP(B280,FUNC!E:E,#REF!,"NO VIGENTE"),""),"")</f>
        <v/>
      </c>
    </row>
    <row r="281" ht="23.25" customHeight="1">
      <c r="A281" s="53"/>
      <c r="B281" s="53"/>
      <c r="C281" s="53"/>
      <c r="D281" s="53"/>
      <c r="E281" s="53"/>
      <c r="F281" s="53"/>
      <c r="G281" s="251"/>
      <c r="H281" s="270"/>
      <c r="I281" s="216"/>
      <c r="J281" s="216" t="str">
        <f t="array" ref="J281">IFERROR(IF(B281&lt;&gt;"",XLOOKUP(B281,FUNC!E:E,#REF!,"NO VIGENTE"),""),"")</f>
        <v/>
      </c>
    </row>
    <row r="282" ht="23.25" customHeight="1">
      <c r="A282" s="53"/>
      <c r="B282" s="53"/>
      <c r="C282" s="53"/>
      <c r="D282" s="53"/>
      <c r="E282" s="53"/>
      <c r="F282" s="53"/>
      <c r="G282" s="251"/>
      <c r="H282" s="270"/>
      <c r="I282" s="216"/>
      <c r="J282" s="216" t="str">
        <f t="array" ref="J282">IFERROR(IF(B282&lt;&gt;"",XLOOKUP(B282,FUNC!E:E,#REF!,"NO VIGENTE"),""),"")</f>
        <v/>
      </c>
    </row>
    <row r="283" ht="23.25" customHeight="1">
      <c r="A283" s="53"/>
      <c r="B283" s="53"/>
      <c r="C283" s="53"/>
      <c r="D283" s="53"/>
      <c r="E283" s="53"/>
      <c r="F283" s="53"/>
      <c r="G283" s="251"/>
      <c r="H283" s="270"/>
      <c r="I283" s="216"/>
      <c r="J283" s="216" t="str">
        <f t="array" ref="J283">IFERROR(IF(B283&lt;&gt;"",XLOOKUP(B283,FUNC!E:E,#REF!,"NO VIGENTE"),""),"")</f>
        <v/>
      </c>
    </row>
    <row r="284" ht="23.25" customHeight="1">
      <c r="A284" s="53"/>
      <c r="B284" s="53"/>
      <c r="C284" s="53"/>
      <c r="D284" s="53"/>
      <c r="E284" s="53"/>
      <c r="F284" s="53"/>
      <c r="G284" s="251"/>
      <c r="H284" s="270"/>
      <c r="I284" s="216"/>
      <c r="J284" s="216" t="str">
        <f t="array" ref="J284">IFERROR(IF(B284&lt;&gt;"",XLOOKUP(B284,FUNC!E:E,#REF!,"NO VIGENTE"),""),"")</f>
        <v/>
      </c>
    </row>
    <row r="285" ht="23.25" customHeight="1">
      <c r="A285" s="53"/>
      <c r="B285" s="53"/>
      <c r="C285" s="53"/>
      <c r="D285" s="53"/>
      <c r="E285" s="53"/>
      <c r="F285" s="53"/>
      <c r="G285" s="251"/>
      <c r="H285" s="270"/>
      <c r="I285" s="216"/>
      <c r="J285" s="216" t="str">
        <f t="array" ref="J285">IFERROR(IF(B285&lt;&gt;"",XLOOKUP(B285,FUNC!E:E,#REF!,"NO VIGENTE"),""),"")</f>
        <v/>
      </c>
    </row>
    <row r="286" ht="23.25" customHeight="1">
      <c r="A286" s="53"/>
      <c r="B286" s="53"/>
      <c r="C286" s="53"/>
      <c r="D286" s="53"/>
      <c r="E286" s="53"/>
      <c r="F286" s="53"/>
      <c r="G286" s="251"/>
      <c r="H286" s="270"/>
      <c r="I286" s="216"/>
      <c r="J286" s="216" t="str">
        <f t="array" ref="J286">IFERROR(IF(B286&lt;&gt;"",XLOOKUP(B286,FUNC!E:E,#REF!,"NO VIGENTE"),""),"")</f>
        <v/>
      </c>
    </row>
    <row r="287" ht="23.25" customHeight="1">
      <c r="A287" s="53"/>
      <c r="B287" s="53"/>
      <c r="C287" s="53"/>
      <c r="D287" s="53"/>
      <c r="E287" s="53"/>
      <c r="F287" s="53"/>
      <c r="G287" s="251"/>
      <c r="H287" s="270"/>
      <c r="I287" s="216"/>
      <c r="J287" s="216" t="str">
        <f t="array" ref="J287">IFERROR(IF(B287&lt;&gt;"",XLOOKUP(B287,FUNC!E:E,#REF!,"NO VIGENTE"),""),"")</f>
        <v/>
      </c>
    </row>
    <row r="288" ht="23.25" customHeight="1">
      <c r="A288" s="53"/>
      <c r="B288" s="53"/>
      <c r="C288" s="53"/>
      <c r="D288" s="53"/>
      <c r="E288" s="53"/>
      <c r="F288" s="53"/>
      <c r="G288" s="251"/>
      <c r="H288" s="270"/>
      <c r="I288" s="216"/>
      <c r="J288" s="216" t="str">
        <f t="array" ref="J288">IFERROR(IF(B288&lt;&gt;"",XLOOKUP(B288,FUNC!E:E,#REF!,"NO VIGENTE"),""),"")</f>
        <v/>
      </c>
    </row>
    <row r="289" ht="23.25" customHeight="1">
      <c r="A289" s="53"/>
      <c r="B289" s="53"/>
      <c r="C289" s="53"/>
      <c r="D289" s="53"/>
      <c r="E289" s="53"/>
      <c r="F289" s="53"/>
      <c r="G289" s="251"/>
      <c r="H289" s="270"/>
      <c r="I289" s="216"/>
      <c r="J289" s="216" t="str">
        <f t="array" ref="J289">IFERROR(IF(B289&lt;&gt;"",XLOOKUP(B289,FUNC!E:E,#REF!,"NO VIGENTE"),""),"")</f>
        <v/>
      </c>
    </row>
    <row r="290" ht="23.25" customHeight="1">
      <c r="A290" s="53"/>
      <c r="B290" s="53"/>
      <c r="C290" s="53"/>
      <c r="D290" s="53"/>
      <c r="E290" s="53"/>
      <c r="F290" s="53"/>
      <c r="G290" s="251"/>
      <c r="H290" s="270"/>
      <c r="I290" s="216"/>
      <c r="J290" s="216" t="str">
        <f t="array" ref="J290">IFERROR(IF(B290&lt;&gt;"",XLOOKUP(B290,FUNC!E:E,#REF!,"NO VIGENTE"),""),"")</f>
        <v/>
      </c>
    </row>
    <row r="291" ht="23.25" customHeight="1">
      <c r="A291" s="53"/>
      <c r="B291" s="53"/>
      <c r="C291" s="53"/>
      <c r="D291" s="53"/>
      <c r="E291" s="53"/>
      <c r="F291" s="53"/>
      <c r="G291" s="251"/>
      <c r="H291" s="270"/>
      <c r="I291" s="216"/>
      <c r="J291" s="216" t="str">
        <f t="array" ref="J291">IFERROR(IF(B291&lt;&gt;"",XLOOKUP(B291,FUNC!E:E,#REF!,"NO VIGENTE"),""),"")</f>
        <v/>
      </c>
    </row>
    <row r="292" ht="23.25" customHeight="1">
      <c r="A292" s="53"/>
      <c r="B292" s="53"/>
      <c r="C292" s="53"/>
      <c r="D292" s="53"/>
      <c r="E292" s="53"/>
      <c r="F292" s="53"/>
      <c r="G292" s="251"/>
      <c r="H292" s="270"/>
      <c r="I292" s="216"/>
      <c r="J292" s="216" t="str">
        <f t="array" ref="J292">IFERROR(IF(B292&lt;&gt;"",XLOOKUP(B292,FUNC!E:E,#REF!,"NO VIGENTE"),""),"")</f>
        <v/>
      </c>
    </row>
    <row r="293" ht="23.25" customHeight="1">
      <c r="A293" s="53"/>
      <c r="B293" s="53"/>
      <c r="C293" s="53"/>
      <c r="D293" s="53"/>
      <c r="E293" s="53"/>
      <c r="F293" s="53"/>
      <c r="G293" s="251"/>
      <c r="H293" s="270"/>
      <c r="I293" s="216"/>
      <c r="J293" s="216" t="str">
        <f t="array" ref="J293">IFERROR(IF(B293&lt;&gt;"",XLOOKUP(B293,FUNC!E:E,#REF!,"NO VIGENTE"),""),"")</f>
        <v/>
      </c>
    </row>
    <row r="294" ht="23.25" customHeight="1">
      <c r="A294" s="53"/>
      <c r="B294" s="53"/>
      <c r="C294" s="53"/>
      <c r="D294" s="53"/>
      <c r="E294" s="53"/>
      <c r="F294" s="53"/>
      <c r="G294" s="251"/>
      <c r="H294" s="270"/>
      <c r="I294" s="216"/>
      <c r="J294" s="216" t="str">
        <f t="array" ref="J294">IFERROR(IF(B294&lt;&gt;"",XLOOKUP(B294,FUNC!E:E,#REF!,"NO VIGENTE"),""),"")</f>
        <v/>
      </c>
    </row>
    <row r="295" ht="23.25" customHeight="1">
      <c r="A295" s="53"/>
      <c r="B295" s="53"/>
      <c r="C295" s="53"/>
      <c r="D295" s="53"/>
      <c r="E295" s="53"/>
      <c r="F295" s="53"/>
      <c r="G295" s="251"/>
      <c r="H295" s="270"/>
      <c r="I295" s="216"/>
      <c r="J295" s="216" t="str">
        <f t="array" ref="J295">IFERROR(IF(B295&lt;&gt;"",XLOOKUP(B295,FUNC!E:E,#REF!,"NO VIGENTE"),""),"")</f>
        <v/>
      </c>
    </row>
    <row r="296" ht="23.25" customHeight="1">
      <c r="A296" s="53"/>
      <c r="B296" s="53"/>
      <c r="C296" s="53"/>
      <c r="D296" s="53"/>
      <c r="E296" s="53"/>
      <c r="F296" s="53"/>
      <c r="G296" s="251"/>
      <c r="H296" s="270"/>
      <c r="I296" s="216"/>
      <c r="J296" s="216" t="str">
        <f t="array" ref="J296">IFERROR(IF(B296&lt;&gt;"",XLOOKUP(B296,FUNC!E:E,#REF!,"NO VIGENTE"),""),"")</f>
        <v/>
      </c>
    </row>
    <row r="297" ht="23.25" customHeight="1">
      <c r="A297" s="53"/>
      <c r="B297" s="53"/>
      <c r="C297" s="53"/>
      <c r="D297" s="53"/>
      <c r="E297" s="53"/>
      <c r="F297" s="53"/>
      <c r="G297" s="251"/>
      <c r="H297" s="270"/>
      <c r="I297" s="216"/>
      <c r="J297" s="216" t="str">
        <f t="array" ref="J297">IFERROR(IF(B297&lt;&gt;"",XLOOKUP(B297,FUNC!E:E,#REF!,"NO VIGENTE"),""),"")</f>
        <v/>
      </c>
    </row>
    <row r="298" ht="23.25" customHeight="1">
      <c r="A298" s="53"/>
      <c r="B298" s="53"/>
      <c r="C298" s="53"/>
      <c r="D298" s="53"/>
      <c r="E298" s="53"/>
      <c r="F298" s="53"/>
      <c r="G298" s="251"/>
      <c r="H298" s="270"/>
      <c r="I298" s="216"/>
      <c r="J298" s="216" t="str">
        <f t="array" ref="J298">IFERROR(IF(B298&lt;&gt;"",XLOOKUP(B298,FUNC!E:E,#REF!,"NO VIGENTE"),""),"")</f>
        <v/>
      </c>
    </row>
    <row r="299" ht="23.25" customHeight="1">
      <c r="A299" s="53"/>
      <c r="B299" s="53"/>
      <c r="C299" s="53"/>
      <c r="D299" s="53"/>
      <c r="E299" s="53"/>
      <c r="F299" s="53"/>
      <c r="G299" s="251"/>
      <c r="H299" s="270"/>
      <c r="I299" s="216"/>
      <c r="J299" s="216" t="str">
        <f t="array" ref="J299">IFERROR(IF(B299&lt;&gt;"",XLOOKUP(B299,FUNC!E:E,#REF!,"NO VIGENTE"),""),"")</f>
        <v/>
      </c>
    </row>
    <row r="300" ht="23.25" customHeight="1">
      <c r="A300" s="53"/>
      <c r="B300" s="53"/>
      <c r="C300" s="53"/>
      <c r="D300" s="53"/>
      <c r="E300" s="53"/>
      <c r="F300" s="53"/>
      <c r="G300" s="251"/>
      <c r="H300" s="270"/>
      <c r="I300" s="216"/>
      <c r="J300" s="216" t="str">
        <f t="array" ref="J300">IFERROR(IF(B300&lt;&gt;"",XLOOKUP(B300,FUNC!E:E,#REF!,"NO VIGENTE"),""),"")</f>
        <v/>
      </c>
    </row>
    <row r="301" ht="23.25" customHeight="1">
      <c r="A301" s="53"/>
      <c r="B301" s="53"/>
      <c r="C301" s="53"/>
      <c r="D301" s="53"/>
      <c r="E301" s="53"/>
      <c r="F301" s="53"/>
      <c r="G301" s="251"/>
      <c r="H301" s="270"/>
      <c r="I301" s="216"/>
      <c r="J301" s="216" t="str">
        <f t="array" ref="J301">IFERROR(IF(B301&lt;&gt;"",XLOOKUP(B301,FUNC!E:E,#REF!,"NO VIGENTE"),""),"")</f>
        <v/>
      </c>
    </row>
    <row r="302" ht="23.25" customHeight="1">
      <c r="A302" s="53"/>
      <c r="B302" s="53"/>
      <c r="C302" s="53"/>
      <c r="D302" s="53"/>
      <c r="E302" s="53"/>
      <c r="F302" s="53"/>
      <c r="G302" s="251"/>
      <c r="H302" s="270"/>
      <c r="I302" s="216"/>
      <c r="J302" s="216" t="str">
        <f t="array" ref="J302">IFERROR(IF(B302&lt;&gt;"",XLOOKUP(B302,FUNC!E:E,#REF!,"NO VIGENTE"),""),"")</f>
        <v/>
      </c>
    </row>
    <row r="303" ht="23.25" customHeight="1">
      <c r="A303" s="53"/>
      <c r="B303" s="53"/>
      <c r="C303" s="53"/>
      <c r="D303" s="53"/>
      <c r="E303" s="53"/>
      <c r="F303" s="53"/>
      <c r="G303" s="251"/>
      <c r="H303" s="270"/>
      <c r="I303" s="216"/>
      <c r="J303" s="216" t="str">
        <f t="array" ref="J303">IFERROR(IF(B303&lt;&gt;"",XLOOKUP(B303,FUNC!E:E,#REF!,"NO VIGENTE"),""),"")</f>
        <v/>
      </c>
    </row>
    <row r="304" ht="23.25" customHeight="1">
      <c r="A304" s="53"/>
      <c r="B304" s="53"/>
      <c r="C304" s="53"/>
      <c r="D304" s="53"/>
      <c r="E304" s="53"/>
      <c r="F304" s="53"/>
      <c r="G304" s="251"/>
      <c r="H304" s="270"/>
      <c r="I304" s="216"/>
      <c r="J304" s="216" t="str">
        <f t="array" ref="J304">IFERROR(IF(B304&lt;&gt;"",XLOOKUP(B304,FUNC!E:E,#REF!,"NO VIGENTE"),""),"")</f>
        <v/>
      </c>
    </row>
    <row r="305" ht="23.25" customHeight="1">
      <c r="A305" s="53"/>
      <c r="B305" s="53"/>
      <c r="C305" s="53"/>
      <c r="D305" s="53"/>
      <c r="E305" s="53"/>
      <c r="F305" s="53"/>
      <c r="G305" s="251"/>
      <c r="H305" s="270"/>
      <c r="I305" s="216"/>
      <c r="J305" s="216" t="str">
        <f t="array" ref="J305">IFERROR(IF(B305&lt;&gt;"",XLOOKUP(B305,FUNC!E:E,#REF!,"NO VIGENTE"),""),"")</f>
        <v/>
      </c>
    </row>
    <row r="306" ht="23.25" customHeight="1">
      <c r="A306" s="53"/>
      <c r="B306" s="53"/>
      <c r="C306" s="53"/>
      <c r="D306" s="53"/>
      <c r="E306" s="53"/>
      <c r="F306" s="53"/>
      <c r="G306" s="251"/>
      <c r="H306" s="270"/>
      <c r="I306" s="216"/>
      <c r="J306" s="216" t="str">
        <f t="array" ref="J306">IFERROR(IF(B306&lt;&gt;"",XLOOKUP(B306,FUNC!E:E,#REF!,"NO VIGENTE"),""),"")</f>
        <v/>
      </c>
    </row>
    <row r="307" ht="23.25" customHeight="1">
      <c r="A307" s="53"/>
      <c r="B307" s="53"/>
      <c r="C307" s="53"/>
      <c r="D307" s="53"/>
      <c r="E307" s="53"/>
      <c r="F307" s="53"/>
      <c r="G307" s="251"/>
      <c r="H307" s="270"/>
      <c r="I307" s="216"/>
      <c r="J307" s="216" t="str">
        <f t="array" ref="J307">IFERROR(IF(B307&lt;&gt;"",XLOOKUP(B307,FUNC!E:E,#REF!,"NO VIGENTE"),""),"")</f>
        <v/>
      </c>
    </row>
    <row r="308" ht="23.25" customHeight="1">
      <c r="A308" s="53"/>
      <c r="B308" s="53"/>
      <c r="C308" s="53"/>
      <c r="D308" s="53"/>
      <c r="E308" s="53"/>
      <c r="F308" s="53"/>
      <c r="G308" s="251"/>
      <c r="H308" s="270"/>
      <c r="I308" s="216"/>
      <c r="J308" s="216" t="str">
        <f t="array" ref="J308">IFERROR(IF(B308&lt;&gt;"",XLOOKUP(B308,FUNC!E:E,#REF!,"NO VIGENTE"),""),"")</f>
        <v/>
      </c>
    </row>
    <row r="309" ht="23.25" customHeight="1">
      <c r="A309" s="53"/>
      <c r="B309" s="53"/>
      <c r="C309" s="53"/>
      <c r="D309" s="53"/>
      <c r="E309" s="53"/>
      <c r="F309" s="53"/>
      <c r="G309" s="251"/>
      <c r="H309" s="270"/>
      <c r="I309" s="216"/>
      <c r="J309" s="216" t="str">
        <f t="array" ref="J309">IFERROR(IF(B309&lt;&gt;"",XLOOKUP(B309,FUNC!E:E,#REF!,"NO VIGENTE"),""),"")</f>
        <v/>
      </c>
    </row>
    <row r="310" ht="23.25" customHeight="1">
      <c r="A310" s="53"/>
      <c r="B310" s="53"/>
      <c r="C310" s="53"/>
      <c r="D310" s="53"/>
      <c r="E310" s="53"/>
      <c r="F310" s="53"/>
      <c r="G310" s="251"/>
      <c r="H310" s="270"/>
      <c r="I310" s="216"/>
      <c r="J310" s="216" t="str">
        <f t="array" ref="J310">IFERROR(IF(B310&lt;&gt;"",XLOOKUP(B310,FUNC!E:E,#REF!,"NO VIGENTE"),""),"")</f>
        <v/>
      </c>
    </row>
    <row r="311" ht="23.25" customHeight="1">
      <c r="A311" s="53"/>
      <c r="B311" s="53"/>
      <c r="C311" s="53"/>
      <c r="D311" s="53"/>
      <c r="E311" s="53"/>
      <c r="F311" s="53"/>
      <c r="G311" s="251"/>
      <c r="H311" s="270"/>
      <c r="I311" s="216"/>
      <c r="J311" s="216" t="str">
        <f t="array" ref="J311">IFERROR(IF(B311&lt;&gt;"",XLOOKUP(B311,FUNC!E:E,#REF!,"NO VIGENTE"),""),"")</f>
        <v/>
      </c>
    </row>
    <row r="312" ht="23.25" customHeight="1">
      <c r="A312" s="53"/>
      <c r="B312" s="53"/>
      <c r="C312" s="53"/>
      <c r="D312" s="53"/>
      <c r="E312" s="53"/>
      <c r="F312" s="53"/>
      <c r="G312" s="251"/>
      <c r="H312" s="270"/>
      <c r="I312" s="216"/>
      <c r="J312" s="216" t="str">
        <f t="array" ref="J312">IFERROR(IF(B312&lt;&gt;"",XLOOKUP(B312,FUNC!E:E,#REF!,"NO VIGENTE"),""),"")</f>
        <v/>
      </c>
    </row>
    <row r="313" ht="23.25" customHeight="1">
      <c r="A313" s="53"/>
      <c r="B313" s="53"/>
      <c r="C313" s="53"/>
      <c r="D313" s="53"/>
      <c r="E313" s="53"/>
      <c r="F313" s="53"/>
      <c r="G313" s="251"/>
      <c r="H313" s="270"/>
      <c r="I313" s="216"/>
      <c r="J313" s="216" t="str">
        <f t="array" ref="J313">IFERROR(IF(B313&lt;&gt;"",XLOOKUP(B313,FUNC!E:E,#REF!,"NO VIGENTE"),""),"")</f>
        <v/>
      </c>
    </row>
    <row r="314" ht="23.25" customHeight="1">
      <c r="A314" s="53"/>
      <c r="B314" s="53"/>
      <c r="C314" s="53"/>
      <c r="D314" s="53"/>
      <c r="E314" s="53"/>
      <c r="F314" s="53"/>
      <c r="G314" s="251"/>
      <c r="H314" s="270"/>
      <c r="I314" s="216"/>
      <c r="J314" s="216" t="str">
        <f t="array" ref="J314">IFERROR(IF(B314&lt;&gt;"",XLOOKUP(B314,FUNC!E:E,#REF!,"NO VIGENTE"),""),"")</f>
        <v/>
      </c>
    </row>
    <row r="315" ht="23.25" customHeight="1">
      <c r="A315" s="53"/>
      <c r="B315" s="53"/>
      <c r="C315" s="53"/>
      <c r="D315" s="53"/>
      <c r="E315" s="53"/>
      <c r="F315" s="53"/>
      <c r="G315" s="251"/>
      <c r="H315" s="270"/>
      <c r="I315" s="216"/>
      <c r="J315" s="216" t="str">
        <f t="array" ref="J315">IFERROR(IF(B315&lt;&gt;"",XLOOKUP(B315,FUNC!E:E,#REF!,"NO VIGENTE"),""),"")</f>
        <v/>
      </c>
    </row>
    <row r="316" ht="23.25" customHeight="1">
      <c r="A316" s="53"/>
      <c r="B316" s="53"/>
      <c r="C316" s="53"/>
      <c r="D316" s="53"/>
      <c r="E316" s="53"/>
      <c r="F316" s="53"/>
      <c r="G316" s="251"/>
      <c r="H316" s="270"/>
      <c r="I316" s="216"/>
      <c r="J316" s="216" t="str">
        <f t="array" ref="J316">IFERROR(IF(B316&lt;&gt;"",XLOOKUP(B316,FUNC!E:E,#REF!,"NO VIGENTE"),""),"")</f>
        <v/>
      </c>
    </row>
    <row r="317" ht="23.25" customHeight="1">
      <c r="A317" s="53"/>
      <c r="B317" s="53"/>
      <c r="C317" s="53"/>
      <c r="D317" s="53"/>
      <c r="E317" s="53"/>
      <c r="F317" s="53"/>
      <c r="G317" s="251"/>
      <c r="H317" s="270"/>
      <c r="I317" s="216"/>
      <c r="J317" s="216" t="str">
        <f t="array" ref="J317">IFERROR(IF(B317&lt;&gt;"",XLOOKUP(B317,FUNC!E:E,#REF!,"NO VIGENTE"),""),"")</f>
        <v/>
      </c>
    </row>
    <row r="318" ht="23.25" customHeight="1">
      <c r="A318" s="53"/>
      <c r="B318" s="53"/>
      <c r="C318" s="53"/>
      <c r="D318" s="53"/>
      <c r="E318" s="53"/>
      <c r="F318" s="53"/>
      <c r="G318" s="251"/>
      <c r="H318" s="270"/>
      <c r="I318" s="216"/>
      <c r="J318" s="216" t="str">
        <f t="array" ref="J318">IFERROR(IF(B318&lt;&gt;"",XLOOKUP(B318,FUNC!E:E,#REF!,"NO VIGENTE"),""),"")</f>
        <v/>
      </c>
    </row>
    <row r="319" ht="23.25" customHeight="1">
      <c r="A319" s="53"/>
      <c r="B319" s="53"/>
      <c r="C319" s="53"/>
      <c r="D319" s="53"/>
      <c r="E319" s="53"/>
      <c r="F319" s="53"/>
      <c r="G319" s="251"/>
      <c r="H319" s="270"/>
      <c r="I319" s="216"/>
      <c r="J319" s="216" t="str">
        <f t="array" ref="J319">IFERROR(IF(B319&lt;&gt;"",XLOOKUP(B319,FUNC!E:E,#REF!,"NO VIGENTE"),""),"")</f>
        <v/>
      </c>
    </row>
    <row r="320" ht="23.25" customHeight="1">
      <c r="A320" s="53"/>
      <c r="B320" s="53"/>
      <c r="C320" s="53"/>
      <c r="D320" s="53"/>
      <c r="E320" s="53"/>
      <c r="F320" s="53"/>
      <c r="G320" s="251"/>
      <c r="H320" s="270"/>
      <c r="I320" s="216"/>
      <c r="J320" s="216" t="str">
        <f t="array" ref="J320">IFERROR(IF(B320&lt;&gt;"",XLOOKUP(B320,FUNC!E:E,#REF!,"NO VIGENTE"),""),"")</f>
        <v/>
      </c>
    </row>
    <row r="321" ht="23.25" customHeight="1">
      <c r="A321" s="53"/>
      <c r="B321" s="53"/>
      <c r="C321" s="53"/>
      <c r="D321" s="53"/>
      <c r="E321" s="53"/>
      <c r="F321" s="53"/>
      <c r="G321" s="251"/>
      <c r="H321" s="270"/>
      <c r="I321" s="216"/>
      <c r="J321" s="216" t="str">
        <f t="array" ref="J321">IFERROR(IF(B321&lt;&gt;"",XLOOKUP(B321,FUNC!E:E,#REF!,"NO VIGENTE"),""),"")</f>
        <v/>
      </c>
    </row>
    <row r="322" ht="23.25" customHeight="1">
      <c r="A322" s="53"/>
      <c r="B322" s="53"/>
      <c r="C322" s="53"/>
      <c r="D322" s="53"/>
      <c r="E322" s="53"/>
      <c r="F322" s="53"/>
      <c r="G322" s="251"/>
      <c r="H322" s="270"/>
      <c r="I322" s="216"/>
      <c r="J322" s="216" t="str">
        <f t="array" ref="J322">IFERROR(IF(B322&lt;&gt;"",XLOOKUP(B322,FUNC!E:E,#REF!,"NO VIGENTE"),""),"")</f>
        <v/>
      </c>
    </row>
    <row r="323" ht="23.25" customHeight="1">
      <c r="A323" s="53"/>
      <c r="B323" s="53"/>
      <c r="C323" s="53"/>
      <c r="D323" s="53"/>
      <c r="E323" s="53"/>
      <c r="F323" s="53"/>
      <c r="G323" s="251"/>
      <c r="H323" s="270"/>
      <c r="I323" s="216"/>
      <c r="J323" s="216" t="str">
        <f t="array" ref="J323">IFERROR(IF(B323&lt;&gt;"",XLOOKUP(B323,FUNC!E:E,#REF!,"NO VIGENTE"),""),"")</f>
        <v/>
      </c>
    </row>
    <row r="324" ht="23.25" customHeight="1">
      <c r="A324" s="53"/>
      <c r="B324" s="53"/>
      <c r="C324" s="53"/>
      <c r="D324" s="53"/>
      <c r="E324" s="53"/>
      <c r="F324" s="53"/>
      <c r="G324" s="251"/>
      <c r="H324" s="270"/>
      <c r="I324" s="216"/>
      <c r="J324" s="216" t="str">
        <f t="array" ref="J324">IFERROR(IF(B324&lt;&gt;"",XLOOKUP(B324,FUNC!E:E,#REF!,"NO VIGENTE"),""),"")</f>
        <v/>
      </c>
    </row>
    <row r="325" ht="23.25" customHeight="1">
      <c r="A325" s="53"/>
      <c r="B325" s="53"/>
      <c r="C325" s="53"/>
      <c r="D325" s="53"/>
      <c r="E325" s="53"/>
      <c r="F325" s="53"/>
      <c r="G325" s="251"/>
      <c r="H325" s="270"/>
      <c r="I325" s="216"/>
      <c r="J325" s="216" t="str">
        <f t="array" ref="J325">IFERROR(IF(B325&lt;&gt;"",XLOOKUP(B325,FUNC!E:E,#REF!,"NO VIGENTE"),""),"")</f>
        <v/>
      </c>
    </row>
    <row r="326" ht="23.25" customHeight="1">
      <c r="A326" s="53"/>
      <c r="B326" s="53"/>
      <c r="C326" s="53"/>
      <c r="D326" s="53"/>
      <c r="E326" s="53"/>
      <c r="F326" s="53"/>
      <c r="G326" s="251"/>
      <c r="H326" s="270"/>
      <c r="I326" s="216"/>
      <c r="J326" s="216" t="str">
        <f t="array" ref="J326">IFERROR(IF(B326&lt;&gt;"",XLOOKUP(B326,FUNC!E:E,#REF!,"NO VIGENTE"),""),"")</f>
        <v/>
      </c>
    </row>
    <row r="327" ht="23.25" customHeight="1">
      <c r="A327" s="53"/>
      <c r="B327" s="53"/>
      <c r="C327" s="53"/>
      <c r="D327" s="53"/>
      <c r="E327" s="53"/>
      <c r="F327" s="53"/>
      <c r="G327" s="251"/>
      <c r="H327" s="270"/>
      <c r="I327" s="216"/>
      <c r="J327" s="216" t="str">
        <f t="array" ref="J327">IFERROR(IF(B327&lt;&gt;"",XLOOKUP(B327,FUNC!E:E,#REF!,"NO VIGENTE"),""),"")</f>
        <v/>
      </c>
    </row>
    <row r="328" ht="23.25" customHeight="1">
      <c r="A328" s="53"/>
      <c r="B328" s="53"/>
      <c r="C328" s="53"/>
      <c r="D328" s="53"/>
      <c r="E328" s="53"/>
      <c r="F328" s="53"/>
      <c r="G328" s="251"/>
      <c r="H328" s="270"/>
      <c r="I328" s="216"/>
      <c r="J328" s="216" t="str">
        <f t="array" ref="J328">IFERROR(IF(B328&lt;&gt;"",XLOOKUP(B328,FUNC!E:E,#REF!,"NO VIGENTE"),""),"")</f>
        <v/>
      </c>
    </row>
    <row r="329" ht="23.25" customHeight="1">
      <c r="A329" s="53"/>
      <c r="B329" s="53"/>
      <c r="C329" s="53"/>
      <c r="D329" s="53"/>
      <c r="E329" s="53"/>
      <c r="F329" s="53"/>
      <c r="G329" s="251"/>
      <c r="H329" s="270"/>
      <c r="I329" s="216"/>
      <c r="J329" s="216" t="str">
        <f t="array" ref="J329">IFERROR(IF(B329&lt;&gt;"",XLOOKUP(B329,FUNC!E:E,#REF!,"NO VIGENTE"),""),"")</f>
        <v/>
      </c>
    </row>
    <row r="330" ht="23.25" customHeight="1">
      <c r="A330" s="53"/>
      <c r="B330" s="53"/>
      <c r="C330" s="53"/>
      <c r="D330" s="53"/>
      <c r="E330" s="53"/>
      <c r="F330" s="53"/>
      <c r="G330" s="251"/>
      <c r="H330" s="270"/>
      <c r="I330" s="216"/>
      <c r="J330" s="216" t="str">
        <f t="array" ref="J330">IFERROR(IF(B330&lt;&gt;"",XLOOKUP(B330,FUNC!E:E,#REF!,"NO VIGENTE"),""),"")</f>
        <v/>
      </c>
    </row>
    <row r="331" ht="23.25" customHeight="1">
      <c r="A331" s="53"/>
      <c r="B331" s="53"/>
      <c r="C331" s="53"/>
      <c r="D331" s="53"/>
      <c r="E331" s="53"/>
      <c r="F331" s="53"/>
      <c r="G331" s="251"/>
      <c r="H331" s="270"/>
      <c r="I331" s="216"/>
      <c r="J331" s="216" t="str">
        <f t="array" ref="J331">IFERROR(IF(B331&lt;&gt;"",XLOOKUP(B331,FUNC!E:E,#REF!,"NO VIGENTE"),""),"")</f>
        <v/>
      </c>
    </row>
    <row r="332" ht="23.25" customHeight="1">
      <c r="A332" s="53"/>
      <c r="B332" s="53"/>
      <c r="C332" s="53"/>
      <c r="D332" s="53"/>
      <c r="E332" s="53"/>
      <c r="F332" s="53"/>
      <c r="G332" s="251"/>
      <c r="H332" s="270"/>
      <c r="I332" s="216"/>
      <c r="J332" s="216" t="str">
        <f t="array" ref="J332">IFERROR(IF(B332&lt;&gt;"",XLOOKUP(B332,FUNC!E:E,#REF!,"NO VIGENTE"),""),"")</f>
        <v/>
      </c>
    </row>
    <row r="333" ht="23.25" customHeight="1">
      <c r="A333" s="53"/>
      <c r="B333" s="53"/>
      <c r="C333" s="53"/>
      <c r="D333" s="53"/>
      <c r="E333" s="53"/>
      <c r="F333" s="53"/>
      <c r="G333" s="251"/>
      <c r="H333" s="270"/>
      <c r="I333" s="216"/>
      <c r="J333" s="216" t="str">
        <f t="array" ref="J333">IFERROR(IF(B333&lt;&gt;"",XLOOKUP(B333,FUNC!E:E,#REF!,"NO VIGENTE"),""),"")</f>
        <v/>
      </c>
    </row>
    <row r="334" ht="23.25" customHeight="1">
      <c r="A334" s="53"/>
      <c r="B334" s="53"/>
      <c r="C334" s="53"/>
      <c r="D334" s="53"/>
      <c r="E334" s="53"/>
      <c r="F334" s="53"/>
      <c r="G334" s="251"/>
      <c r="H334" s="270"/>
      <c r="I334" s="216"/>
      <c r="J334" s="216" t="str">
        <f t="array" ref="J334">IFERROR(IF(B334&lt;&gt;"",XLOOKUP(B334,FUNC!E:E,#REF!,"NO VIGENTE"),""),"")</f>
        <v/>
      </c>
    </row>
    <row r="335" ht="23.25" customHeight="1">
      <c r="A335" s="53"/>
      <c r="B335" s="53"/>
      <c r="C335" s="53"/>
      <c r="D335" s="53"/>
      <c r="E335" s="53"/>
      <c r="F335" s="53"/>
      <c r="G335" s="251"/>
      <c r="H335" s="270"/>
      <c r="I335" s="216"/>
      <c r="J335" s="216" t="str">
        <f t="array" ref="J335">IFERROR(IF(B335&lt;&gt;"",XLOOKUP(B335,FUNC!E:E,#REF!,"NO VIGENTE"),""),"")</f>
        <v/>
      </c>
    </row>
    <row r="336" ht="23.25" customHeight="1">
      <c r="A336" s="53"/>
      <c r="B336" s="53"/>
      <c r="C336" s="53"/>
      <c r="D336" s="53"/>
      <c r="E336" s="53"/>
      <c r="F336" s="53"/>
      <c r="G336" s="251"/>
      <c r="H336" s="270"/>
      <c r="I336" s="216"/>
      <c r="J336" s="216" t="str">
        <f t="array" ref="J336">IFERROR(IF(B336&lt;&gt;"",XLOOKUP(B336,FUNC!E:E,#REF!,"NO VIGENTE"),""),"")</f>
        <v/>
      </c>
    </row>
    <row r="337" ht="23.25" customHeight="1">
      <c r="A337" s="53"/>
      <c r="B337" s="53"/>
      <c r="C337" s="53"/>
      <c r="D337" s="53"/>
      <c r="E337" s="53"/>
      <c r="F337" s="53"/>
      <c r="G337" s="251"/>
      <c r="H337" s="270"/>
      <c r="I337" s="216"/>
      <c r="J337" s="216" t="str">
        <f t="array" ref="J337">IFERROR(IF(B337&lt;&gt;"",XLOOKUP(B337,FUNC!E:E,#REF!,"NO VIGENTE"),""),"")</f>
        <v/>
      </c>
    </row>
    <row r="338" ht="23.25" customHeight="1">
      <c r="A338" s="53"/>
      <c r="B338" s="53"/>
      <c r="C338" s="53"/>
      <c r="D338" s="53"/>
      <c r="E338" s="53"/>
      <c r="F338" s="53"/>
      <c r="G338" s="251"/>
      <c r="H338" s="270"/>
      <c r="I338" s="216"/>
      <c r="J338" s="216" t="str">
        <f t="array" ref="J338">IFERROR(IF(B338&lt;&gt;"",XLOOKUP(B338,FUNC!E:E,#REF!,"NO VIGENTE"),""),"")</f>
        <v/>
      </c>
    </row>
    <row r="339" ht="23.25" customHeight="1">
      <c r="A339" s="53"/>
      <c r="B339" s="53"/>
      <c r="C339" s="53"/>
      <c r="D339" s="53"/>
      <c r="E339" s="53"/>
      <c r="F339" s="53"/>
      <c r="G339" s="251"/>
      <c r="H339" s="270"/>
      <c r="I339" s="216"/>
      <c r="J339" s="216" t="str">
        <f t="array" ref="J339">IFERROR(IF(B339&lt;&gt;"",XLOOKUP(B339,FUNC!E:E,#REF!,"NO VIGENTE"),""),"")</f>
        <v/>
      </c>
    </row>
    <row r="340" ht="23.25" customHeight="1">
      <c r="A340" s="53"/>
      <c r="B340" s="53"/>
      <c r="C340" s="53"/>
      <c r="D340" s="53"/>
      <c r="E340" s="53"/>
      <c r="F340" s="53"/>
      <c r="G340" s="251"/>
      <c r="H340" s="270"/>
      <c r="I340" s="216"/>
      <c r="J340" s="216" t="str">
        <f t="array" ref="J340">IFERROR(IF(B340&lt;&gt;"",XLOOKUP(B340,FUNC!E:E,#REF!,"NO VIGENTE"),""),"")</f>
        <v/>
      </c>
    </row>
    <row r="341" ht="23.25" customHeight="1">
      <c r="A341" s="53"/>
      <c r="B341" s="53"/>
      <c r="C341" s="53"/>
      <c r="D341" s="53"/>
      <c r="E341" s="53"/>
      <c r="F341" s="53"/>
      <c r="G341" s="251"/>
      <c r="H341" s="270"/>
      <c r="I341" s="216"/>
      <c r="J341" s="216" t="str">
        <f t="array" ref="J341">IFERROR(IF(B341&lt;&gt;"",XLOOKUP(B341,FUNC!E:E,#REF!,"NO VIGENTE"),""),"")</f>
        <v/>
      </c>
    </row>
    <row r="342" ht="23.25" customHeight="1">
      <c r="A342" s="53"/>
      <c r="B342" s="53"/>
      <c r="C342" s="53"/>
      <c r="D342" s="53"/>
      <c r="E342" s="53"/>
      <c r="F342" s="53"/>
      <c r="G342" s="251"/>
      <c r="H342" s="270"/>
      <c r="I342" s="216"/>
      <c r="J342" s="216" t="str">
        <f t="array" ref="J342">IFERROR(IF(B342&lt;&gt;"",XLOOKUP(B342,FUNC!E:E,#REF!,"NO VIGENTE"),""),"")</f>
        <v/>
      </c>
    </row>
    <row r="343" ht="23.25" customHeight="1">
      <c r="A343" s="53"/>
      <c r="B343" s="53"/>
      <c r="C343" s="53"/>
      <c r="D343" s="53"/>
      <c r="E343" s="53"/>
      <c r="F343" s="53"/>
      <c r="G343" s="251"/>
      <c r="H343" s="270"/>
      <c r="I343" s="216"/>
      <c r="J343" s="216" t="str">
        <f t="array" ref="J343">IFERROR(IF(B343&lt;&gt;"",XLOOKUP(B343,FUNC!E:E,#REF!,"NO VIGENTE"),""),"")</f>
        <v/>
      </c>
    </row>
    <row r="344" ht="23.25" customHeight="1">
      <c r="A344" s="53"/>
      <c r="B344" s="53"/>
      <c r="C344" s="53"/>
      <c r="D344" s="53"/>
      <c r="E344" s="53"/>
      <c r="F344" s="53"/>
      <c r="G344" s="251"/>
      <c r="H344" s="270"/>
      <c r="I344" s="216"/>
      <c r="J344" s="216" t="str">
        <f t="array" ref="J344">IFERROR(IF(B344&lt;&gt;"",XLOOKUP(B344,FUNC!E:E,#REF!,"NO VIGENTE"),""),"")</f>
        <v/>
      </c>
    </row>
    <row r="345" ht="23.25" customHeight="1">
      <c r="A345" s="53"/>
      <c r="B345" s="53"/>
      <c r="C345" s="53"/>
      <c r="D345" s="53"/>
      <c r="E345" s="53"/>
      <c r="F345" s="53"/>
      <c r="G345" s="251"/>
      <c r="H345" s="270"/>
      <c r="I345" s="216"/>
      <c r="J345" s="216" t="str">
        <f t="array" ref="J345">IFERROR(IF(B345&lt;&gt;"",XLOOKUP(B345,FUNC!E:E,#REF!,"NO VIGENTE"),""),"")</f>
        <v/>
      </c>
    </row>
    <row r="346" ht="23.25" customHeight="1">
      <c r="A346" s="53"/>
      <c r="B346" s="53"/>
      <c r="C346" s="53"/>
      <c r="D346" s="53"/>
      <c r="E346" s="53"/>
      <c r="F346" s="53"/>
      <c r="G346" s="251"/>
      <c r="H346" s="270"/>
      <c r="I346" s="216"/>
      <c r="J346" s="216" t="str">
        <f t="array" ref="J346">IFERROR(IF(B346&lt;&gt;"",XLOOKUP(B346,FUNC!E:E,#REF!,"NO VIGENTE"),""),"")</f>
        <v/>
      </c>
    </row>
    <row r="347" ht="23.25" customHeight="1">
      <c r="A347" s="53"/>
      <c r="B347" s="53"/>
      <c r="C347" s="53"/>
      <c r="D347" s="53"/>
      <c r="E347" s="53"/>
      <c r="F347" s="53"/>
      <c r="G347" s="251"/>
      <c r="H347" s="270"/>
      <c r="I347" s="216"/>
      <c r="J347" s="216" t="str">
        <f t="array" ref="J347">IFERROR(IF(B347&lt;&gt;"",XLOOKUP(B347,FUNC!E:E,#REF!,"NO VIGENTE"),""),"")</f>
        <v/>
      </c>
    </row>
    <row r="348" ht="23.25" customHeight="1">
      <c r="A348" s="53"/>
      <c r="B348" s="53"/>
      <c r="C348" s="53"/>
      <c r="D348" s="53"/>
      <c r="E348" s="53"/>
      <c r="F348" s="53"/>
      <c r="G348" s="251"/>
      <c r="H348" s="270"/>
      <c r="I348" s="216"/>
      <c r="J348" s="216" t="str">
        <f t="array" ref="J348">IFERROR(IF(B348&lt;&gt;"",XLOOKUP(B348,FUNC!E:E,#REF!,"NO VIGENTE"),""),"")</f>
        <v/>
      </c>
    </row>
    <row r="349" ht="23.25" customHeight="1">
      <c r="A349" s="53"/>
      <c r="B349" s="53"/>
      <c r="C349" s="53"/>
      <c r="D349" s="53"/>
      <c r="E349" s="53"/>
      <c r="F349" s="53"/>
      <c r="G349" s="251"/>
      <c r="H349" s="270"/>
      <c r="I349" s="216"/>
      <c r="J349" s="216" t="str">
        <f t="array" ref="J349">IFERROR(IF(B349&lt;&gt;"",XLOOKUP(B349,FUNC!E:E,#REF!,"NO VIGENTE"),""),"")</f>
        <v/>
      </c>
    </row>
    <row r="350" ht="23.25" customHeight="1">
      <c r="A350" s="53"/>
      <c r="B350" s="53"/>
      <c r="C350" s="53"/>
      <c r="D350" s="53"/>
      <c r="E350" s="53"/>
      <c r="F350" s="53"/>
      <c r="G350" s="251"/>
      <c r="H350" s="270"/>
      <c r="I350" s="216"/>
      <c r="J350" s="216" t="str">
        <f t="array" ref="J350">IFERROR(IF(B350&lt;&gt;"",XLOOKUP(B350,FUNC!E:E,#REF!,"NO VIGENTE"),""),"")</f>
        <v/>
      </c>
    </row>
    <row r="351" ht="23.25" customHeight="1">
      <c r="A351" s="53"/>
      <c r="B351" s="53"/>
      <c r="C351" s="53"/>
      <c r="D351" s="53"/>
      <c r="E351" s="53"/>
      <c r="F351" s="53"/>
      <c r="G351" s="251"/>
      <c r="H351" s="270"/>
      <c r="I351" s="216"/>
      <c r="J351" s="216" t="str">
        <f t="array" ref="J351">IFERROR(IF(B351&lt;&gt;"",XLOOKUP(B351,FUNC!E:E,#REF!,"NO VIGENTE"),""),"")</f>
        <v/>
      </c>
    </row>
    <row r="352" ht="23.25" customHeight="1">
      <c r="A352" s="53"/>
      <c r="B352" s="53"/>
      <c r="C352" s="53"/>
      <c r="D352" s="53"/>
      <c r="E352" s="53"/>
      <c r="F352" s="53"/>
      <c r="G352" s="251"/>
      <c r="H352" s="270"/>
      <c r="I352" s="216"/>
      <c r="J352" s="216" t="str">
        <f t="array" ref="J352">IFERROR(IF(B352&lt;&gt;"",XLOOKUP(B352,FUNC!E:E,#REF!,"NO VIGENTE"),""),"")</f>
        <v/>
      </c>
    </row>
    <row r="353" ht="23.25" customHeight="1">
      <c r="A353" s="53"/>
      <c r="B353" s="53"/>
      <c r="C353" s="53"/>
      <c r="D353" s="53"/>
      <c r="E353" s="53"/>
      <c r="F353" s="53"/>
      <c r="G353" s="251"/>
      <c r="H353" s="270"/>
      <c r="I353" s="216"/>
      <c r="J353" s="216" t="str">
        <f t="array" ref="J353">IFERROR(IF(B353&lt;&gt;"",XLOOKUP(B353,FUNC!E:E,#REF!,"NO VIGENTE"),""),"")</f>
        <v/>
      </c>
    </row>
    <row r="354" ht="23.25" customHeight="1">
      <c r="A354" s="53"/>
      <c r="B354" s="53"/>
      <c r="C354" s="53"/>
      <c r="D354" s="53"/>
      <c r="E354" s="53"/>
      <c r="F354" s="53"/>
      <c r="G354" s="251"/>
      <c r="H354" s="270"/>
      <c r="I354" s="216"/>
      <c r="J354" s="216" t="str">
        <f t="array" ref="J354">IFERROR(IF(B354&lt;&gt;"",XLOOKUP(B354,FUNC!E:E,#REF!,"NO VIGENTE"),""),"")</f>
        <v/>
      </c>
    </row>
    <row r="355" ht="23.25" customHeight="1">
      <c r="A355" s="53"/>
      <c r="B355" s="53"/>
      <c r="C355" s="53"/>
      <c r="D355" s="53"/>
      <c r="E355" s="53"/>
      <c r="F355" s="53"/>
      <c r="G355" s="251"/>
      <c r="H355" s="270"/>
      <c r="I355" s="216"/>
      <c r="J355" s="216" t="str">
        <f t="array" ref="J355">IFERROR(IF(B355&lt;&gt;"",XLOOKUP(B355,FUNC!E:E,#REF!,"NO VIGENTE"),""),"")</f>
        <v/>
      </c>
    </row>
    <row r="356" ht="23.25" customHeight="1">
      <c r="A356" s="53"/>
      <c r="B356" s="53"/>
      <c r="C356" s="53"/>
      <c r="D356" s="53"/>
      <c r="E356" s="53"/>
      <c r="F356" s="53"/>
      <c r="G356" s="251"/>
      <c r="H356" s="270"/>
      <c r="I356" s="216"/>
      <c r="J356" s="216" t="str">
        <f t="array" ref="J356">IFERROR(IF(B356&lt;&gt;"",XLOOKUP(B356,FUNC!E:E,#REF!,"NO VIGENTE"),""),"")</f>
        <v/>
      </c>
    </row>
    <row r="357" ht="23.25" customHeight="1">
      <c r="A357" s="53"/>
      <c r="B357" s="53"/>
      <c r="C357" s="53"/>
      <c r="D357" s="53"/>
      <c r="E357" s="53"/>
      <c r="F357" s="53"/>
      <c r="G357" s="251"/>
      <c r="H357" s="270"/>
      <c r="I357" s="216"/>
      <c r="J357" s="216" t="str">
        <f t="array" ref="J357">IFERROR(IF(B357&lt;&gt;"",XLOOKUP(B357,FUNC!E:E,#REF!,"NO VIGENTE"),""),"")</f>
        <v/>
      </c>
    </row>
    <row r="358" ht="23.25" customHeight="1">
      <c r="A358" s="53"/>
      <c r="B358" s="53"/>
      <c r="C358" s="53"/>
      <c r="D358" s="53"/>
      <c r="E358" s="53"/>
      <c r="F358" s="53"/>
      <c r="G358" s="251"/>
      <c r="H358" s="270"/>
      <c r="I358" s="216"/>
      <c r="J358" s="216" t="str">
        <f t="array" ref="J358">IFERROR(IF(B358&lt;&gt;"",XLOOKUP(B358,FUNC!E:E,#REF!,"NO VIGENTE"),""),"")</f>
        <v/>
      </c>
    </row>
    <row r="359" ht="23.25" customHeight="1">
      <c r="A359" s="53"/>
      <c r="B359" s="53"/>
      <c r="C359" s="53"/>
      <c r="D359" s="53"/>
      <c r="E359" s="53"/>
      <c r="F359" s="53"/>
      <c r="G359" s="251"/>
      <c r="H359" s="270"/>
      <c r="I359" s="216"/>
      <c r="J359" s="216" t="str">
        <f t="array" ref="J359">IFERROR(IF(B359&lt;&gt;"",XLOOKUP(B359,FUNC!E:E,#REF!,"NO VIGENTE"),""),"")</f>
        <v/>
      </c>
    </row>
    <row r="360" ht="23.25" customHeight="1">
      <c r="A360" s="53"/>
      <c r="B360" s="53"/>
      <c r="C360" s="53"/>
      <c r="D360" s="53"/>
      <c r="E360" s="53"/>
      <c r="F360" s="53"/>
      <c r="G360" s="251"/>
      <c r="H360" s="270"/>
      <c r="I360" s="216"/>
      <c r="J360" s="216" t="str">
        <f t="array" ref="J360">IFERROR(IF(B360&lt;&gt;"",XLOOKUP(B360,FUNC!E:E,#REF!,"NO VIGENTE"),""),"")</f>
        <v/>
      </c>
    </row>
    <row r="361" ht="23.25" customHeight="1">
      <c r="A361" s="53"/>
      <c r="B361" s="53"/>
      <c r="C361" s="53"/>
      <c r="D361" s="53"/>
      <c r="E361" s="53"/>
      <c r="F361" s="53"/>
      <c r="G361" s="251"/>
      <c r="H361" s="270"/>
      <c r="I361" s="216"/>
      <c r="J361" s="216" t="str">
        <f t="array" ref="J361">IFERROR(IF(B361&lt;&gt;"",XLOOKUP(B361,FUNC!E:E,#REF!,"NO VIGENTE"),""),"")</f>
        <v/>
      </c>
    </row>
    <row r="362" ht="23.25" customHeight="1">
      <c r="A362" s="53"/>
      <c r="B362" s="53"/>
      <c r="C362" s="53"/>
      <c r="D362" s="53"/>
      <c r="E362" s="53"/>
      <c r="F362" s="53"/>
      <c r="G362" s="251"/>
      <c r="H362" s="270"/>
      <c r="I362" s="216"/>
      <c r="J362" s="216" t="str">
        <f t="array" ref="J362">IFERROR(IF(B362&lt;&gt;"",XLOOKUP(B362,FUNC!E:E,#REF!,"NO VIGENTE"),""),"")</f>
        <v/>
      </c>
    </row>
    <row r="363" ht="23.25" customHeight="1">
      <c r="A363" s="53"/>
      <c r="B363" s="53"/>
      <c r="C363" s="53"/>
      <c r="D363" s="53"/>
      <c r="E363" s="53"/>
      <c r="F363" s="53"/>
      <c r="G363" s="251"/>
      <c r="H363" s="270"/>
      <c r="I363" s="216"/>
      <c r="J363" s="216" t="str">
        <f t="array" ref="J363">IFERROR(IF(B363&lt;&gt;"",XLOOKUP(B363,FUNC!E:E,#REF!,"NO VIGENTE"),""),"")</f>
        <v/>
      </c>
    </row>
    <row r="364" ht="23.25" customHeight="1">
      <c r="A364" s="53"/>
      <c r="B364" s="53"/>
      <c r="C364" s="53"/>
      <c r="D364" s="53"/>
      <c r="E364" s="53"/>
      <c r="F364" s="53"/>
      <c r="G364" s="251"/>
      <c r="H364" s="270"/>
      <c r="I364" s="216"/>
      <c r="J364" s="216" t="str">
        <f t="array" ref="J364">IFERROR(IF(B364&lt;&gt;"",XLOOKUP(B364,FUNC!E:E,#REF!,"NO VIGENTE"),""),"")</f>
        <v/>
      </c>
    </row>
    <row r="365" ht="23.25" customHeight="1">
      <c r="A365" s="53"/>
      <c r="B365" s="53"/>
      <c r="C365" s="53"/>
      <c r="D365" s="53"/>
      <c r="E365" s="53"/>
      <c r="F365" s="53"/>
      <c r="G365" s="251"/>
      <c r="H365" s="270"/>
      <c r="I365" s="216"/>
      <c r="J365" s="216" t="str">
        <f t="array" ref="J365">IFERROR(IF(B365&lt;&gt;"",XLOOKUP(B365,FUNC!E:E,#REF!,"NO VIGENTE"),""),"")</f>
        <v/>
      </c>
    </row>
    <row r="366" ht="23.25" customHeight="1">
      <c r="A366" s="53"/>
      <c r="B366" s="53"/>
      <c r="C366" s="53"/>
      <c r="D366" s="53"/>
      <c r="E366" s="53"/>
      <c r="F366" s="53"/>
      <c r="G366" s="251"/>
      <c r="H366" s="270"/>
      <c r="I366" s="216"/>
      <c r="J366" s="216" t="str">
        <f t="array" ref="J366">IFERROR(IF(B366&lt;&gt;"",XLOOKUP(B366,FUNC!E:E,#REF!,"NO VIGENTE"),""),"")</f>
        <v/>
      </c>
    </row>
    <row r="367" ht="23.25" customHeight="1">
      <c r="A367" s="53"/>
      <c r="B367" s="53"/>
      <c r="C367" s="53"/>
      <c r="D367" s="53"/>
      <c r="E367" s="53"/>
      <c r="F367" s="53"/>
      <c r="G367" s="251"/>
      <c r="H367" s="270"/>
      <c r="I367" s="216"/>
      <c r="J367" s="216" t="str">
        <f t="array" ref="J367">IFERROR(IF(B367&lt;&gt;"",XLOOKUP(B367,FUNC!E:E,#REF!,"NO VIGENTE"),""),"")</f>
        <v/>
      </c>
    </row>
    <row r="368" ht="23.25" customHeight="1">
      <c r="A368" s="53"/>
      <c r="B368" s="53"/>
      <c r="C368" s="53"/>
      <c r="D368" s="53"/>
      <c r="E368" s="53"/>
      <c r="F368" s="53"/>
      <c r="G368" s="251"/>
      <c r="H368" s="270"/>
      <c r="I368" s="216"/>
      <c r="J368" s="216" t="str">
        <f t="array" ref="J368">IFERROR(IF(B368&lt;&gt;"",XLOOKUP(B368,FUNC!E:E,#REF!,"NO VIGENTE"),""),"")</f>
        <v/>
      </c>
    </row>
    <row r="369" ht="23.25" customHeight="1">
      <c r="A369" s="53"/>
      <c r="B369" s="53"/>
      <c r="C369" s="53"/>
      <c r="D369" s="53"/>
      <c r="E369" s="53"/>
      <c r="F369" s="53"/>
      <c r="G369" s="251"/>
      <c r="H369" s="270"/>
      <c r="I369" s="216"/>
      <c r="J369" s="216" t="str">
        <f t="array" ref="J369">IFERROR(IF(B369&lt;&gt;"",XLOOKUP(B369,FUNC!E:E,#REF!,"NO VIGENTE"),""),"")</f>
        <v/>
      </c>
    </row>
    <row r="370" ht="23.25" customHeight="1">
      <c r="A370" s="53"/>
      <c r="B370" s="53"/>
      <c r="C370" s="53"/>
      <c r="D370" s="53"/>
      <c r="E370" s="53"/>
      <c r="F370" s="53"/>
      <c r="G370" s="251"/>
      <c r="H370" s="270"/>
      <c r="I370" s="216"/>
      <c r="J370" s="216" t="str">
        <f t="array" ref="J370">IFERROR(IF(B370&lt;&gt;"",XLOOKUP(B370,FUNC!E:E,#REF!,"NO VIGENTE"),""),"")</f>
        <v/>
      </c>
    </row>
    <row r="371" ht="23.25" customHeight="1">
      <c r="A371" s="53"/>
      <c r="B371" s="53"/>
      <c r="C371" s="53"/>
      <c r="D371" s="53"/>
      <c r="E371" s="53"/>
      <c r="F371" s="53"/>
      <c r="G371" s="251"/>
      <c r="H371" s="270"/>
      <c r="I371" s="216"/>
      <c r="J371" s="216" t="str">
        <f t="array" ref="J371">IFERROR(IF(B371&lt;&gt;"",XLOOKUP(B371,FUNC!E:E,#REF!,"NO VIGENTE"),""),"")</f>
        <v/>
      </c>
    </row>
    <row r="372" ht="23.25" customHeight="1">
      <c r="A372" s="53"/>
      <c r="B372" s="53"/>
      <c r="C372" s="53"/>
      <c r="D372" s="53"/>
      <c r="E372" s="53"/>
      <c r="F372" s="53"/>
      <c r="G372" s="251"/>
      <c r="H372" s="270"/>
      <c r="I372" s="216"/>
      <c r="J372" s="216" t="str">
        <f t="array" ref="J372">IFERROR(IF(B372&lt;&gt;"",XLOOKUP(B372,FUNC!E:E,#REF!,"NO VIGENTE"),""),"")</f>
        <v/>
      </c>
    </row>
    <row r="373" ht="23.25" customHeight="1">
      <c r="A373" s="53"/>
      <c r="B373" s="53"/>
      <c r="C373" s="53"/>
      <c r="D373" s="53"/>
      <c r="E373" s="53"/>
      <c r="F373" s="53"/>
      <c r="G373" s="251"/>
      <c r="H373" s="270"/>
      <c r="I373" s="216"/>
      <c r="J373" s="216" t="str">
        <f t="array" ref="J373">IFERROR(IF(B373&lt;&gt;"",XLOOKUP(B373,FUNC!E:E,#REF!,"NO VIGENTE"),""),"")</f>
        <v/>
      </c>
    </row>
    <row r="374" ht="23.25" customHeight="1">
      <c r="A374" s="53"/>
      <c r="B374" s="53"/>
      <c r="C374" s="53"/>
      <c r="D374" s="53"/>
      <c r="E374" s="53"/>
      <c r="F374" s="53"/>
      <c r="G374" s="251"/>
      <c r="H374" s="270"/>
      <c r="I374" s="216"/>
      <c r="J374" s="216" t="str">
        <f t="array" ref="J374">IFERROR(IF(B374&lt;&gt;"",XLOOKUP(B374,FUNC!E:E,#REF!,"NO VIGENTE"),""),"")</f>
        <v/>
      </c>
    </row>
    <row r="375" ht="23.25" customHeight="1">
      <c r="A375" s="53"/>
      <c r="B375" s="53"/>
      <c r="C375" s="53"/>
      <c r="D375" s="53"/>
      <c r="E375" s="53"/>
      <c r="F375" s="53"/>
      <c r="G375" s="251"/>
      <c r="H375" s="270"/>
      <c r="I375" s="216"/>
      <c r="J375" s="216" t="str">
        <f t="array" ref="J375">IFERROR(IF(B375&lt;&gt;"",XLOOKUP(B375,FUNC!E:E,#REF!,"NO VIGENTE"),""),"")</f>
        <v/>
      </c>
    </row>
    <row r="376" ht="23.25" customHeight="1">
      <c r="A376" s="53"/>
      <c r="B376" s="53"/>
      <c r="C376" s="53"/>
      <c r="D376" s="53"/>
      <c r="E376" s="53"/>
      <c r="F376" s="53"/>
      <c r="G376" s="251"/>
      <c r="H376" s="270"/>
      <c r="I376" s="216"/>
      <c r="J376" s="216" t="str">
        <f t="array" ref="J376">IFERROR(IF(B376&lt;&gt;"",XLOOKUP(B376,FUNC!E:E,#REF!,"NO VIGENTE"),""),"")</f>
        <v/>
      </c>
    </row>
    <row r="377" ht="23.25" customHeight="1">
      <c r="A377" s="53"/>
      <c r="B377" s="53"/>
      <c r="C377" s="53"/>
      <c r="D377" s="53"/>
      <c r="E377" s="53"/>
      <c r="F377" s="53"/>
      <c r="G377" s="251"/>
      <c r="H377" s="270"/>
      <c r="I377" s="216"/>
      <c r="J377" s="216" t="str">
        <f t="array" ref="J377">IFERROR(IF(B377&lt;&gt;"",XLOOKUP(B377,FUNC!E:E,#REF!,"NO VIGENTE"),""),"")</f>
        <v/>
      </c>
    </row>
    <row r="378" ht="23.25" customHeight="1">
      <c r="A378" s="53"/>
      <c r="B378" s="53"/>
      <c r="C378" s="53"/>
      <c r="D378" s="53"/>
      <c r="E378" s="53"/>
      <c r="F378" s="53"/>
      <c r="G378" s="251"/>
      <c r="H378" s="270"/>
      <c r="I378" s="216"/>
      <c r="J378" s="216" t="str">
        <f t="array" ref="J378">IFERROR(IF(B378&lt;&gt;"",XLOOKUP(B378,FUNC!E:E,#REF!,"NO VIGENTE"),""),"")</f>
        <v/>
      </c>
    </row>
    <row r="379" ht="23.25" customHeight="1">
      <c r="A379" s="53"/>
      <c r="B379" s="53"/>
      <c r="C379" s="53"/>
      <c r="D379" s="53"/>
      <c r="E379" s="53"/>
      <c r="F379" s="53"/>
      <c r="G379" s="251"/>
      <c r="H379" s="270"/>
      <c r="I379" s="216"/>
      <c r="J379" s="216" t="str">
        <f t="array" ref="J379">IFERROR(IF(B379&lt;&gt;"",XLOOKUP(B379,FUNC!E:E,#REF!,"NO VIGENTE"),""),"")</f>
        <v/>
      </c>
    </row>
    <row r="380" ht="23.25" customHeight="1">
      <c r="A380" s="53"/>
      <c r="B380" s="53"/>
      <c r="C380" s="53"/>
      <c r="D380" s="53"/>
      <c r="E380" s="53"/>
      <c r="F380" s="53"/>
      <c r="G380" s="251"/>
      <c r="H380" s="270"/>
      <c r="I380" s="216"/>
      <c r="J380" s="216" t="str">
        <f t="array" ref="J380">IFERROR(IF(B380&lt;&gt;"",XLOOKUP(B380,FUNC!E:E,#REF!,"NO VIGENTE"),""),"")</f>
        <v/>
      </c>
    </row>
    <row r="381" ht="23.25" customHeight="1">
      <c r="A381" s="53"/>
      <c r="B381" s="53"/>
      <c r="C381" s="53"/>
      <c r="D381" s="53"/>
      <c r="E381" s="53"/>
      <c r="F381" s="53"/>
      <c r="G381" s="251"/>
      <c r="H381" s="270"/>
      <c r="I381" s="216"/>
      <c r="J381" s="216" t="str">
        <f t="array" ref="J381">IFERROR(IF(B381&lt;&gt;"",XLOOKUP(B381,FUNC!E:E,#REF!,"NO VIGENTE"),""),"")</f>
        <v/>
      </c>
    </row>
    <row r="382" ht="23.25" customHeight="1">
      <c r="A382" s="53"/>
      <c r="B382" s="53"/>
      <c r="C382" s="53"/>
      <c r="D382" s="53"/>
      <c r="E382" s="53"/>
      <c r="F382" s="53"/>
      <c r="G382" s="251"/>
      <c r="H382" s="270"/>
      <c r="I382" s="216"/>
      <c r="J382" s="216" t="str">
        <f t="array" ref="J382">IFERROR(IF(B382&lt;&gt;"",XLOOKUP(B382,FUNC!E:E,#REF!,"NO VIGENTE"),""),"")</f>
        <v/>
      </c>
    </row>
    <row r="383" ht="23.25" customHeight="1">
      <c r="A383" s="53"/>
      <c r="B383" s="53"/>
      <c r="C383" s="53"/>
      <c r="D383" s="53"/>
      <c r="E383" s="53"/>
      <c r="F383" s="53"/>
      <c r="G383" s="251"/>
      <c r="H383" s="270"/>
      <c r="I383" s="216"/>
      <c r="J383" s="216" t="str">
        <f t="array" ref="J383">IFERROR(IF(B383&lt;&gt;"",XLOOKUP(B383,FUNC!E:E,#REF!,"NO VIGENTE"),""),"")</f>
        <v/>
      </c>
    </row>
    <row r="384" ht="23.25" customHeight="1">
      <c r="A384" s="53"/>
      <c r="B384" s="53"/>
      <c r="C384" s="53"/>
      <c r="D384" s="53"/>
      <c r="E384" s="53"/>
      <c r="F384" s="53"/>
      <c r="G384" s="251"/>
      <c r="H384" s="270"/>
      <c r="I384" s="216"/>
      <c r="J384" s="216" t="str">
        <f t="array" ref="J384">IFERROR(IF(B384&lt;&gt;"",XLOOKUP(B384,FUNC!E:E,#REF!,"NO VIGENTE"),""),"")</f>
        <v/>
      </c>
    </row>
    <row r="385" ht="23.25" customHeight="1">
      <c r="A385" s="53"/>
      <c r="B385" s="53"/>
      <c r="C385" s="53"/>
      <c r="D385" s="53"/>
      <c r="E385" s="53"/>
      <c r="F385" s="53"/>
      <c r="G385" s="251"/>
      <c r="H385" s="270"/>
      <c r="I385" s="216"/>
      <c r="J385" s="216" t="str">
        <f t="array" ref="J385">IFERROR(IF(B385&lt;&gt;"",XLOOKUP(B385,FUNC!E:E,#REF!,"NO VIGENTE"),""),"")</f>
        <v/>
      </c>
    </row>
    <row r="386" ht="23.25" customHeight="1">
      <c r="A386" s="53"/>
      <c r="B386" s="53"/>
      <c r="C386" s="53"/>
      <c r="D386" s="53"/>
      <c r="E386" s="53"/>
      <c r="F386" s="53"/>
      <c r="G386" s="251"/>
      <c r="H386" s="270"/>
      <c r="I386" s="216"/>
      <c r="J386" s="216" t="str">
        <f t="array" ref="J386">IFERROR(IF(B386&lt;&gt;"",XLOOKUP(B386,FUNC!E:E,#REF!,"NO VIGENTE"),""),"")</f>
        <v/>
      </c>
    </row>
    <row r="387" ht="23.25" customHeight="1">
      <c r="A387" s="53"/>
      <c r="B387" s="53"/>
      <c r="C387" s="53"/>
      <c r="D387" s="53"/>
      <c r="E387" s="53"/>
      <c r="F387" s="53"/>
      <c r="G387" s="251"/>
      <c r="H387" s="270"/>
      <c r="I387" s="216"/>
      <c r="J387" s="216" t="str">
        <f t="array" ref="J387">IFERROR(IF(B387&lt;&gt;"",XLOOKUP(B387,FUNC!E:E,#REF!,"NO VIGENTE"),""),"")</f>
        <v/>
      </c>
    </row>
    <row r="388" ht="23.25" customHeight="1">
      <c r="A388" s="53"/>
      <c r="B388" s="53"/>
      <c r="C388" s="53"/>
      <c r="D388" s="53"/>
      <c r="E388" s="53"/>
      <c r="F388" s="53"/>
      <c r="G388" s="251"/>
      <c r="H388" s="270"/>
      <c r="I388" s="216"/>
      <c r="J388" s="216" t="str">
        <f t="array" ref="J388">IFERROR(IF(B388&lt;&gt;"",XLOOKUP(B388,FUNC!E:E,#REF!,"NO VIGENTE"),""),"")</f>
        <v/>
      </c>
    </row>
    <row r="389" ht="23.25" customHeight="1">
      <c r="A389" s="53"/>
      <c r="B389" s="53"/>
      <c r="C389" s="53"/>
      <c r="D389" s="53"/>
      <c r="E389" s="53"/>
      <c r="F389" s="53"/>
      <c r="G389" s="251"/>
      <c r="H389" s="270"/>
      <c r="I389" s="216"/>
      <c r="J389" s="216" t="str">
        <f t="array" ref="J389">IFERROR(IF(B389&lt;&gt;"",XLOOKUP(B389,FUNC!E:E,#REF!,"NO VIGENTE"),""),"")</f>
        <v/>
      </c>
    </row>
    <row r="390" ht="23.25" customHeight="1">
      <c r="A390" s="53"/>
      <c r="B390" s="53"/>
      <c r="C390" s="53"/>
      <c r="D390" s="53"/>
      <c r="E390" s="53"/>
      <c r="F390" s="53"/>
      <c r="G390" s="251"/>
      <c r="H390" s="270"/>
      <c r="I390" s="216"/>
      <c r="J390" s="216" t="str">
        <f t="array" ref="J390">IFERROR(IF(B390&lt;&gt;"",XLOOKUP(B390,FUNC!E:E,#REF!,"NO VIGENTE"),""),"")</f>
        <v/>
      </c>
    </row>
    <row r="391" ht="23.25" customHeight="1">
      <c r="A391" s="53"/>
      <c r="B391" s="53"/>
      <c r="C391" s="53"/>
      <c r="D391" s="53"/>
      <c r="E391" s="53"/>
      <c r="F391" s="53"/>
      <c r="G391" s="251"/>
      <c r="H391" s="270"/>
      <c r="I391" s="216"/>
      <c r="J391" s="216" t="str">
        <f t="array" ref="J391">IFERROR(IF(B391&lt;&gt;"",XLOOKUP(B391,FUNC!E:E,#REF!,"NO VIGENTE"),""),"")</f>
        <v/>
      </c>
    </row>
    <row r="392" ht="23.25" customHeight="1">
      <c r="A392" s="53"/>
      <c r="B392" s="53"/>
      <c r="C392" s="53"/>
      <c r="D392" s="53"/>
      <c r="E392" s="53"/>
      <c r="F392" s="53"/>
      <c r="G392" s="251"/>
      <c r="H392" s="270"/>
      <c r="I392" s="216"/>
      <c r="J392" s="216" t="str">
        <f t="array" ref="J392">IFERROR(IF(B392&lt;&gt;"",XLOOKUP(B392,FUNC!E:E,#REF!,"NO VIGENTE"),""),"")</f>
        <v/>
      </c>
    </row>
    <row r="393" ht="23.25" customHeight="1">
      <c r="A393" s="53"/>
      <c r="B393" s="53"/>
      <c r="C393" s="53"/>
      <c r="D393" s="53"/>
      <c r="E393" s="53"/>
      <c r="F393" s="53"/>
      <c r="G393" s="251"/>
      <c r="H393" s="270"/>
      <c r="I393" s="216"/>
      <c r="J393" s="216" t="str">
        <f t="array" ref="J393">IFERROR(IF(B393&lt;&gt;"",XLOOKUP(B393,FUNC!E:E,#REF!,"NO VIGENTE"),""),"")</f>
        <v/>
      </c>
    </row>
    <row r="394" ht="23.25" customHeight="1">
      <c r="A394" s="53"/>
      <c r="B394" s="53"/>
      <c r="C394" s="53"/>
      <c r="D394" s="53"/>
      <c r="E394" s="53"/>
      <c r="F394" s="53"/>
      <c r="G394" s="251"/>
      <c r="H394" s="270"/>
      <c r="I394" s="216"/>
      <c r="J394" s="216" t="str">
        <f t="array" ref="J394">IFERROR(IF(B394&lt;&gt;"",XLOOKUP(B394,FUNC!E:E,#REF!,"NO VIGENTE"),""),"")</f>
        <v/>
      </c>
    </row>
    <row r="395" ht="23.25" customHeight="1">
      <c r="A395" s="53"/>
      <c r="B395" s="53"/>
      <c r="C395" s="53"/>
      <c r="D395" s="53"/>
      <c r="E395" s="53"/>
      <c r="F395" s="53"/>
      <c r="G395" s="251"/>
      <c r="H395" s="270"/>
      <c r="I395" s="216"/>
      <c r="J395" s="216" t="str">
        <f t="array" ref="J395">IFERROR(IF(B395&lt;&gt;"",XLOOKUP(B395,FUNC!E:E,#REF!,"NO VIGENTE"),""),"")</f>
        <v/>
      </c>
    </row>
    <row r="396" ht="23.25" customHeight="1">
      <c r="A396" s="53"/>
      <c r="B396" s="53"/>
      <c r="C396" s="53"/>
      <c r="D396" s="53"/>
      <c r="E396" s="53"/>
      <c r="F396" s="53"/>
      <c r="G396" s="251"/>
      <c r="H396" s="270"/>
      <c r="I396" s="216"/>
      <c r="J396" s="216" t="str">
        <f t="array" ref="J396">IFERROR(IF(B396&lt;&gt;"",XLOOKUP(B396,FUNC!E:E,#REF!,"NO VIGENTE"),""),"")</f>
        <v/>
      </c>
    </row>
    <row r="397" ht="23.25" customHeight="1">
      <c r="A397" s="53"/>
      <c r="B397" s="53"/>
      <c r="C397" s="53"/>
      <c r="D397" s="53"/>
      <c r="E397" s="53"/>
      <c r="F397" s="53"/>
      <c r="G397" s="251"/>
      <c r="H397" s="270"/>
      <c r="I397" s="216"/>
      <c r="J397" s="216" t="str">
        <f t="array" ref="J397">IFERROR(IF(B397&lt;&gt;"",XLOOKUP(B397,FUNC!E:E,#REF!,"NO VIGENTE"),""),"")</f>
        <v/>
      </c>
    </row>
    <row r="398" ht="23.25" customHeight="1">
      <c r="A398" s="53"/>
      <c r="B398" s="53"/>
      <c r="C398" s="53"/>
      <c r="D398" s="53"/>
      <c r="E398" s="53"/>
      <c r="F398" s="53"/>
      <c r="G398" s="251"/>
      <c r="H398" s="270"/>
      <c r="I398" s="216"/>
      <c r="J398" s="216" t="str">
        <f t="array" ref="J398">IFERROR(IF(B398&lt;&gt;"",XLOOKUP(B398,FUNC!E:E,#REF!,"NO VIGENTE"),""),"")</f>
        <v/>
      </c>
    </row>
    <row r="399" ht="23.25" customHeight="1">
      <c r="A399" s="53"/>
      <c r="B399" s="53"/>
      <c r="C399" s="53"/>
      <c r="D399" s="53"/>
      <c r="E399" s="53"/>
      <c r="F399" s="53"/>
      <c r="G399" s="251"/>
      <c r="H399" s="270"/>
      <c r="I399" s="216"/>
      <c r="J399" s="216" t="str">
        <f t="array" ref="J399">IFERROR(IF(B399&lt;&gt;"",XLOOKUP(B399,FUNC!E:E,#REF!,"NO VIGENTE"),""),"")</f>
        <v/>
      </c>
    </row>
    <row r="400" ht="23.25" customHeight="1">
      <c r="A400" s="53"/>
      <c r="B400" s="53"/>
      <c r="C400" s="53"/>
      <c r="D400" s="53"/>
      <c r="E400" s="53"/>
      <c r="F400" s="53"/>
      <c r="G400" s="251"/>
      <c r="H400" s="270"/>
      <c r="I400" s="216"/>
      <c r="J400" s="216" t="str">
        <f t="array" ref="J400">IFERROR(IF(B400&lt;&gt;"",XLOOKUP(B400,FUNC!E:E,#REF!,"NO VIGENTE"),""),"")</f>
        <v/>
      </c>
    </row>
    <row r="401" ht="23.25" customHeight="1">
      <c r="A401" s="53"/>
      <c r="B401" s="53"/>
      <c r="C401" s="53"/>
      <c r="D401" s="53"/>
      <c r="E401" s="53"/>
      <c r="F401" s="53"/>
      <c r="G401" s="251"/>
      <c r="H401" s="270"/>
      <c r="I401" s="216"/>
      <c r="J401" s="216" t="str">
        <f t="array" ref="J401">IFERROR(IF(B401&lt;&gt;"",XLOOKUP(B401,FUNC!E:E,#REF!,"NO VIGENTE"),""),"")</f>
        <v/>
      </c>
    </row>
    <row r="402" ht="23.25" customHeight="1">
      <c r="A402" s="53"/>
      <c r="B402" s="53"/>
      <c r="C402" s="53"/>
      <c r="D402" s="53"/>
      <c r="E402" s="53"/>
      <c r="F402" s="53"/>
      <c r="G402" s="251"/>
      <c r="H402" s="270"/>
      <c r="I402" s="216"/>
      <c r="J402" s="216" t="str">
        <f t="array" ref="J402">IFERROR(IF(B402&lt;&gt;"",XLOOKUP(B402,FUNC!E:E,#REF!,"NO VIGENTE"),""),"")</f>
        <v/>
      </c>
    </row>
    <row r="403" ht="23.25" customHeight="1">
      <c r="A403" s="53"/>
      <c r="B403" s="53"/>
      <c r="C403" s="53"/>
      <c r="D403" s="53"/>
      <c r="E403" s="53"/>
      <c r="F403" s="53"/>
      <c r="G403" s="251"/>
      <c r="H403" s="270"/>
      <c r="I403" s="216"/>
      <c r="J403" s="216" t="str">
        <f t="array" ref="J403">IFERROR(IF(B403&lt;&gt;"",XLOOKUP(B403,FUNC!E:E,#REF!,"NO VIGENTE"),""),"")</f>
        <v/>
      </c>
    </row>
    <row r="404" ht="23.25" customHeight="1">
      <c r="A404" s="53"/>
      <c r="B404" s="53"/>
      <c r="C404" s="53"/>
      <c r="D404" s="53"/>
      <c r="E404" s="53"/>
      <c r="F404" s="53"/>
      <c r="G404" s="251"/>
      <c r="H404" s="270"/>
      <c r="I404" s="216"/>
      <c r="J404" s="216" t="str">
        <f t="array" ref="J404">IFERROR(IF(B404&lt;&gt;"",XLOOKUP(B404,FUNC!E:E,#REF!,"NO VIGENTE"),""),"")</f>
        <v/>
      </c>
    </row>
    <row r="405" ht="23.25" customHeight="1">
      <c r="A405" s="53"/>
      <c r="B405" s="53"/>
      <c r="C405" s="53"/>
      <c r="D405" s="53"/>
      <c r="E405" s="53"/>
      <c r="F405" s="53"/>
      <c r="G405" s="251"/>
      <c r="H405" s="270"/>
      <c r="I405" s="216"/>
      <c r="J405" s="216" t="str">
        <f t="array" ref="J405">IFERROR(IF(B405&lt;&gt;"",XLOOKUP(B405,FUNC!E:E,#REF!,"NO VIGENTE"),""),"")</f>
        <v/>
      </c>
    </row>
    <row r="406" ht="23.25" customHeight="1">
      <c r="A406" s="53"/>
      <c r="B406" s="53"/>
      <c r="C406" s="53"/>
      <c r="D406" s="53"/>
      <c r="E406" s="53"/>
      <c r="F406" s="53"/>
      <c r="G406" s="251"/>
      <c r="H406" s="270"/>
      <c r="I406" s="216"/>
      <c r="J406" s="216" t="str">
        <f t="array" ref="J406">IFERROR(IF(B406&lt;&gt;"",XLOOKUP(B406,FUNC!E:E,#REF!,"NO VIGENTE"),""),"")</f>
        <v/>
      </c>
    </row>
    <row r="407" ht="23.25" customHeight="1">
      <c r="A407" s="53"/>
      <c r="B407" s="53"/>
      <c r="C407" s="53"/>
      <c r="D407" s="53"/>
      <c r="E407" s="53"/>
      <c r="F407" s="53"/>
      <c r="G407" s="251"/>
      <c r="H407" s="270"/>
      <c r="I407" s="216"/>
      <c r="J407" s="216" t="str">
        <f t="array" ref="J407">IFERROR(IF(B407&lt;&gt;"",XLOOKUP(B407,FUNC!E:E,#REF!,"NO VIGENTE"),""),"")</f>
        <v/>
      </c>
    </row>
    <row r="408" ht="23.25" customHeight="1">
      <c r="A408" s="53"/>
      <c r="B408" s="53"/>
      <c r="C408" s="53"/>
      <c r="D408" s="53"/>
      <c r="E408" s="53"/>
      <c r="F408" s="53"/>
      <c r="G408" s="251"/>
      <c r="H408" s="270"/>
      <c r="I408" s="216"/>
      <c r="J408" s="216" t="str">
        <f t="array" ref="J408">IFERROR(IF(B408&lt;&gt;"",XLOOKUP(B408,FUNC!E:E,#REF!,"NO VIGENTE"),""),"")</f>
        <v/>
      </c>
    </row>
    <row r="409" ht="23.25" customHeight="1">
      <c r="A409" s="53"/>
      <c r="B409" s="53"/>
      <c r="C409" s="53"/>
      <c r="D409" s="53"/>
      <c r="E409" s="53"/>
      <c r="F409" s="53"/>
      <c r="G409" s="251"/>
      <c r="H409" s="270"/>
      <c r="I409" s="216"/>
      <c r="J409" s="216" t="str">
        <f t="array" ref="J409">IFERROR(IF(B409&lt;&gt;"",XLOOKUP(B409,FUNC!E:E,#REF!,"NO VIGENTE"),""),"")</f>
        <v/>
      </c>
    </row>
    <row r="410" ht="23.25" customHeight="1">
      <c r="A410" s="53"/>
      <c r="B410" s="53"/>
      <c r="C410" s="53"/>
      <c r="D410" s="53"/>
      <c r="E410" s="53"/>
      <c r="F410" s="53"/>
      <c r="G410" s="251"/>
      <c r="H410" s="270"/>
      <c r="I410" s="216"/>
      <c r="J410" s="216" t="str">
        <f t="array" ref="J410">IFERROR(IF(B410&lt;&gt;"",XLOOKUP(B410,FUNC!E:E,#REF!,"NO VIGENTE"),""),"")</f>
        <v/>
      </c>
    </row>
    <row r="411" ht="23.25" customHeight="1">
      <c r="A411" s="53"/>
      <c r="B411" s="53"/>
      <c r="C411" s="53"/>
      <c r="D411" s="53"/>
      <c r="E411" s="53"/>
      <c r="F411" s="53"/>
      <c r="G411" s="251"/>
      <c r="H411" s="270"/>
      <c r="I411" s="216"/>
      <c r="J411" s="216" t="str">
        <f t="array" ref="J411">IFERROR(IF(B411&lt;&gt;"",XLOOKUP(B411,FUNC!E:E,#REF!,"NO VIGENTE"),""),"")</f>
        <v/>
      </c>
    </row>
    <row r="412" ht="23.25" customHeight="1">
      <c r="A412" s="53"/>
      <c r="B412" s="53"/>
      <c r="C412" s="53"/>
      <c r="D412" s="53"/>
      <c r="E412" s="53"/>
      <c r="F412" s="53"/>
      <c r="G412" s="251"/>
      <c r="H412" s="270"/>
      <c r="I412" s="216"/>
      <c r="J412" s="216" t="str">
        <f t="array" ref="J412">IFERROR(IF(B412&lt;&gt;"",XLOOKUP(B412,FUNC!E:E,#REF!,"NO VIGENTE"),""),"")</f>
        <v/>
      </c>
    </row>
    <row r="413" ht="23.25" customHeight="1">
      <c r="A413" s="53"/>
      <c r="B413" s="53"/>
      <c r="C413" s="53"/>
      <c r="D413" s="53"/>
      <c r="E413" s="53"/>
      <c r="F413" s="53"/>
      <c r="G413" s="251"/>
      <c r="H413" s="270"/>
      <c r="I413" s="216"/>
      <c r="J413" s="216" t="str">
        <f t="array" ref="J413">IFERROR(IF(B413&lt;&gt;"",XLOOKUP(B413,FUNC!E:E,#REF!,"NO VIGENTE"),""),"")</f>
        <v/>
      </c>
    </row>
    <row r="414" ht="23.25" customHeight="1">
      <c r="A414" s="53"/>
      <c r="B414" s="53"/>
      <c r="C414" s="53"/>
      <c r="D414" s="53"/>
      <c r="E414" s="53"/>
      <c r="F414" s="53"/>
      <c r="G414" s="251"/>
      <c r="H414" s="270"/>
      <c r="I414" s="216"/>
      <c r="J414" s="216" t="str">
        <f t="array" ref="J414">IFERROR(IF(B414&lt;&gt;"",XLOOKUP(B414,FUNC!E:E,#REF!,"NO VIGENTE"),""),"")</f>
        <v/>
      </c>
    </row>
    <row r="415" ht="23.25" customHeight="1">
      <c r="A415" s="53"/>
      <c r="B415" s="53"/>
      <c r="C415" s="53"/>
      <c r="D415" s="53"/>
      <c r="E415" s="53"/>
      <c r="F415" s="53"/>
      <c r="G415" s="251"/>
      <c r="H415" s="270"/>
      <c r="I415" s="216"/>
      <c r="J415" s="216" t="str">
        <f t="array" ref="J415">IFERROR(IF(B415&lt;&gt;"",XLOOKUP(B415,FUNC!E:E,#REF!,"NO VIGENTE"),""),"")</f>
        <v/>
      </c>
    </row>
    <row r="416" ht="23.25" customHeight="1">
      <c r="A416" s="53"/>
      <c r="B416" s="53"/>
      <c r="C416" s="53"/>
      <c r="D416" s="53"/>
      <c r="E416" s="53"/>
      <c r="F416" s="53"/>
      <c r="G416" s="251"/>
      <c r="H416" s="270"/>
      <c r="I416" s="216"/>
      <c r="J416" s="216" t="str">
        <f t="array" ref="J416">IFERROR(IF(B416&lt;&gt;"",XLOOKUP(B416,FUNC!E:E,#REF!,"NO VIGENTE"),""),"")</f>
        <v/>
      </c>
    </row>
    <row r="417" ht="23.25" customHeight="1">
      <c r="A417" s="53"/>
      <c r="B417" s="53"/>
      <c r="C417" s="53"/>
      <c r="D417" s="53"/>
      <c r="E417" s="53"/>
      <c r="F417" s="53"/>
      <c r="G417" s="251"/>
      <c r="H417" s="270"/>
      <c r="I417" s="216"/>
      <c r="J417" s="216" t="str">
        <f t="array" ref="J417">IFERROR(IF(B417&lt;&gt;"",XLOOKUP(B417,FUNC!E:E,#REF!,"NO VIGENTE"),""),"")</f>
        <v/>
      </c>
    </row>
    <row r="418" ht="23.25" customHeight="1">
      <c r="A418" s="53"/>
      <c r="B418" s="53"/>
      <c r="C418" s="53"/>
      <c r="D418" s="53"/>
      <c r="E418" s="53"/>
      <c r="F418" s="53"/>
      <c r="G418" s="251"/>
      <c r="H418" s="270"/>
      <c r="I418" s="216"/>
      <c r="J418" s="216" t="str">
        <f t="array" ref="J418">IFERROR(IF(B418&lt;&gt;"",XLOOKUP(B418,FUNC!E:E,#REF!,"NO VIGENTE"),""),"")</f>
        <v/>
      </c>
    </row>
    <row r="419" ht="23.25" customHeight="1">
      <c r="A419" s="53"/>
      <c r="B419" s="53"/>
      <c r="C419" s="53"/>
      <c r="D419" s="53"/>
      <c r="E419" s="53"/>
      <c r="F419" s="53"/>
      <c r="G419" s="251"/>
      <c r="H419" s="270"/>
      <c r="I419" s="216"/>
      <c r="J419" s="216" t="str">
        <f t="array" ref="J419">IFERROR(IF(B419&lt;&gt;"",XLOOKUP(B419,FUNC!E:E,#REF!,"NO VIGENTE"),""),"")</f>
        <v/>
      </c>
    </row>
    <row r="420" ht="23.25" customHeight="1">
      <c r="A420" s="53"/>
      <c r="B420" s="53"/>
      <c r="C420" s="53"/>
      <c r="D420" s="53"/>
      <c r="E420" s="53"/>
      <c r="F420" s="53"/>
      <c r="G420" s="251"/>
      <c r="H420" s="270"/>
      <c r="I420" s="216"/>
      <c r="J420" s="216" t="str">
        <f t="array" ref="J420">IFERROR(IF(B420&lt;&gt;"",XLOOKUP(B420,FUNC!E:E,#REF!,"NO VIGENTE"),""),"")</f>
        <v/>
      </c>
    </row>
    <row r="421" ht="23.25" customHeight="1">
      <c r="A421" s="53"/>
      <c r="B421" s="53"/>
      <c r="C421" s="53"/>
      <c r="D421" s="53"/>
      <c r="E421" s="53"/>
      <c r="F421" s="53"/>
      <c r="G421" s="251"/>
      <c r="H421" s="270"/>
      <c r="I421" s="216"/>
      <c r="J421" s="216" t="str">
        <f t="array" ref="J421">IFERROR(IF(B421&lt;&gt;"",XLOOKUP(B421,FUNC!E:E,#REF!,"NO VIGENTE"),""),"")</f>
        <v/>
      </c>
    </row>
    <row r="422" ht="23.25" customHeight="1">
      <c r="A422" s="53"/>
      <c r="B422" s="53"/>
      <c r="C422" s="53"/>
      <c r="D422" s="53"/>
      <c r="E422" s="53"/>
      <c r="F422" s="53"/>
      <c r="G422" s="251"/>
      <c r="H422" s="270"/>
      <c r="I422" s="216"/>
      <c r="J422" s="216" t="str">
        <f t="array" ref="J422">IFERROR(IF(B422&lt;&gt;"",XLOOKUP(B422,FUNC!E:E,#REF!,"NO VIGENTE"),""),"")</f>
        <v/>
      </c>
    </row>
    <row r="423" ht="23.25" customHeight="1">
      <c r="A423" s="53"/>
      <c r="B423" s="53"/>
      <c r="C423" s="53"/>
      <c r="D423" s="53"/>
      <c r="E423" s="53"/>
      <c r="F423" s="53"/>
      <c r="G423" s="251"/>
      <c r="H423" s="270"/>
      <c r="I423" s="216"/>
      <c r="J423" s="216" t="str">
        <f t="array" ref="J423">IFERROR(IF(B423&lt;&gt;"",XLOOKUP(B423,FUNC!E:E,#REF!,"NO VIGENTE"),""),"")</f>
        <v/>
      </c>
    </row>
    <row r="424" ht="23.25" customHeight="1">
      <c r="A424" s="53"/>
      <c r="B424" s="53"/>
      <c r="C424" s="53"/>
      <c r="D424" s="53"/>
      <c r="E424" s="53"/>
      <c r="F424" s="53"/>
      <c r="G424" s="251"/>
      <c r="H424" s="270"/>
      <c r="I424" s="216"/>
      <c r="J424" s="216" t="str">
        <f t="array" ref="J424">IFERROR(IF(B424&lt;&gt;"",XLOOKUP(B424,FUNC!E:E,#REF!,"NO VIGENTE"),""),"")</f>
        <v/>
      </c>
    </row>
    <row r="425" ht="23.25" customHeight="1">
      <c r="A425" s="53"/>
      <c r="B425" s="53"/>
      <c r="C425" s="53"/>
      <c r="D425" s="53"/>
      <c r="E425" s="53"/>
      <c r="F425" s="53"/>
      <c r="G425" s="251"/>
      <c r="H425" s="270"/>
      <c r="I425" s="216"/>
      <c r="J425" s="216" t="str">
        <f t="array" ref="J425">IFERROR(IF(B425&lt;&gt;"",XLOOKUP(B425,FUNC!E:E,#REF!,"NO VIGENTE"),""),"")</f>
        <v/>
      </c>
    </row>
    <row r="426" ht="23.25" customHeight="1">
      <c r="A426" s="53"/>
      <c r="B426" s="53"/>
      <c r="C426" s="53"/>
      <c r="D426" s="53"/>
      <c r="E426" s="53"/>
      <c r="F426" s="53"/>
      <c r="G426" s="251"/>
      <c r="H426" s="270"/>
      <c r="I426" s="216"/>
      <c r="J426" s="216" t="str">
        <f t="array" ref="J426">IFERROR(IF(B426&lt;&gt;"",XLOOKUP(B426,FUNC!E:E,#REF!,"NO VIGENTE"),""),"")</f>
        <v/>
      </c>
    </row>
    <row r="427" ht="23.25" customHeight="1">
      <c r="A427" s="53"/>
      <c r="B427" s="53"/>
      <c r="C427" s="53"/>
      <c r="D427" s="53"/>
      <c r="E427" s="53"/>
      <c r="F427" s="53"/>
      <c r="G427" s="251"/>
      <c r="H427" s="270"/>
      <c r="I427" s="216"/>
      <c r="J427" s="216" t="str">
        <f t="array" ref="J427">IFERROR(IF(B427&lt;&gt;"",XLOOKUP(B427,FUNC!E:E,#REF!,"NO VIGENTE"),""),"")</f>
        <v/>
      </c>
    </row>
    <row r="428" ht="23.25" customHeight="1">
      <c r="A428" s="53"/>
      <c r="B428" s="53"/>
      <c r="C428" s="53"/>
      <c r="D428" s="53"/>
      <c r="E428" s="53"/>
      <c r="F428" s="53"/>
      <c r="G428" s="251"/>
      <c r="H428" s="270"/>
      <c r="I428" s="216"/>
      <c r="J428" s="216" t="str">
        <f t="array" ref="J428">IFERROR(IF(B428&lt;&gt;"",XLOOKUP(B428,FUNC!E:E,#REF!,"NO VIGENTE"),""),"")</f>
        <v/>
      </c>
    </row>
    <row r="429" ht="23.25" customHeight="1">
      <c r="A429" s="53"/>
      <c r="B429" s="53"/>
      <c r="C429" s="53"/>
      <c r="D429" s="53"/>
      <c r="E429" s="53"/>
      <c r="F429" s="53"/>
      <c r="G429" s="251"/>
      <c r="H429" s="270"/>
      <c r="I429" s="216"/>
      <c r="J429" s="216" t="str">
        <f t="array" ref="J429">IFERROR(IF(B429&lt;&gt;"",XLOOKUP(B429,FUNC!E:E,#REF!,"NO VIGENTE"),""),"")</f>
        <v/>
      </c>
    </row>
    <row r="430" ht="23.25" customHeight="1">
      <c r="A430" s="53"/>
      <c r="B430" s="53"/>
      <c r="C430" s="53"/>
      <c r="D430" s="53"/>
      <c r="E430" s="53"/>
      <c r="F430" s="53"/>
      <c r="G430" s="251"/>
      <c r="H430" s="270"/>
      <c r="I430" s="216"/>
      <c r="J430" s="216" t="str">
        <f t="array" ref="J430">IFERROR(IF(B430&lt;&gt;"",XLOOKUP(B430,FUNC!E:E,#REF!,"NO VIGENTE"),""),"")</f>
        <v/>
      </c>
    </row>
    <row r="431" ht="23.25" customHeight="1">
      <c r="A431" s="53"/>
      <c r="B431" s="53"/>
      <c r="C431" s="53"/>
      <c r="D431" s="53"/>
      <c r="E431" s="53"/>
      <c r="F431" s="53"/>
      <c r="G431" s="251"/>
      <c r="H431" s="270"/>
      <c r="I431" s="216"/>
      <c r="J431" s="216" t="str">
        <f t="array" ref="J431">IFERROR(IF(B431&lt;&gt;"",XLOOKUP(B431,FUNC!E:E,#REF!,"NO VIGENTE"),""),"")</f>
        <v/>
      </c>
    </row>
    <row r="432" ht="23.25" customHeight="1">
      <c r="A432" s="53"/>
      <c r="B432" s="53"/>
      <c r="C432" s="53"/>
      <c r="D432" s="53"/>
      <c r="E432" s="53"/>
      <c r="F432" s="53"/>
      <c r="G432" s="251"/>
      <c r="H432" s="270"/>
      <c r="I432" s="216"/>
      <c r="J432" s="216" t="str">
        <f t="array" ref="J432">IFERROR(IF(B432&lt;&gt;"",XLOOKUP(B432,FUNC!E:E,#REF!,"NO VIGENTE"),""),"")</f>
        <v/>
      </c>
    </row>
    <row r="433" ht="23.25" customHeight="1">
      <c r="A433" s="53"/>
      <c r="B433" s="53"/>
      <c r="C433" s="53"/>
      <c r="D433" s="53"/>
      <c r="E433" s="53"/>
      <c r="F433" s="53"/>
      <c r="G433" s="251"/>
      <c r="H433" s="270"/>
      <c r="I433" s="216"/>
      <c r="J433" s="216" t="str">
        <f t="array" ref="J433">IFERROR(IF(B433&lt;&gt;"",XLOOKUP(B433,FUNC!E:E,#REF!,"NO VIGENTE"),""),"")</f>
        <v/>
      </c>
    </row>
    <row r="434" ht="23.25" customHeight="1">
      <c r="A434" s="53"/>
      <c r="B434" s="53"/>
      <c r="C434" s="53"/>
      <c r="D434" s="53"/>
      <c r="E434" s="53"/>
      <c r="F434" s="53"/>
      <c r="G434" s="251"/>
      <c r="H434" s="270"/>
      <c r="I434" s="216"/>
      <c r="J434" s="216" t="str">
        <f t="array" ref="J434">IFERROR(IF(B434&lt;&gt;"",XLOOKUP(B434,FUNC!E:E,#REF!,"NO VIGENTE"),""),"")</f>
        <v/>
      </c>
    </row>
    <row r="435" ht="23.25" customHeight="1">
      <c r="A435" s="53"/>
      <c r="B435" s="53"/>
      <c r="C435" s="53"/>
      <c r="D435" s="53"/>
      <c r="E435" s="53"/>
      <c r="F435" s="53"/>
      <c r="G435" s="251"/>
      <c r="H435" s="270"/>
      <c r="I435" s="216"/>
      <c r="J435" s="216" t="str">
        <f t="array" ref="J435">IFERROR(IF(B435&lt;&gt;"",XLOOKUP(B435,FUNC!E:E,#REF!,"NO VIGENTE"),""),"")</f>
        <v/>
      </c>
    </row>
    <row r="436" ht="23.25" customHeight="1">
      <c r="A436" s="53"/>
      <c r="B436" s="53"/>
      <c r="C436" s="53"/>
      <c r="D436" s="53"/>
      <c r="E436" s="53"/>
      <c r="F436" s="53"/>
      <c r="G436" s="251"/>
      <c r="H436" s="270"/>
      <c r="I436" s="216"/>
      <c r="J436" s="216" t="str">
        <f t="array" ref="J436">IFERROR(IF(B436&lt;&gt;"",XLOOKUP(B436,FUNC!E:E,#REF!,"NO VIGENTE"),""),"")</f>
        <v/>
      </c>
    </row>
    <row r="437" ht="23.25" customHeight="1">
      <c r="A437" s="53"/>
      <c r="B437" s="53"/>
      <c r="C437" s="53"/>
      <c r="D437" s="53"/>
      <c r="E437" s="53"/>
      <c r="F437" s="53"/>
      <c r="G437" s="251"/>
      <c r="H437" s="270"/>
      <c r="I437" s="216"/>
      <c r="J437" s="216" t="str">
        <f t="array" ref="J437">IFERROR(IF(B437&lt;&gt;"",XLOOKUP(B437,FUNC!E:E,#REF!,"NO VIGENTE"),""),"")</f>
        <v/>
      </c>
    </row>
    <row r="438" ht="23.25" customHeight="1">
      <c r="A438" s="53"/>
      <c r="B438" s="53"/>
      <c r="C438" s="53"/>
      <c r="D438" s="53"/>
      <c r="E438" s="53"/>
      <c r="F438" s="53"/>
      <c r="G438" s="251"/>
      <c r="H438" s="270"/>
      <c r="I438" s="216"/>
      <c r="J438" s="216" t="str">
        <f t="array" ref="J438">IFERROR(IF(B438&lt;&gt;"",XLOOKUP(B438,FUNC!E:E,#REF!,"NO VIGENTE"),""),"")</f>
        <v/>
      </c>
    </row>
    <row r="439" ht="23.25" customHeight="1">
      <c r="A439" s="53"/>
      <c r="B439" s="53"/>
      <c r="C439" s="53"/>
      <c r="D439" s="53"/>
      <c r="E439" s="53"/>
      <c r="F439" s="53"/>
      <c r="G439" s="251"/>
      <c r="H439" s="270"/>
      <c r="I439" s="216"/>
      <c r="J439" s="216" t="str">
        <f t="array" ref="J439">IFERROR(IF(B439&lt;&gt;"",XLOOKUP(B439,FUNC!E:E,#REF!,"NO VIGENTE"),""),"")</f>
        <v/>
      </c>
    </row>
    <row r="440" ht="23.25" customHeight="1">
      <c r="A440" s="53"/>
      <c r="B440" s="53"/>
      <c r="C440" s="53"/>
      <c r="D440" s="53"/>
      <c r="E440" s="53"/>
      <c r="F440" s="53"/>
      <c r="G440" s="251"/>
      <c r="H440" s="270"/>
      <c r="I440" s="216"/>
      <c r="J440" s="216" t="str">
        <f t="array" ref="J440">IFERROR(IF(B440&lt;&gt;"",XLOOKUP(B440,FUNC!E:E,#REF!,"NO VIGENTE"),""),"")</f>
        <v/>
      </c>
    </row>
    <row r="441" ht="23.25" customHeight="1">
      <c r="A441" s="53"/>
      <c r="B441" s="53"/>
      <c r="C441" s="53"/>
      <c r="D441" s="53"/>
      <c r="E441" s="53"/>
      <c r="F441" s="53"/>
      <c r="G441" s="251"/>
      <c r="H441" s="270"/>
      <c r="I441" s="216"/>
      <c r="J441" s="216" t="str">
        <f t="array" ref="J441">IFERROR(IF(B441&lt;&gt;"",XLOOKUP(B441,FUNC!E:E,#REF!,"NO VIGENTE"),""),"")</f>
        <v/>
      </c>
    </row>
    <row r="442" ht="23.25" customHeight="1">
      <c r="A442" s="53"/>
      <c r="B442" s="53"/>
      <c r="C442" s="53"/>
      <c r="D442" s="53"/>
      <c r="E442" s="53"/>
      <c r="F442" s="53"/>
      <c r="G442" s="251"/>
      <c r="H442" s="270"/>
      <c r="I442" s="216"/>
      <c r="J442" s="216" t="str">
        <f t="array" ref="J442">IFERROR(IF(B442&lt;&gt;"",XLOOKUP(B442,FUNC!E:E,#REF!,"NO VIGENTE"),""),"")</f>
        <v/>
      </c>
    </row>
    <row r="443" ht="23.25" customHeight="1">
      <c r="A443" s="53"/>
      <c r="B443" s="53"/>
      <c r="C443" s="53"/>
      <c r="D443" s="53"/>
      <c r="E443" s="53"/>
      <c r="F443" s="53"/>
      <c r="G443" s="251"/>
      <c r="H443" s="270"/>
      <c r="I443" s="216"/>
      <c r="J443" s="216" t="str">
        <f t="array" ref="J443">IFERROR(IF(B443&lt;&gt;"",XLOOKUP(B443,FUNC!E:E,#REF!,"NO VIGENTE"),""),"")</f>
        <v/>
      </c>
    </row>
    <row r="444" ht="23.25" customHeight="1">
      <c r="A444" s="53"/>
      <c r="B444" s="53"/>
      <c r="C444" s="53"/>
      <c r="D444" s="53"/>
      <c r="E444" s="53"/>
      <c r="F444" s="53"/>
      <c r="G444" s="251"/>
      <c r="H444" s="270"/>
      <c r="I444" s="216"/>
      <c r="J444" s="216" t="str">
        <f t="array" ref="J444">IFERROR(IF(B444&lt;&gt;"",XLOOKUP(B444,FUNC!E:E,#REF!,"NO VIGENTE"),""),"")</f>
        <v/>
      </c>
    </row>
    <row r="445" ht="23.25" customHeight="1">
      <c r="A445" s="53"/>
      <c r="B445" s="53"/>
      <c r="C445" s="53"/>
      <c r="D445" s="53"/>
      <c r="E445" s="53"/>
      <c r="F445" s="53"/>
      <c r="G445" s="251"/>
      <c r="H445" s="270"/>
      <c r="I445" s="216"/>
      <c r="J445" s="216" t="str">
        <f t="array" ref="J445">IFERROR(IF(B445&lt;&gt;"",XLOOKUP(B445,FUNC!E:E,#REF!,"NO VIGENTE"),""),"")</f>
        <v/>
      </c>
    </row>
    <row r="446" ht="23.25" customHeight="1">
      <c r="A446" s="53"/>
      <c r="B446" s="53"/>
      <c r="C446" s="53"/>
      <c r="D446" s="53"/>
      <c r="E446" s="53"/>
      <c r="F446" s="53"/>
      <c r="G446" s="251"/>
      <c r="H446" s="270"/>
      <c r="I446" s="216"/>
      <c r="J446" s="216" t="str">
        <f t="array" ref="J446">IFERROR(IF(B446&lt;&gt;"",XLOOKUP(B446,FUNC!E:E,#REF!,"NO VIGENTE"),""),"")</f>
        <v/>
      </c>
    </row>
    <row r="447" ht="23.25" customHeight="1">
      <c r="A447" s="53"/>
      <c r="B447" s="53"/>
      <c r="C447" s="53"/>
      <c r="D447" s="53"/>
      <c r="E447" s="53"/>
      <c r="F447" s="53"/>
      <c r="G447" s="251"/>
      <c r="H447" s="270"/>
      <c r="I447" s="216"/>
      <c r="J447" s="216" t="str">
        <f t="array" ref="J447">IFERROR(IF(B447&lt;&gt;"",XLOOKUP(B447,FUNC!E:E,#REF!,"NO VIGENTE"),""),"")</f>
        <v/>
      </c>
    </row>
    <row r="448" ht="23.25" customHeight="1">
      <c r="A448" s="53"/>
      <c r="B448" s="53"/>
      <c r="C448" s="53"/>
      <c r="D448" s="53"/>
      <c r="E448" s="53"/>
      <c r="F448" s="53"/>
      <c r="G448" s="251"/>
      <c r="H448" s="270"/>
      <c r="I448" s="216"/>
      <c r="J448" s="216" t="str">
        <f t="array" ref="J448">IFERROR(IF(B448&lt;&gt;"",XLOOKUP(B448,FUNC!E:E,#REF!,"NO VIGENTE"),""),"")</f>
        <v/>
      </c>
    </row>
    <row r="449" ht="23.25" customHeight="1">
      <c r="A449" s="53"/>
      <c r="B449" s="53"/>
      <c r="C449" s="53"/>
      <c r="D449" s="53"/>
      <c r="E449" s="53"/>
      <c r="F449" s="53"/>
      <c r="G449" s="251"/>
      <c r="H449" s="270"/>
      <c r="I449" s="216"/>
      <c r="J449" s="216" t="str">
        <f t="array" ref="J449">IFERROR(IF(B449&lt;&gt;"",XLOOKUP(B449,FUNC!E:E,#REF!,"NO VIGENTE"),""),"")</f>
        <v/>
      </c>
    </row>
    <row r="450" ht="23.25" customHeight="1">
      <c r="A450" s="53"/>
      <c r="B450" s="53"/>
      <c r="C450" s="53"/>
      <c r="D450" s="53"/>
      <c r="E450" s="53"/>
      <c r="F450" s="53"/>
      <c r="G450" s="251"/>
      <c r="H450" s="270"/>
      <c r="I450" s="216"/>
      <c r="J450" s="216" t="str">
        <f t="array" ref="J450">IFERROR(IF(B450&lt;&gt;"",XLOOKUP(B450,FUNC!E:E,#REF!,"NO VIGENTE"),""),"")</f>
        <v/>
      </c>
    </row>
    <row r="451" ht="23.25" customHeight="1">
      <c r="A451" s="53"/>
      <c r="B451" s="53"/>
      <c r="C451" s="53"/>
      <c r="D451" s="53"/>
      <c r="E451" s="53"/>
      <c r="F451" s="53"/>
      <c r="G451" s="251"/>
      <c r="H451" s="270"/>
      <c r="I451" s="216"/>
      <c r="J451" s="216" t="str">
        <f t="array" ref="J451">IFERROR(IF(B451&lt;&gt;"",XLOOKUP(B451,FUNC!E:E,#REF!,"NO VIGENTE"),""),"")</f>
        <v/>
      </c>
    </row>
    <row r="452" ht="23.25" customHeight="1">
      <c r="A452" s="53"/>
      <c r="B452" s="53"/>
      <c r="C452" s="53"/>
      <c r="D452" s="53"/>
      <c r="E452" s="53"/>
      <c r="F452" s="53"/>
      <c r="G452" s="251"/>
      <c r="H452" s="270"/>
      <c r="I452" s="216"/>
      <c r="J452" s="216" t="str">
        <f t="array" ref="J452">IFERROR(IF(B452&lt;&gt;"",XLOOKUP(B452,FUNC!E:E,#REF!,"NO VIGENTE"),""),"")</f>
        <v/>
      </c>
    </row>
    <row r="453" ht="23.25" customHeight="1">
      <c r="A453" s="53"/>
      <c r="B453" s="53"/>
      <c r="C453" s="53"/>
      <c r="D453" s="53"/>
      <c r="E453" s="53"/>
      <c r="F453" s="53"/>
      <c r="G453" s="251"/>
      <c r="H453" s="270"/>
      <c r="I453" s="216"/>
      <c r="J453" s="216" t="str">
        <f t="array" ref="J453">IFERROR(IF(B453&lt;&gt;"",XLOOKUP(B453,FUNC!E:E,#REF!,"NO VIGENTE"),""),"")</f>
        <v/>
      </c>
    </row>
    <row r="454" ht="23.25" customHeight="1">
      <c r="A454" s="53"/>
      <c r="B454" s="53"/>
      <c r="C454" s="53"/>
      <c r="D454" s="53"/>
      <c r="E454" s="53"/>
      <c r="F454" s="53"/>
      <c r="G454" s="251"/>
      <c r="H454" s="270"/>
      <c r="I454" s="216"/>
      <c r="J454" s="216" t="str">
        <f t="array" ref="J454">IFERROR(IF(B454&lt;&gt;"",XLOOKUP(B454,FUNC!E:E,#REF!,"NO VIGENTE"),""),"")</f>
        <v/>
      </c>
    </row>
    <row r="455" ht="23.25" customHeight="1">
      <c r="A455" s="53"/>
      <c r="B455" s="53"/>
      <c r="C455" s="53"/>
      <c r="D455" s="53"/>
      <c r="E455" s="53"/>
      <c r="F455" s="53"/>
      <c r="G455" s="251"/>
      <c r="H455" s="270"/>
      <c r="I455" s="216"/>
      <c r="J455" s="216" t="str">
        <f t="array" ref="J455">IFERROR(IF(B455&lt;&gt;"",XLOOKUP(B455,FUNC!E:E,#REF!,"NO VIGENTE"),""),"")</f>
        <v/>
      </c>
    </row>
    <row r="456" ht="23.25" customHeight="1">
      <c r="A456" s="53"/>
      <c r="B456" s="53"/>
      <c r="C456" s="53"/>
      <c r="D456" s="53"/>
      <c r="E456" s="53"/>
      <c r="F456" s="53"/>
      <c r="G456" s="251"/>
      <c r="H456" s="270"/>
      <c r="I456" s="216"/>
      <c r="J456" s="216" t="str">
        <f t="array" ref="J456">IFERROR(IF(B456&lt;&gt;"",XLOOKUP(B456,FUNC!E:E,#REF!,"NO VIGENTE"),""),"")</f>
        <v/>
      </c>
    </row>
    <row r="457" ht="23.25" customHeight="1">
      <c r="A457" s="53"/>
      <c r="B457" s="53"/>
      <c r="C457" s="53"/>
      <c r="D457" s="53"/>
      <c r="E457" s="53"/>
      <c r="F457" s="53"/>
      <c r="G457" s="251"/>
      <c r="H457" s="270"/>
      <c r="I457" s="216"/>
      <c r="J457" s="216" t="str">
        <f t="array" ref="J457">IFERROR(IF(B457&lt;&gt;"",XLOOKUP(B457,FUNC!E:E,#REF!,"NO VIGENTE"),""),"")</f>
        <v/>
      </c>
    </row>
    <row r="458" ht="23.25" customHeight="1">
      <c r="A458" s="53"/>
      <c r="B458" s="53"/>
      <c r="C458" s="53"/>
      <c r="D458" s="53"/>
      <c r="E458" s="53"/>
      <c r="F458" s="53"/>
      <c r="G458" s="251"/>
      <c r="H458" s="270"/>
      <c r="I458" s="216"/>
      <c r="J458" s="216" t="str">
        <f t="array" ref="J458">IFERROR(IF(B458&lt;&gt;"",XLOOKUP(B458,FUNC!E:E,#REF!,"NO VIGENTE"),""),"")</f>
        <v/>
      </c>
    </row>
    <row r="459" ht="23.25" customHeight="1">
      <c r="A459" s="53"/>
      <c r="B459" s="53"/>
      <c r="C459" s="53"/>
      <c r="D459" s="53"/>
      <c r="E459" s="53"/>
      <c r="F459" s="53"/>
      <c r="G459" s="251"/>
      <c r="H459" s="270"/>
      <c r="I459" s="216"/>
      <c r="J459" s="216" t="str">
        <f t="array" ref="J459">IFERROR(IF(B459&lt;&gt;"",XLOOKUP(B459,FUNC!E:E,#REF!,"NO VIGENTE"),""),"")</f>
        <v/>
      </c>
    </row>
    <row r="460" ht="23.25" customHeight="1">
      <c r="A460" s="53"/>
      <c r="B460" s="53"/>
      <c r="C460" s="53"/>
      <c r="D460" s="53"/>
      <c r="E460" s="53"/>
      <c r="F460" s="53"/>
      <c r="G460" s="251"/>
      <c r="H460" s="270"/>
      <c r="I460" s="216"/>
      <c r="J460" s="216" t="str">
        <f t="array" ref="J460">IFERROR(IF(B460&lt;&gt;"",XLOOKUP(B460,FUNC!E:E,#REF!,"NO VIGENTE"),""),"")</f>
        <v/>
      </c>
    </row>
    <row r="461" ht="23.25" customHeight="1">
      <c r="A461" s="53"/>
      <c r="B461" s="53"/>
      <c r="C461" s="53"/>
      <c r="D461" s="53"/>
      <c r="E461" s="53"/>
      <c r="F461" s="53"/>
      <c r="G461" s="251"/>
      <c r="H461" s="270"/>
      <c r="I461" s="216"/>
      <c r="J461" s="216" t="str">
        <f t="array" ref="J461">IFERROR(IF(B461&lt;&gt;"",XLOOKUP(B461,FUNC!E:E,#REF!,"NO VIGENTE"),""),"")</f>
        <v/>
      </c>
    </row>
    <row r="462" ht="23.25" customHeight="1">
      <c r="A462" s="53"/>
      <c r="B462" s="53"/>
      <c r="C462" s="53"/>
      <c r="D462" s="53"/>
      <c r="E462" s="53"/>
      <c r="F462" s="53"/>
      <c r="G462" s="251"/>
      <c r="H462" s="270"/>
      <c r="I462" s="216"/>
      <c r="J462" s="216" t="str">
        <f t="array" ref="J462">IFERROR(IF(B462&lt;&gt;"",XLOOKUP(B462,FUNC!E:E,#REF!,"NO VIGENTE"),""),"")</f>
        <v/>
      </c>
    </row>
    <row r="463" ht="23.25" customHeight="1">
      <c r="A463" s="53"/>
      <c r="B463" s="53"/>
      <c r="C463" s="53"/>
      <c r="D463" s="53"/>
      <c r="E463" s="53"/>
      <c r="F463" s="53"/>
      <c r="G463" s="251"/>
      <c r="H463" s="270"/>
      <c r="I463" s="216"/>
      <c r="J463" s="216" t="str">
        <f t="array" ref="J463">IFERROR(IF(B463&lt;&gt;"",XLOOKUP(B463,FUNC!E:E,#REF!,"NO VIGENTE"),""),"")</f>
        <v/>
      </c>
    </row>
    <row r="464" ht="23.25" customHeight="1">
      <c r="A464" s="53"/>
      <c r="B464" s="53"/>
      <c r="C464" s="53"/>
      <c r="D464" s="53"/>
      <c r="E464" s="53"/>
      <c r="F464" s="53"/>
      <c r="G464" s="251"/>
      <c r="H464" s="270"/>
      <c r="I464" s="216"/>
      <c r="J464" s="216" t="str">
        <f t="array" ref="J464">IFERROR(IF(B464&lt;&gt;"",XLOOKUP(B464,FUNC!E:E,#REF!,"NO VIGENTE"),""),"")</f>
        <v/>
      </c>
    </row>
    <row r="465" ht="23.25" customHeight="1">
      <c r="A465" s="53"/>
      <c r="B465" s="53"/>
      <c r="C465" s="53"/>
      <c r="D465" s="53"/>
      <c r="E465" s="53"/>
      <c r="F465" s="53"/>
      <c r="G465" s="251"/>
      <c r="H465" s="270"/>
      <c r="I465" s="216"/>
      <c r="J465" s="216" t="str">
        <f t="array" ref="J465">IFERROR(IF(B465&lt;&gt;"",XLOOKUP(B465,FUNC!E:E,#REF!,"NO VIGENTE"),""),"")</f>
        <v/>
      </c>
    </row>
    <row r="466" ht="23.25" customHeight="1">
      <c r="A466" s="53"/>
      <c r="B466" s="53"/>
      <c r="C466" s="53"/>
      <c r="D466" s="53"/>
      <c r="E466" s="53"/>
      <c r="F466" s="53"/>
      <c r="G466" s="251"/>
      <c r="H466" s="270"/>
      <c r="I466" s="216"/>
      <c r="J466" s="216" t="str">
        <f t="array" ref="J466">IFERROR(IF(B466&lt;&gt;"",XLOOKUP(B466,FUNC!E:E,#REF!,"NO VIGENTE"),""),"")</f>
        <v/>
      </c>
    </row>
    <row r="467" ht="23.25" customHeight="1">
      <c r="A467" s="53"/>
      <c r="B467" s="53"/>
      <c r="C467" s="53"/>
      <c r="D467" s="53"/>
      <c r="E467" s="53"/>
      <c r="F467" s="53"/>
      <c r="G467" s="251"/>
      <c r="H467" s="270"/>
      <c r="I467" s="216"/>
      <c r="J467" s="216" t="str">
        <f t="array" ref="J467">IFERROR(IF(B467&lt;&gt;"",XLOOKUP(B467,FUNC!E:E,#REF!,"NO VIGENTE"),""),"")</f>
        <v/>
      </c>
    </row>
    <row r="468" ht="23.25" customHeight="1">
      <c r="A468" s="53"/>
      <c r="B468" s="53"/>
      <c r="C468" s="53"/>
      <c r="D468" s="53"/>
      <c r="E468" s="53"/>
      <c r="F468" s="53"/>
      <c r="G468" s="251"/>
      <c r="H468" s="270"/>
      <c r="I468" s="216"/>
      <c r="J468" s="216" t="str">
        <f t="array" ref="J468">IFERROR(IF(B468&lt;&gt;"",XLOOKUP(B468,FUNC!E:E,#REF!,"NO VIGENTE"),""),"")</f>
        <v/>
      </c>
    </row>
    <row r="469" ht="23.25" customHeight="1">
      <c r="A469" s="53"/>
      <c r="B469" s="53"/>
      <c r="C469" s="53"/>
      <c r="D469" s="53"/>
      <c r="E469" s="53"/>
      <c r="F469" s="53"/>
      <c r="G469" s="251"/>
      <c r="H469" s="270"/>
      <c r="I469" s="216"/>
      <c r="J469" s="216" t="str">
        <f t="array" ref="J469">IFERROR(IF(B469&lt;&gt;"",XLOOKUP(B469,FUNC!E:E,#REF!,"NO VIGENTE"),""),"")</f>
        <v/>
      </c>
    </row>
    <row r="470" ht="23.25" customHeight="1">
      <c r="A470" s="53"/>
      <c r="B470" s="53"/>
      <c r="C470" s="53"/>
      <c r="D470" s="53"/>
      <c r="E470" s="53"/>
      <c r="F470" s="53"/>
      <c r="G470" s="251"/>
      <c r="H470" s="270"/>
      <c r="I470" s="216"/>
      <c r="J470" s="216" t="str">
        <f t="array" ref="J470">IFERROR(IF(B470&lt;&gt;"",XLOOKUP(B470,FUNC!E:E,#REF!,"NO VIGENTE"),""),"")</f>
        <v/>
      </c>
    </row>
    <row r="471" ht="23.25" customHeight="1">
      <c r="A471" s="53"/>
      <c r="B471" s="53"/>
      <c r="C471" s="53"/>
      <c r="D471" s="53"/>
      <c r="E471" s="53"/>
      <c r="F471" s="53"/>
      <c r="G471" s="251"/>
      <c r="H471" s="270"/>
      <c r="I471" s="216"/>
      <c r="J471" s="216" t="str">
        <f t="array" ref="J471">IFERROR(IF(B471&lt;&gt;"",XLOOKUP(B471,FUNC!E:E,#REF!,"NO VIGENTE"),""),"")</f>
        <v/>
      </c>
    </row>
    <row r="472" ht="23.25" customHeight="1">
      <c r="A472" s="53"/>
      <c r="B472" s="53"/>
      <c r="C472" s="53"/>
      <c r="D472" s="53"/>
      <c r="E472" s="53"/>
      <c r="F472" s="53"/>
      <c r="G472" s="251"/>
      <c r="H472" s="270"/>
      <c r="I472" s="216"/>
      <c r="J472" s="216" t="str">
        <f t="array" ref="J472">IFERROR(IF(B472&lt;&gt;"",XLOOKUP(B472,FUNC!E:E,#REF!,"NO VIGENTE"),""),"")</f>
        <v/>
      </c>
    </row>
    <row r="473" ht="23.25" customHeight="1">
      <c r="A473" s="53"/>
      <c r="B473" s="53"/>
      <c r="C473" s="53"/>
      <c r="D473" s="53"/>
      <c r="E473" s="53"/>
      <c r="F473" s="53"/>
      <c r="G473" s="251"/>
      <c r="H473" s="270"/>
      <c r="I473" s="216"/>
      <c r="J473" s="216" t="str">
        <f t="array" ref="J473">IFERROR(IF(B473&lt;&gt;"",XLOOKUP(B473,FUNC!E:E,#REF!,"NO VIGENTE"),""),"")</f>
        <v/>
      </c>
    </row>
    <row r="474" ht="23.25" customHeight="1">
      <c r="A474" s="53"/>
      <c r="B474" s="53"/>
      <c r="C474" s="53"/>
      <c r="D474" s="53"/>
      <c r="E474" s="53"/>
      <c r="F474" s="53"/>
      <c r="G474" s="251"/>
      <c r="H474" s="270"/>
      <c r="I474" s="216"/>
      <c r="J474" s="216" t="str">
        <f t="array" ref="J474">IFERROR(IF(B474&lt;&gt;"",XLOOKUP(B474,FUNC!E:E,#REF!,"NO VIGENTE"),""),"")</f>
        <v/>
      </c>
    </row>
    <row r="475" ht="23.25" customHeight="1">
      <c r="A475" s="53"/>
      <c r="B475" s="53"/>
      <c r="C475" s="53"/>
      <c r="D475" s="53"/>
      <c r="E475" s="53"/>
      <c r="F475" s="53"/>
      <c r="G475" s="251"/>
      <c r="H475" s="270"/>
      <c r="I475" s="216"/>
      <c r="J475" s="216" t="str">
        <f t="array" ref="J475">IFERROR(IF(B475&lt;&gt;"",XLOOKUP(B475,FUNC!E:E,#REF!,"NO VIGENTE"),""),"")</f>
        <v/>
      </c>
    </row>
    <row r="476" ht="23.25" customHeight="1">
      <c r="A476" s="53"/>
      <c r="B476" s="53"/>
      <c r="C476" s="53"/>
      <c r="D476" s="53"/>
      <c r="E476" s="53"/>
      <c r="F476" s="53"/>
      <c r="G476" s="251"/>
      <c r="H476" s="270"/>
      <c r="I476" s="216"/>
      <c r="J476" s="216" t="str">
        <f t="array" ref="J476">IFERROR(IF(B476&lt;&gt;"",XLOOKUP(B476,FUNC!E:E,#REF!,"NO VIGENTE"),""),"")</f>
        <v/>
      </c>
    </row>
    <row r="477" ht="23.25" customHeight="1">
      <c r="A477" s="53"/>
      <c r="B477" s="53"/>
      <c r="C477" s="53"/>
      <c r="D477" s="53"/>
      <c r="E477" s="53"/>
      <c r="F477" s="53"/>
      <c r="G477" s="251"/>
      <c r="H477" s="270"/>
      <c r="I477" s="216"/>
      <c r="J477" s="271"/>
    </row>
    <row r="478" ht="23.25" customHeight="1">
      <c r="A478" s="53"/>
      <c r="B478" s="53"/>
      <c r="C478" s="53"/>
      <c r="D478" s="53"/>
      <c r="E478" s="53"/>
      <c r="F478" s="53"/>
      <c r="G478" s="251"/>
      <c r="H478" s="270"/>
      <c r="I478" s="216"/>
      <c r="J478" s="271"/>
    </row>
    <row r="479" ht="23.25" customHeight="1">
      <c r="A479" s="53"/>
      <c r="B479" s="53"/>
      <c r="C479" s="53"/>
      <c r="D479" s="53"/>
      <c r="E479" s="53"/>
      <c r="F479" s="53"/>
      <c r="G479" s="251"/>
      <c r="H479" s="270"/>
      <c r="I479" s="216"/>
      <c r="J479" s="271"/>
    </row>
    <row r="480" ht="23.25" customHeight="1">
      <c r="A480" s="53"/>
      <c r="B480" s="53"/>
      <c r="C480" s="53"/>
      <c r="D480" s="53"/>
      <c r="E480" s="53"/>
      <c r="F480" s="53"/>
      <c r="G480" s="251"/>
      <c r="H480" s="270"/>
      <c r="I480" s="216"/>
      <c r="J480" s="271"/>
    </row>
    <row r="481" ht="23.25" customHeight="1">
      <c r="A481" s="53"/>
      <c r="B481" s="53"/>
      <c r="C481" s="53"/>
      <c r="D481" s="53"/>
      <c r="E481" s="53"/>
      <c r="F481" s="53"/>
      <c r="G481" s="251"/>
      <c r="H481" s="270"/>
      <c r="I481" s="216"/>
      <c r="J481" s="271"/>
    </row>
    <row r="482" ht="23.25" customHeight="1">
      <c r="A482" s="53"/>
      <c r="B482" s="53"/>
      <c r="C482" s="53"/>
      <c r="D482" s="53"/>
      <c r="E482" s="53"/>
      <c r="F482" s="53"/>
      <c r="G482" s="251"/>
      <c r="H482" s="270"/>
      <c r="I482" s="216"/>
      <c r="J482" s="271"/>
    </row>
    <row r="483" ht="23.25" customHeight="1">
      <c r="A483" s="53"/>
      <c r="B483" s="53"/>
      <c r="C483" s="53"/>
      <c r="D483" s="53"/>
      <c r="E483" s="53"/>
      <c r="F483" s="53"/>
      <c r="G483" s="251"/>
      <c r="H483" s="270"/>
      <c r="I483" s="216"/>
      <c r="J483" s="271"/>
    </row>
    <row r="484" ht="23.25" customHeight="1">
      <c r="A484" s="53"/>
      <c r="B484" s="53"/>
      <c r="C484" s="53"/>
      <c r="D484" s="53"/>
      <c r="E484" s="53"/>
      <c r="F484" s="53"/>
      <c r="G484" s="251"/>
      <c r="H484" s="270"/>
      <c r="I484" s="216"/>
      <c r="J484" s="271"/>
    </row>
    <row r="485" ht="23.25" customHeight="1">
      <c r="A485" s="53"/>
      <c r="B485" s="53"/>
      <c r="C485" s="53"/>
      <c r="D485" s="53"/>
      <c r="E485" s="53"/>
      <c r="F485" s="53"/>
      <c r="G485" s="251"/>
      <c r="H485" s="270"/>
      <c r="I485" s="216"/>
      <c r="J485" s="271"/>
    </row>
    <row r="486" ht="23.25" customHeight="1">
      <c r="A486" s="53"/>
      <c r="B486" s="53"/>
      <c r="C486" s="53"/>
      <c r="D486" s="53"/>
      <c r="E486" s="53"/>
      <c r="F486" s="53"/>
      <c r="G486" s="251"/>
      <c r="H486" s="270"/>
      <c r="I486" s="216"/>
      <c r="J486" s="271"/>
    </row>
    <row r="487" ht="23.25" customHeight="1">
      <c r="A487" s="53"/>
      <c r="B487" s="53"/>
      <c r="C487" s="53"/>
      <c r="D487" s="53"/>
      <c r="E487" s="53"/>
      <c r="F487" s="53"/>
      <c r="G487" s="251"/>
      <c r="H487" s="270"/>
      <c r="I487" s="216"/>
      <c r="J487" s="271"/>
    </row>
    <row r="488" ht="23.25" customHeight="1">
      <c r="A488" s="53"/>
      <c r="B488" s="53"/>
      <c r="C488" s="53"/>
      <c r="D488" s="53"/>
      <c r="E488" s="53"/>
      <c r="F488" s="53"/>
      <c r="G488" s="251"/>
      <c r="H488" s="270"/>
      <c r="I488" s="216"/>
      <c r="J488" s="271"/>
    </row>
    <row r="489" ht="23.25" customHeight="1">
      <c r="A489" s="53"/>
      <c r="B489" s="53"/>
      <c r="C489" s="53"/>
      <c r="D489" s="53"/>
      <c r="E489" s="53"/>
      <c r="F489" s="53"/>
      <c r="G489" s="251"/>
      <c r="H489" s="270"/>
      <c r="I489" s="216"/>
      <c r="J489" s="271"/>
    </row>
    <row r="490" ht="23.25" customHeight="1">
      <c r="A490" s="53"/>
      <c r="B490" s="53"/>
      <c r="C490" s="53"/>
      <c r="D490" s="53"/>
      <c r="E490" s="53"/>
      <c r="F490" s="53"/>
      <c r="G490" s="251"/>
      <c r="H490" s="270"/>
      <c r="I490" s="216"/>
      <c r="J490" s="271"/>
    </row>
    <row r="491" ht="23.25" customHeight="1">
      <c r="A491" s="53"/>
      <c r="B491" s="53"/>
      <c r="C491" s="53"/>
      <c r="D491" s="53"/>
      <c r="E491" s="53"/>
      <c r="F491" s="53"/>
      <c r="G491" s="251"/>
      <c r="H491" s="270"/>
      <c r="I491" s="216"/>
      <c r="J491" s="271"/>
    </row>
    <row r="492" ht="23.25" customHeight="1">
      <c r="A492" s="53"/>
      <c r="B492" s="53"/>
      <c r="C492" s="53"/>
      <c r="D492" s="53"/>
      <c r="E492" s="53"/>
      <c r="F492" s="53"/>
      <c r="G492" s="251"/>
      <c r="H492" s="270"/>
      <c r="I492" s="216"/>
      <c r="J492" s="271"/>
    </row>
    <row r="493" ht="23.25" customHeight="1">
      <c r="A493" s="53"/>
      <c r="B493" s="53"/>
      <c r="C493" s="53"/>
      <c r="D493" s="53"/>
      <c r="E493" s="53"/>
      <c r="F493" s="53"/>
      <c r="G493" s="251"/>
      <c r="H493" s="270"/>
      <c r="I493" s="216"/>
      <c r="J493" s="271"/>
    </row>
    <row r="494" ht="23.25" customHeight="1">
      <c r="A494" s="53"/>
      <c r="B494" s="53"/>
      <c r="C494" s="53"/>
      <c r="D494" s="53"/>
      <c r="E494" s="53"/>
      <c r="F494" s="53"/>
      <c r="G494" s="251"/>
      <c r="H494" s="270"/>
      <c r="I494" s="216"/>
      <c r="J494" s="271"/>
    </row>
    <row r="495" ht="23.25" customHeight="1">
      <c r="A495" s="53"/>
      <c r="B495" s="53"/>
      <c r="C495" s="53"/>
      <c r="D495" s="53"/>
      <c r="E495" s="53"/>
      <c r="F495" s="53"/>
      <c r="G495" s="251"/>
      <c r="H495" s="270"/>
      <c r="I495" s="216"/>
      <c r="J495" s="271"/>
    </row>
    <row r="496" ht="23.25" customHeight="1">
      <c r="A496" s="53"/>
      <c r="B496" s="53"/>
      <c r="C496" s="53"/>
      <c r="D496" s="53"/>
      <c r="E496" s="53"/>
      <c r="F496" s="53"/>
      <c r="G496" s="251"/>
      <c r="H496" s="270"/>
      <c r="I496" s="216"/>
      <c r="J496" s="271"/>
    </row>
    <row r="497" ht="23.25" customHeight="1">
      <c r="A497" s="53"/>
      <c r="B497" s="53"/>
      <c r="C497" s="53"/>
      <c r="D497" s="53"/>
      <c r="E497" s="53"/>
      <c r="F497" s="53"/>
      <c r="G497" s="251"/>
      <c r="H497" s="270"/>
      <c r="I497" s="216"/>
      <c r="J497" s="271"/>
    </row>
    <row r="498" ht="23.25" customHeight="1">
      <c r="A498" s="53"/>
      <c r="B498" s="53"/>
      <c r="C498" s="53"/>
      <c r="D498" s="53"/>
      <c r="E498" s="53"/>
      <c r="F498" s="53"/>
      <c r="G498" s="251"/>
      <c r="H498" s="270"/>
      <c r="I498" s="216"/>
      <c r="J498" s="271"/>
    </row>
    <row r="499" ht="23.25" customHeight="1">
      <c r="A499" s="53"/>
      <c r="B499" s="53"/>
      <c r="C499" s="53"/>
      <c r="D499" s="53"/>
      <c r="E499" s="53"/>
      <c r="F499" s="53"/>
      <c r="G499" s="251"/>
      <c r="H499" s="270"/>
      <c r="I499" s="216"/>
      <c r="J499" s="271"/>
    </row>
    <row r="500" ht="23.25" customHeight="1">
      <c r="A500" s="53"/>
      <c r="B500" s="53"/>
      <c r="C500" s="53"/>
      <c r="D500" s="53"/>
      <c r="E500" s="53"/>
      <c r="F500" s="53"/>
      <c r="G500" s="251"/>
      <c r="H500" s="270"/>
      <c r="I500" s="216"/>
      <c r="J500" s="271"/>
    </row>
    <row r="501" ht="23.25" customHeight="1">
      <c r="A501" s="53"/>
      <c r="B501" s="53"/>
      <c r="C501" s="53"/>
      <c r="D501" s="53"/>
      <c r="E501" s="53"/>
      <c r="F501" s="53"/>
      <c r="G501" s="251"/>
      <c r="H501" s="270"/>
      <c r="I501" s="216"/>
      <c r="J501" s="271"/>
    </row>
    <row r="502" ht="23.25" customHeight="1">
      <c r="A502" s="53"/>
      <c r="B502" s="53"/>
      <c r="C502" s="53"/>
      <c r="D502" s="53"/>
      <c r="E502" s="53"/>
      <c r="F502" s="53"/>
      <c r="G502" s="251"/>
      <c r="H502" s="270"/>
      <c r="I502" s="216"/>
      <c r="J502" s="271"/>
    </row>
    <row r="503" ht="23.25" customHeight="1">
      <c r="A503" s="53"/>
      <c r="B503" s="53"/>
      <c r="C503" s="53"/>
      <c r="D503" s="53"/>
      <c r="E503" s="53"/>
      <c r="F503" s="53"/>
      <c r="G503" s="251"/>
      <c r="H503" s="270"/>
      <c r="I503" s="216"/>
      <c r="J503" s="271"/>
    </row>
    <row r="504" ht="23.25" customHeight="1">
      <c r="A504" s="53"/>
      <c r="B504" s="53"/>
      <c r="C504" s="53"/>
      <c r="D504" s="53"/>
      <c r="E504" s="53"/>
      <c r="F504" s="53"/>
      <c r="G504" s="251"/>
      <c r="H504" s="270"/>
      <c r="I504" s="216"/>
      <c r="J504" s="271"/>
    </row>
    <row r="505" ht="23.25" customHeight="1">
      <c r="A505" s="53"/>
      <c r="B505" s="53"/>
      <c r="C505" s="53"/>
      <c r="D505" s="53"/>
      <c r="E505" s="53"/>
      <c r="F505" s="53"/>
      <c r="G505" s="251"/>
      <c r="H505" s="270"/>
      <c r="I505" s="216"/>
      <c r="J505" s="271"/>
    </row>
    <row r="506" ht="23.25" customHeight="1">
      <c r="A506" s="53"/>
      <c r="B506" s="53"/>
      <c r="C506" s="53"/>
      <c r="D506" s="53"/>
      <c r="E506" s="53"/>
      <c r="F506" s="53"/>
      <c r="G506" s="251"/>
      <c r="H506" s="270"/>
      <c r="I506" s="216"/>
      <c r="J506" s="271"/>
    </row>
    <row r="507" ht="23.25" customHeight="1">
      <c r="A507" s="53"/>
      <c r="B507" s="53"/>
      <c r="C507" s="53"/>
      <c r="D507" s="53"/>
      <c r="E507" s="53"/>
      <c r="F507" s="53"/>
      <c r="G507" s="251"/>
      <c r="H507" s="270"/>
      <c r="I507" s="216"/>
      <c r="J507" s="271"/>
    </row>
    <row r="508" ht="23.25" customHeight="1">
      <c r="A508" s="53"/>
      <c r="B508" s="53"/>
      <c r="C508" s="53"/>
      <c r="D508" s="53"/>
      <c r="E508" s="53"/>
      <c r="F508" s="53"/>
      <c r="G508" s="251"/>
      <c r="H508" s="270"/>
      <c r="I508" s="216"/>
      <c r="J508" s="271"/>
    </row>
    <row r="509" ht="23.25" customHeight="1">
      <c r="A509" s="53"/>
      <c r="B509" s="53"/>
      <c r="C509" s="53"/>
      <c r="D509" s="53"/>
      <c r="E509" s="53"/>
      <c r="F509" s="53"/>
      <c r="G509" s="251"/>
      <c r="H509" s="270"/>
      <c r="I509" s="216"/>
      <c r="J509" s="271"/>
    </row>
    <row r="510" ht="23.25" customHeight="1">
      <c r="A510" s="53"/>
      <c r="B510" s="53"/>
      <c r="C510" s="53"/>
      <c r="D510" s="53"/>
      <c r="E510" s="53"/>
      <c r="F510" s="53"/>
      <c r="G510" s="251"/>
      <c r="H510" s="270"/>
      <c r="I510" s="216"/>
      <c r="J510" s="271"/>
    </row>
    <row r="511" ht="23.25" customHeight="1">
      <c r="A511" s="53"/>
      <c r="B511" s="53"/>
      <c r="C511" s="53"/>
      <c r="D511" s="53"/>
      <c r="E511" s="53"/>
      <c r="F511" s="53"/>
      <c r="G511" s="251"/>
      <c r="H511" s="270"/>
      <c r="I511" s="216"/>
      <c r="J511" s="271"/>
    </row>
    <row r="512" ht="23.25" customHeight="1">
      <c r="A512" s="53"/>
      <c r="B512" s="53"/>
      <c r="C512" s="53"/>
      <c r="D512" s="53"/>
      <c r="E512" s="53"/>
      <c r="F512" s="53"/>
      <c r="G512" s="251"/>
      <c r="H512" s="270"/>
      <c r="I512" s="216"/>
      <c r="J512" s="271"/>
    </row>
    <row r="513" ht="23.25" customHeight="1">
      <c r="A513" s="53"/>
      <c r="B513" s="53"/>
      <c r="C513" s="53"/>
      <c r="D513" s="53"/>
      <c r="E513" s="53"/>
      <c r="F513" s="53"/>
      <c r="G513" s="251"/>
      <c r="H513" s="270"/>
      <c r="I513" s="216"/>
      <c r="J513" s="271"/>
    </row>
    <row r="514" ht="23.25" customHeight="1">
      <c r="A514" s="53"/>
      <c r="B514" s="53"/>
      <c r="C514" s="53"/>
      <c r="D514" s="53"/>
      <c r="E514" s="53"/>
      <c r="F514" s="53"/>
      <c r="G514" s="251"/>
      <c r="H514" s="270"/>
      <c r="I514" s="216"/>
      <c r="J514" s="271"/>
    </row>
    <row r="515" ht="23.25" customHeight="1">
      <c r="A515" s="53"/>
      <c r="B515" s="53"/>
      <c r="C515" s="53"/>
      <c r="D515" s="53"/>
      <c r="E515" s="53"/>
      <c r="F515" s="53"/>
      <c r="G515" s="251"/>
      <c r="H515" s="270"/>
      <c r="I515" s="216"/>
      <c r="J515" s="271"/>
    </row>
    <row r="516" ht="23.25" customHeight="1">
      <c r="A516" s="53"/>
      <c r="B516" s="53"/>
      <c r="C516" s="53"/>
      <c r="D516" s="53"/>
      <c r="E516" s="53"/>
      <c r="F516" s="53"/>
      <c r="G516" s="251"/>
      <c r="H516" s="270"/>
      <c r="I516" s="216"/>
      <c r="J516" s="271"/>
    </row>
    <row r="517" ht="23.25" customHeight="1">
      <c r="A517" s="53"/>
      <c r="B517" s="53"/>
      <c r="C517" s="53"/>
      <c r="D517" s="53"/>
      <c r="E517" s="53"/>
      <c r="F517" s="53"/>
      <c r="G517" s="251"/>
      <c r="H517" s="270"/>
      <c r="I517" s="216"/>
      <c r="J517" s="271"/>
    </row>
    <row r="518" ht="23.25" customHeight="1">
      <c r="A518" s="53"/>
      <c r="B518" s="53"/>
      <c r="C518" s="53"/>
      <c r="D518" s="53"/>
      <c r="E518" s="53"/>
      <c r="F518" s="53"/>
      <c r="G518" s="251"/>
      <c r="H518" s="270"/>
      <c r="I518" s="216"/>
      <c r="J518" s="271"/>
    </row>
    <row r="519" ht="23.25" customHeight="1">
      <c r="A519" s="53"/>
      <c r="B519" s="53"/>
      <c r="C519" s="53"/>
      <c r="D519" s="53"/>
      <c r="E519" s="53"/>
      <c r="F519" s="53"/>
      <c r="G519" s="251"/>
      <c r="H519" s="270"/>
      <c r="I519" s="216"/>
      <c r="J519" s="271"/>
    </row>
    <row r="520" ht="23.25" customHeight="1">
      <c r="A520" s="53"/>
      <c r="B520" s="53"/>
      <c r="C520" s="53"/>
      <c r="D520" s="53"/>
      <c r="E520" s="53"/>
      <c r="F520" s="53"/>
      <c r="G520" s="251"/>
      <c r="H520" s="270"/>
      <c r="I520" s="216"/>
      <c r="J520" s="271"/>
    </row>
    <row r="521" ht="23.25" customHeight="1">
      <c r="A521" s="53"/>
      <c r="B521" s="53"/>
      <c r="C521" s="53"/>
      <c r="D521" s="53"/>
      <c r="E521" s="53"/>
      <c r="F521" s="53"/>
      <c r="G521" s="251"/>
      <c r="H521" s="270"/>
      <c r="I521" s="216"/>
      <c r="J521" s="271"/>
    </row>
    <row r="522" ht="23.25" customHeight="1">
      <c r="A522" s="53"/>
      <c r="B522" s="53"/>
      <c r="C522" s="53"/>
      <c r="D522" s="53"/>
      <c r="E522" s="53"/>
      <c r="F522" s="53"/>
      <c r="G522" s="251"/>
      <c r="H522" s="270"/>
      <c r="I522" s="216"/>
      <c r="J522" s="271"/>
    </row>
    <row r="523" ht="23.25" customHeight="1">
      <c r="A523" s="53"/>
      <c r="B523" s="53"/>
      <c r="C523" s="53"/>
      <c r="D523" s="53"/>
      <c r="E523" s="53"/>
      <c r="F523" s="53"/>
      <c r="G523" s="251"/>
      <c r="H523" s="270"/>
      <c r="I523" s="216"/>
      <c r="J523" s="271"/>
    </row>
    <row r="524" ht="23.25" customHeight="1">
      <c r="A524" s="53"/>
      <c r="B524" s="53"/>
      <c r="C524" s="53"/>
      <c r="D524" s="53"/>
      <c r="E524" s="53"/>
      <c r="F524" s="53"/>
      <c r="G524" s="251"/>
      <c r="H524" s="270"/>
      <c r="I524" s="216"/>
      <c r="J524" s="271"/>
    </row>
    <row r="525" ht="23.25" customHeight="1">
      <c r="A525" s="53"/>
      <c r="B525" s="53"/>
      <c r="C525" s="53"/>
      <c r="D525" s="53"/>
      <c r="E525" s="53"/>
      <c r="F525" s="53"/>
      <c r="G525" s="251"/>
      <c r="H525" s="270"/>
      <c r="I525" s="216"/>
      <c r="J525" s="271"/>
    </row>
    <row r="526" ht="23.25" customHeight="1">
      <c r="A526" s="53"/>
      <c r="B526" s="53"/>
      <c r="C526" s="53"/>
      <c r="D526" s="53"/>
      <c r="E526" s="53"/>
      <c r="F526" s="53"/>
      <c r="G526" s="251"/>
      <c r="H526" s="270"/>
      <c r="I526" s="216"/>
      <c r="J526" s="271"/>
    </row>
    <row r="527" ht="23.25" customHeight="1">
      <c r="A527" s="53"/>
      <c r="B527" s="53"/>
      <c r="C527" s="53"/>
      <c r="D527" s="53"/>
      <c r="E527" s="53"/>
      <c r="F527" s="53"/>
      <c r="G527" s="251"/>
      <c r="H527" s="270"/>
      <c r="I527" s="216"/>
      <c r="J527" s="271"/>
    </row>
    <row r="528" ht="23.25" customHeight="1">
      <c r="A528" s="53"/>
      <c r="B528" s="53"/>
      <c r="C528" s="53"/>
      <c r="D528" s="53"/>
      <c r="E528" s="53"/>
      <c r="F528" s="53"/>
      <c r="G528" s="251"/>
      <c r="H528" s="270"/>
      <c r="I528" s="216"/>
      <c r="J528" s="271"/>
    </row>
    <row r="529" ht="23.25" customHeight="1">
      <c r="A529" s="53"/>
      <c r="B529" s="53"/>
      <c r="C529" s="53"/>
      <c r="D529" s="53"/>
      <c r="E529" s="53"/>
      <c r="F529" s="53"/>
      <c r="G529" s="251"/>
      <c r="H529" s="270"/>
      <c r="I529" s="216"/>
      <c r="J529" s="271"/>
    </row>
    <row r="530" ht="23.25" customHeight="1">
      <c r="A530" s="53"/>
      <c r="B530" s="53"/>
      <c r="C530" s="53"/>
      <c r="D530" s="53"/>
      <c r="E530" s="53"/>
      <c r="F530" s="53"/>
      <c r="G530" s="251"/>
      <c r="H530" s="270"/>
      <c r="I530" s="216"/>
      <c r="J530" s="271"/>
    </row>
    <row r="531" ht="23.25" customHeight="1">
      <c r="A531" s="53"/>
      <c r="B531" s="53"/>
      <c r="C531" s="53"/>
      <c r="D531" s="53"/>
      <c r="E531" s="53"/>
      <c r="F531" s="53"/>
      <c r="G531" s="251"/>
      <c r="H531" s="270"/>
      <c r="I531" s="216"/>
      <c r="J531" s="271"/>
    </row>
    <row r="532" ht="23.25" customHeight="1">
      <c r="A532" s="53"/>
      <c r="B532" s="53"/>
      <c r="C532" s="53"/>
      <c r="D532" s="53"/>
      <c r="E532" s="53"/>
      <c r="F532" s="53"/>
      <c r="G532" s="251"/>
      <c r="H532" s="270"/>
      <c r="I532" s="216"/>
      <c r="J532" s="271"/>
    </row>
    <row r="533" ht="23.25" customHeight="1">
      <c r="A533" s="53"/>
      <c r="B533" s="53"/>
      <c r="C533" s="53"/>
      <c r="D533" s="53"/>
      <c r="E533" s="53"/>
      <c r="F533" s="53"/>
      <c r="G533" s="251"/>
      <c r="H533" s="270"/>
      <c r="I533" s="216"/>
      <c r="J533" s="271"/>
    </row>
    <row r="534" ht="23.25" customHeight="1">
      <c r="A534" s="53"/>
      <c r="B534" s="53"/>
      <c r="C534" s="53"/>
      <c r="D534" s="53"/>
      <c r="E534" s="53"/>
      <c r="F534" s="53"/>
      <c r="G534" s="251"/>
      <c r="H534" s="270"/>
      <c r="I534" s="216"/>
      <c r="J534" s="271"/>
    </row>
    <row r="535" ht="23.25" customHeight="1">
      <c r="A535" s="53"/>
      <c r="B535" s="53"/>
      <c r="C535" s="53"/>
      <c r="D535" s="53"/>
      <c r="E535" s="53"/>
      <c r="F535" s="53"/>
      <c r="G535" s="251"/>
      <c r="H535" s="270"/>
      <c r="I535" s="216"/>
      <c r="J535" s="271"/>
    </row>
    <row r="536" ht="23.25" customHeight="1">
      <c r="A536" s="53"/>
      <c r="B536" s="53"/>
      <c r="C536" s="53"/>
      <c r="D536" s="53"/>
      <c r="E536" s="53"/>
      <c r="F536" s="53"/>
      <c r="G536" s="251"/>
      <c r="H536" s="270"/>
      <c r="I536" s="216"/>
      <c r="J536" s="271"/>
    </row>
    <row r="537" ht="23.25" customHeight="1">
      <c r="A537" s="53"/>
      <c r="B537" s="53"/>
      <c r="C537" s="53"/>
      <c r="D537" s="53"/>
      <c r="E537" s="53"/>
      <c r="F537" s="53"/>
      <c r="G537" s="251"/>
      <c r="H537" s="270"/>
      <c r="I537" s="216"/>
      <c r="J537" s="271"/>
    </row>
    <row r="538" ht="23.25" customHeight="1">
      <c r="A538" s="53"/>
      <c r="B538" s="53"/>
      <c r="C538" s="53"/>
      <c r="D538" s="53"/>
      <c r="E538" s="53"/>
      <c r="F538" s="53"/>
      <c r="G538" s="251"/>
      <c r="H538" s="270"/>
      <c r="I538" s="216"/>
      <c r="J538" s="271"/>
    </row>
    <row r="539" ht="23.25" customHeight="1">
      <c r="A539" s="53"/>
      <c r="B539" s="53"/>
      <c r="C539" s="53"/>
      <c r="D539" s="53"/>
      <c r="E539" s="53"/>
      <c r="F539" s="53"/>
      <c r="G539" s="251"/>
      <c r="H539" s="270"/>
      <c r="I539" s="216"/>
      <c r="J539" s="271"/>
    </row>
    <row r="540" ht="23.25" customHeight="1">
      <c r="A540" s="53"/>
      <c r="B540" s="53"/>
      <c r="C540" s="53"/>
      <c r="D540" s="53"/>
      <c r="E540" s="53"/>
      <c r="F540" s="53"/>
      <c r="G540" s="251"/>
      <c r="H540" s="270"/>
      <c r="I540" s="216"/>
      <c r="J540" s="271"/>
    </row>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J1:J476">
    <cfRule type="beginsWith" dxfId="23" priority="1" operator="beginsWith" text="NO">
      <formula>LEFT((J1),LEN("NO"))=("NO")</formula>
    </cfRule>
  </conditionalFormatting>
  <conditionalFormatting sqref="G1 G236">
    <cfRule type="expression" dxfId="23" priority="2">
      <formula>COUNTIF($I$1:I540,I1)&gt;1</formula>
    </cfRule>
  </conditionalFormatting>
  <conditionalFormatting sqref="G44 G282:G283">
    <cfRule type="expression" dxfId="24" priority="3">
      <formula>($G44:$G540)="NO"</formula>
    </cfRule>
  </conditionalFormatting>
  <conditionalFormatting sqref="G3:G235 G238:G474">
    <cfRule type="beginsWith" dxfId="26" priority="4" operator="beginsWith" text="Incluido en otras Horas Gestión">
      <formula>LEFT((G3),LEN("Incluido en otras Horas Gestión"))=("Incluido en otras Horas Gestión")</formula>
    </cfRule>
  </conditionalFormatting>
  <conditionalFormatting sqref="G3:G235 G238:G474">
    <cfRule type="expression" dxfId="22" priority="5">
      <formula>COUNTIF($I$3:$I540,O3)&gt;1</formula>
    </cfRule>
  </conditionalFormatting>
  <conditionalFormatting sqref="G3:G540">
    <cfRule type="expression" dxfId="22" priority="6">
      <formula>AND(($A$5:G540)&lt;&gt;"",COUNTIF($I$3:$I540,$I3)&gt;1)</formula>
    </cfRule>
  </conditionalFormatting>
  <conditionalFormatting sqref="A3:A540 B3:B56 B58:B73 B75:B540 C3:I540">
    <cfRule type="expression" dxfId="22" priority="7">
      <formula>AND(($A$4:A540)&lt;&gt;"",COUNTIF($I$3:$I540,$I3)&gt;1)</formula>
    </cfRule>
  </conditionalFormatting>
  <conditionalFormatting sqref="C3:C540 D3:D4">
    <cfRule type="containsText" dxfId="18" priority="8" operator="containsText" text="DERECHO FUNCIONARIO">
      <formula>NOT(ISERROR(SEARCH(("DERECHO FUNCIONARIO"),(C3))))</formula>
    </cfRule>
  </conditionalFormatting>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06666"/>
    <outlinePr summaryBelow="0" summaryRight="0"/>
  </sheetPr>
  <sheetViews>
    <sheetView showGridLines="0" workbookViewId="0">
      <pane xSplit="7.0" ySplit="1.0" topLeftCell="H2" activePane="bottomRight" state="frozen"/>
      <selection activeCell="H1" sqref="H1" pane="topRight"/>
      <selection activeCell="A2" sqref="A2" pane="bottomLeft"/>
      <selection activeCell="H2" sqref="H2" pane="bottomRight"/>
    </sheetView>
  </sheetViews>
  <sheetFormatPr customHeight="1" defaultColWidth="12.63" defaultRowHeight="15.0" outlineLevelRow="1"/>
  <cols>
    <col customWidth="1" min="1" max="1" width="12.13"/>
    <col customWidth="1" min="2" max="2" width="20.88"/>
    <col customWidth="1" min="3" max="3" width="34.63"/>
    <col customWidth="1" min="4" max="4" width="36.13"/>
    <col customWidth="1" min="5" max="5" width="12.75"/>
    <col customWidth="1" min="6" max="6" width="5.13"/>
    <col customWidth="1" min="7" max="7" width="4.63"/>
    <col customWidth="1" min="8" max="8" width="53.5"/>
  </cols>
  <sheetData>
    <row r="1" ht="41.25" customHeight="1">
      <c r="A1" s="272" t="s">
        <v>72</v>
      </c>
      <c r="B1" s="273" t="s">
        <v>140</v>
      </c>
      <c r="C1" s="273" t="s">
        <v>141</v>
      </c>
      <c r="D1" s="274" t="s">
        <v>142</v>
      </c>
      <c r="E1" s="273" t="s">
        <v>358</v>
      </c>
      <c r="F1" s="275" t="s">
        <v>359</v>
      </c>
      <c r="G1" s="267"/>
      <c r="H1" s="276"/>
    </row>
    <row r="2" ht="26.25" customHeight="1" outlineLevel="1">
      <c r="A2" s="277" t="str">
        <f>IFERROR(__xludf.DUMMYFUNCTION("{QUERY(BD_REF_GESTION!A2:G2713,""SELECT A,B,C,D,E,G WHERE A IS NOT NULL AND not G contains 'NO'  ORDER BY B,C "",0);QUERY(BD_REF_DERECHOS!A2:F2713,""SELECT A,B,C,D,E,F  WHERE A IS NOT NULL AND not F contains 'NO' ORDER BY B,C DESC"",0);QUERY(BD_REF_REUNIO"&amp;"NES!A2:I2713,""SELECT A,B,C,D,E,F  WHERE A IS NOT NULL AND not F contains 'NO' ORDER BY B,C,D"",0)}"),"#REF!")</f>
        <v>#REF!</v>
      </c>
      <c r="B2" s="64"/>
      <c r="C2" s="278"/>
      <c r="D2" s="279"/>
      <c r="E2" s="280"/>
      <c r="F2" s="281"/>
      <c r="G2" s="216"/>
      <c r="H2" s="282"/>
    </row>
    <row r="3" ht="26.25" customHeight="1">
      <c r="A3" s="283" t="str">
        <f>IFERROR(__xludf.DUMMYFUNCTION("""COMPUTED_VALUE"""),"#REF!")</f>
        <v>#REF!</v>
      </c>
      <c r="B3" s="284"/>
      <c r="C3" s="285"/>
      <c r="D3" s="286"/>
      <c r="E3" s="287"/>
      <c r="F3" s="281"/>
      <c r="G3" s="216"/>
      <c r="H3" s="282"/>
    </row>
    <row r="4" ht="26.25" customHeight="1">
      <c r="A4" s="283" t="str">
        <f>IFERROR(__xludf.DUMMYFUNCTION("""COMPUTED_VALUE"""),"#REF!")</f>
        <v>#REF!</v>
      </c>
      <c r="B4" s="284"/>
      <c r="C4" s="285"/>
      <c r="D4" s="286"/>
      <c r="E4" s="287"/>
      <c r="F4" s="281"/>
      <c r="G4" s="216"/>
      <c r="H4" s="282"/>
    </row>
    <row r="5" ht="26.25" customHeight="1">
      <c r="A5" s="283"/>
      <c r="B5" s="284"/>
      <c r="C5" s="285"/>
      <c r="D5" s="286"/>
      <c r="E5" s="287"/>
      <c r="F5" s="281"/>
      <c r="G5" s="216"/>
      <c r="H5" s="282"/>
    </row>
    <row r="6" ht="26.25" customHeight="1">
      <c r="A6" s="283"/>
      <c r="B6" s="284"/>
      <c r="C6" s="285"/>
      <c r="D6" s="286"/>
      <c r="E6" s="287"/>
      <c r="F6" s="281"/>
      <c r="G6" s="216"/>
      <c r="H6" s="282"/>
    </row>
    <row r="7" ht="26.25" customHeight="1">
      <c r="A7" s="283"/>
      <c r="B7" s="284"/>
      <c r="C7" s="285"/>
      <c r="D7" s="286"/>
      <c r="E7" s="287"/>
      <c r="F7" s="281"/>
      <c r="G7" s="216"/>
      <c r="H7" s="282"/>
    </row>
    <row r="8" ht="26.25" customHeight="1">
      <c r="A8" s="283"/>
      <c r="B8" s="284"/>
      <c r="C8" s="285"/>
      <c r="D8" s="286"/>
      <c r="E8" s="287"/>
      <c r="F8" s="281"/>
      <c r="G8" s="216"/>
      <c r="H8" s="282"/>
    </row>
    <row r="9" ht="26.25" customHeight="1">
      <c r="A9" s="283"/>
      <c r="B9" s="284"/>
      <c r="C9" s="285"/>
      <c r="D9" s="286"/>
      <c r="E9" s="287"/>
      <c r="F9" s="281"/>
      <c r="G9" s="216"/>
      <c r="H9" s="282"/>
    </row>
    <row r="10" ht="26.25" customHeight="1">
      <c r="A10" s="283"/>
      <c r="B10" s="284"/>
      <c r="C10" s="285"/>
      <c r="D10" s="286"/>
      <c r="E10" s="287"/>
      <c r="F10" s="281"/>
      <c r="G10" s="216"/>
      <c r="H10" s="282"/>
    </row>
    <row r="11" ht="26.25" customHeight="1">
      <c r="A11" s="283"/>
      <c r="B11" s="284"/>
      <c r="C11" s="285"/>
      <c r="D11" s="286"/>
      <c r="E11" s="287"/>
      <c r="F11" s="281"/>
      <c r="G11" s="216"/>
      <c r="H11" s="282"/>
    </row>
    <row r="12" ht="26.25" customHeight="1">
      <c r="A12" s="283"/>
      <c r="B12" s="284"/>
      <c r="C12" s="285"/>
      <c r="D12" s="286"/>
      <c r="E12" s="287"/>
      <c r="F12" s="281"/>
      <c r="G12" s="216"/>
      <c r="H12" s="282"/>
    </row>
    <row r="13" ht="26.25" customHeight="1">
      <c r="A13" s="283"/>
      <c r="B13" s="284"/>
      <c r="C13" s="285"/>
      <c r="D13" s="286"/>
      <c r="E13" s="287"/>
      <c r="F13" s="281"/>
      <c r="G13" s="216"/>
      <c r="H13" s="282"/>
    </row>
    <row r="14" ht="26.25" customHeight="1">
      <c r="A14" s="283"/>
      <c r="B14" s="284"/>
      <c r="C14" s="285"/>
      <c r="D14" s="286"/>
      <c r="E14" s="287"/>
      <c r="F14" s="281"/>
      <c r="G14" s="216"/>
      <c r="H14" s="282"/>
    </row>
    <row r="15" ht="26.25" customHeight="1">
      <c r="A15" s="283"/>
      <c r="B15" s="284"/>
      <c r="C15" s="285"/>
      <c r="D15" s="286"/>
      <c r="E15" s="287"/>
      <c r="F15" s="281"/>
      <c r="G15" s="216"/>
      <c r="H15" s="282"/>
    </row>
    <row r="16" ht="26.25" customHeight="1">
      <c r="A16" s="283"/>
      <c r="B16" s="284"/>
      <c r="C16" s="285"/>
      <c r="D16" s="286"/>
      <c r="E16" s="287"/>
      <c r="F16" s="281"/>
      <c r="G16" s="216"/>
      <c r="H16" s="282"/>
    </row>
    <row r="17" ht="26.25" customHeight="1">
      <c r="A17" s="283"/>
      <c r="B17" s="284"/>
      <c r="C17" s="285"/>
      <c r="D17" s="286"/>
      <c r="E17" s="287"/>
      <c r="F17" s="281"/>
      <c r="G17" s="216"/>
      <c r="H17" s="282"/>
    </row>
    <row r="18" ht="26.25" customHeight="1">
      <c r="A18" s="283"/>
      <c r="B18" s="284"/>
      <c r="C18" s="285"/>
      <c r="D18" s="286"/>
      <c r="E18" s="287"/>
      <c r="F18" s="281"/>
      <c r="G18" s="216"/>
      <c r="H18" s="282"/>
    </row>
    <row r="19" ht="26.25" customHeight="1">
      <c r="A19" s="283"/>
      <c r="B19" s="284"/>
      <c r="C19" s="285"/>
      <c r="D19" s="286"/>
      <c r="E19" s="287"/>
      <c r="F19" s="281"/>
      <c r="G19" s="216"/>
      <c r="H19" s="282"/>
    </row>
    <row r="20" ht="26.25" customHeight="1">
      <c r="A20" s="283"/>
      <c r="B20" s="284"/>
      <c r="C20" s="285"/>
      <c r="D20" s="286"/>
      <c r="E20" s="287"/>
      <c r="F20" s="281"/>
      <c r="G20" s="216"/>
      <c r="H20" s="282"/>
    </row>
    <row r="21" ht="26.25" customHeight="1">
      <c r="A21" s="283"/>
      <c r="B21" s="284"/>
      <c r="C21" s="285"/>
      <c r="D21" s="286"/>
      <c r="E21" s="287"/>
      <c r="F21" s="281"/>
      <c r="G21" s="216"/>
      <c r="H21" s="282"/>
    </row>
    <row r="22" ht="26.25" customHeight="1">
      <c r="A22" s="283"/>
      <c r="B22" s="284"/>
      <c r="C22" s="285"/>
      <c r="D22" s="286"/>
      <c r="E22" s="287"/>
      <c r="F22" s="281"/>
      <c r="G22" s="216"/>
      <c r="H22" s="282"/>
    </row>
    <row r="23" ht="26.25" customHeight="1">
      <c r="A23" s="283"/>
      <c r="B23" s="284"/>
      <c r="C23" s="285"/>
      <c r="D23" s="286"/>
      <c r="E23" s="287"/>
      <c r="F23" s="281"/>
      <c r="G23" s="216"/>
      <c r="H23" s="282"/>
    </row>
    <row r="24" ht="26.25" customHeight="1">
      <c r="A24" s="283"/>
      <c r="B24" s="284"/>
      <c r="C24" s="285"/>
      <c r="D24" s="286"/>
      <c r="E24" s="287"/>
      <c r="F24" s="281"/>
      <c r="G24" s="216"/>
      <c r="H24" s="282"/>
    </row>
    <row r="25" ht="26.25" customHeight="1">
      <c r="A25" s="283"/>
      <c r="B25" s="284"/>
      <c r="C25" s="285"/>
      <c r="D25" s="286"/>
      <c r="E25" s="287"/>
      <c r="F25" s="281"/>
      <c r="G25" s="216"/>
      <c r="H25" s="282"/>
    </row>
    <row r="26" ht="26.25" customHeight="1">
      <c r="A26" s="283"/>
      <c r="B26" s="284"/>
      <c r="C26" s="285"/>
      <c r="D26" s="286"/>
      <c r="E26" s="287"/>
      <c r="F26" s="281"/>
      <c r="G26" s="216"/>
      <c r="H26" s="282"/>
    </row>
    <row r="27" ht="26.25" customHeight="1">
      <c r="A27" s="283"/>
      <c r="B27" s="284"/>
      <c r="C27" s="285"/>
      <c r="D27" s="286"/>
      <c r="E27" s="287"/>
      <c r="F27" s="281"/>
      <c r="G27" s="216"/>
      <c r="H27" s="282"/>
    </row>
    <row r="28" ht="26.25" customHeight="1">
      <c r="A28" s="283"/>
      <c r="B28" s="284"/>
      <c r="C28" s="285"/>
      <c r="D28" s="286"/>
      <c r="E28" s="287"/>
      <c r="F28" s="281"/>
      <c r="G28" s="216"/>
      <c r="H28" s="282"/>
    </row>
    <row r="29" ht="26.25" customHeight="1">
      <c r="A29" s="283"/>
      <c r="B29" s="284"/>
      <c r="C29" s="285"/>
      <c r="D29" s="286"/>
      <c r="E29" s="287"/>
      <c r="F29" s="281"/>
      <c r="G29" s="216"/>
      <c r="H29" s="282"/>
    </row>
    <row r="30" ht="26.25" customHeight="1">
      <c r="A30" s="283"/>
      <c r="B30" s="284"/>
      <c r="C30" s="285"/>
      <c r="D30" s="286"/>
      <c r="E30" s="287"/>
      <c r="F30" s="281"/>
      <c r="G30" s="216"/>
      <c r="H30" s="282"/>
    </row>
    <row r="31" ht="26.25" customHeight="1">
      <c r="A31" s="283"/>
      <c r="B31" s="284"/>
      <c r="C31" s="285"/>
      <c r="D31" s="286"/>
      <c r="E31" s="287"/>
      <c r="F31" s="281"/>
      <c r="G31" s="216"/>
      <c r="H31" s="282"/>
    </row>
    <row r="32" ht="26.25" customHeight="1">
      <c r="A32" s="283"/>
      <c r="B32" s="284"/>
      <c r="C32" s="285"/>
      <c r="D32" s="286"/>
      <c r="E32" s="287"/>
      <c r="F32" s="281"/>
      <c r="G32" s="216"/>
      <c r="H32" s="282"/>
    </row>
    <row r="33" ht="26.25" customHeight="1">
      <c r="A33" s="283"/>
      <c r="B33" s="284"/>
      <c r="C33" s="285"/>
      <c r="D33" s="286"/>
      <c r="E33" s="287"/>
      <c r="F33" s="281"/>
      <c r="G33" s="216"/>
      <c r="H33" s="282"/>
    </row>
    <row r="34" ht="26.25" customHeight="1">
      <c r="A34" s="283"/>
      <c r="B34" s="284"/>
      <c r="C34" s="285"/>
      <c r="D34" s="286"/>
      <c r="E34" s="287"/>
      <c r="F34" s="281"/>
      <c r="G34" s="216"/>
      <c r="H34" s="282"/>
    </row>
    <row r="35" ht="26.25" customHeight="1">
      <c r="A35" s="283"/>
      <c r="B35" s="284"/>
      <c r="C35" s="285"/>
      <c r="D35" s="286"/>
      <c r="E35" s="287"/>
      <c r="F35" s="281"/>
      <c r="G35" s="216"/>
      <c r="H35" s="282"/>
    </row>
    <row r="36" ht="26.25" customHeight="1">
      <c r="A36" s="283"/>
      <c r="B36" s="284"/>
      <c r="C36" s="285"/>
      <c r="D36" s="286"/>
      <c r="E36" s="287"/>
      <c r="F36" s="281"/>
      <c r="G36" s="216"/>
      <c r="H36" s="282"/>
    </row>
    <row r="37" ht="26.25" customHeight="1">
      <c r="A37" s="283"/>
      <c r="B37" s="284"/>
      <c r="C37" s="285"/>
      <c r="D37" s="286"/>
      <c r="E37" s="287"/>
      <c r="F37" s="281"/>
      <c r="G37" s="216"/>
      <c r="H37" s="282"/>
    </row>
    <row r="38" ht="26.25" customHeight="1">
      <c r="A38" s="283"/>
      <c r="B38" s="284"/>
      <c r="C38" s="285"/>
      <c r="D38" s="286"/>
      <c r="E38" s="287"/>
      <c r="F38" s="281"/>
      <c r="G38" s="216"/>
      <c r="H38" s="282"/>
    </row>
    <row r="39" ht="26.25" customHeight="1">
      <c r="A39" s="283"/>
      <c r="B39" s="284"/>
      <c r="C39" s="285"/>
      <c r="D39" s="286"/>
      <c r="E39" s="287"/>
      <c r="F39" s="281"/>
      <c r="G39" s="216"/>
      <c r="H39" s="282"/>
    </row>
    <row r="40" ht="26.25" customHeight="1">
      <c r="A40" s="283"/>
      <c r="B40" s="284"/>
      <c r="C40" s="285"/>
      <c r="D40" s="286"/>
      <c r="E40" s="287"/>
      <c r="F40" s="281"/>
      <c r="G40" s="216"/>
      <c r="H40" s="282"/>
    </row>
    <row r="41" ht="26.25" customHeight="1">
      <c r="A41" s="283"/>
      <c r="B41" s="284"/>
      <c r="C41" s="285"/>
      <c r="D41" s="286"/>
      <c r="E41" s="287"/>
      <c r="F41" s="281"/>
      <c r="G41" s="216"/>
      <c r="H41" s="282"/>
    </row>
    <row r="42" ht="26.25" customHeight="1">
      <c r="A42" s="283"/>
      <c r="B42" s="284"/>
      <c r="C42" s="285"/>
      <c r="D42" s="286"/>
      <c r="E42" s="287"/>
      <c r="F42" s="281"/>
      <c r="G42" s="216"/>
      <c r="H42" s="282"/>
    </row>
    <row r="43" ht="26.25" customHeight="1">
      <c r="A43" s="283"/>
      <c r="B43" s="284"/>
      <c r="C43" s="285"/>
      <c r="D43" s="286"/>
      <c r="E43" s="287"/>
      <c r="F43" s="281"/>
      <c r="G43" s="216"/>
      <c r="H43" s="282"/>
    </row>
    <row r="44" ht="26.25" customHeight="1">
      <c r="A44" s="283"/>
      <c r="B44" s="284"/>
      <c r="C44" s="285"/>
      <c r="D44" s="286"/>
      <c r="E44" s="287"/>
      <c r="F44" s="281"/>
      <c r="G44" s="216"/>
      <c r="H44" s="282"/>
    </row>
    <row r="45" ht="26.25" customHeight="1">
      <c r="A45" s="283"/>
      <c r="B45" s="284"/>
      <c r="C45" s="285"/>
      <c r="D45" s="286"/>
      <c r="E45" s="287"/>
      <c r="F45" s="281"/>
      <c r="G45" s="216"/>
      <c r="H45" s="282"/>
    </row>
    <row r="46" ht="26.25" customHeight="1">
      <c r="A46" s="283"/>
      <c r="B46" s="284"/>
      <c r="C46" s="285"/>
      <c r="D46" s="286"/>
      <c r="E46" s="287"/>
      <c r="F46" s="281"/>
      <c r="G46" s="216"/>
      <c r="H46" s="282"/>
    </row>
    <row r="47" ht="26.25" customHeight="1">
      <c r="A47" s="283"/>
      <c r="B47" s="284"/>
      <c r="C47" s="285"/>
      <c r="D47" s="286"/>
      <c r="E47" s="287"/>
      <c r="F47" s="281"/>
      <c r="G47" s="216"/>
      <c r="H47" s="282"/>
    </row>
    <row r="48" ht="26.25" customHeight="1">
      <c r="A48" s="283"/>
      <c r="B48" s="284"/>
      <c r="C48" s="285"/>
      <c r="D48" s="286"/>
      <c r="E48" s="287"/>
      <c r="F48" s="281"/>
      <c r="G48" s="216"/>
      <c r="H48" s="282"/>
    </row>
    <row r="49" ht="26.25" customHeight="1">
      <c r="A49" s="283"/>
      <c r="B49" s="284"/>
      <c r="C49" s="285"/>
      <c r="D49" s="286"/>
      <c r="E49" s="287"/>
      <c r="F49" s="281"/>
      <c r="G49" s="216"/>
      <c r="H49" s="282"/>
    </row>
    <row r="50" ht="26.25" customHeight="1">
      <c r="A50" s="283"/>
      <c r="B50" s="284"/>
      <c r="C50" s="285"/>
      <c r="D50" s="286"/>
      <c r="E50" s="287"/>
      <c r="F50" s="281"/>
      <c r="G50" s="216"/>
      <c r="H50" s="282"/>
    </row>
    <row r="51" ht="26.25" customHeight="1">
      <c r="A51" s="283"/>
      <c r="B51" s="284"/>
      <c r="C51" s="285"/>
      <c r="D51" s="286"/>
      <c r="E51" s="287"/>
      <c r="F51" s="281"/>
      <c r="G51" s="216"/>
      <c r="H51" s="282"/>
    </row>
    <row r="52" ht="26.25" customHeight="1">
      <c r="A52" s="283"/>
      <c r="B52" s="284"/>
      <c r="C52" s="285"/>
      <c r="D52" s="286"/>
      <c r="E52" s="287"/>
      <c r="F52" s="281"/>
      <c r="G52" s="216"/>
      <c r="H52" s="282"/>
    </row>
    <row r="53" ht="26.25" customHeight="1">
      <c r="A53" s="283"/>
      <c r="B53" s="284"/>
      <c r="C53" s="285"/>
      <c r="D53" s="286"/>
      <c r="E53" s="287"/>
      <c r="F53" s="281"/>
      <c r="G53" s="216"/>
      <c r="H53" s="282"/>
    </row>
    <row r="54" ht="26.25" customHeight="1">
      <c r="A54" s="283"/>
      <c r="B54" s="284"/>
      <c r="C54" s="285"/>
      <c r="D54" s="286"/>
      <c r="E54" s="287"/>
      <c r="F54" s="281"/>
      <c r="G54" s="216"/>
      <c r="H54" s="282"/>
    </row>
    <row r="55" ht="26.25" customHeight="1">
      <c r="A55" s="283"/>
      <c r="B55" s="284"/>
      <c r="C55" s="285"/>
      <c r="D55" s="286"/>
      <c r="E55" s="287"/>
      <c r="F55" s="281"/>
      <c r="G55" s="216"/>
      <c r="H55" s="282"/>
    </row>
    <row r="56" ht="26.25" customHeight="1">
      <c r="A56" s="283"/>
      <c r="B56" s="284"/>
      <c r="C56" s="285"/>
      <c r="D56" s="286"/>
      <c r="E56" s="287"/>
      <c r="F56" s="281"/>
      <c r="G56" s="216"/>
      <c r="H56" s="282"/>
    </row>
    <row r="57" ht="26.25" customHeight="1">
      <c r="A57" s="283"/>
      <c r="B57" s="284"/>
      <c r="C57" s="285"/>
      <c r="D57" s="286"/>
      <c r="E57" s="287"/>
      <c r="F57" s="281"/>
      <c r="G57" s="216"/>
      <c r="H57" s="282"/>
    </row>
    <row r="58" ht="26.25" customHeight="1">
      <c r="A58" s="283"/>
      <c r="B58" s="284"/>
      <c r="C58" s="285"/>
      <c r="D58" s="286"/>
      <c r="E58" s="287"/>
      <c r="F58" s="281"/>
      <c r="G58" s="216"/>
      <c r="H58" s="282"/>
    </row>
    <row r="59" ht="26.25" customHeight="1">
      <c r="A59" s="283"/>
      <c r="B59" s="284"/>
      <c r="C59" s="285"/>
      <c r="D59" s="286"/>
      <c r="E59" s="287"/>
      <c r="F59" s="281"/>
      <c r="G59" s="216"/>
      <c r="H59" s="282"/>
    </row>
    <row r="60" ht="26.25" customHeight="1">
      <c r="A60" s="283"/>
      <c r="B60" s="284"/>
      <c r="C60" s="285"/>
      <c r="D60" s="286"/>
      <c r="E60" s="287"/>
      <c r="F60" s="281"/>
      <c r="G60" s="216"/>
      <c r="H60" s="282"/>
    </row>
    <row r="61" ht="26.25" customHeight="1">
      <c r="A61" s="283"/>
      <c r="B61" s="284"/>
      <c r="C61" s="285"/>
      <c r="D61" s="286"/>
      <c r="E61" s="287"/>
      <c r="F61" s="281"/>
      <c r="G61" s="216"/>
      <c r="H61" s="282"/>
    </row>
    <row r="62" ht="26.25" customHeight="1">
      <c r="A62" s="283"/>
      <c r="B62" s="284"/>
      <c r="C62" s="285"/>
      <c r="D62" s="286"/>
      <c r="E62" s="287"/>
      <c r="F62" s="281"/>
      <c r="G62" s="216"/>
      <c r="H62" s="282"/>
    </row>
    <row r="63" ht="26.25" customHeight="1">
      <c r="A63" s="283"/>
      <c r="B63" s="284"/>
      <c r="C63" s="285"/>
      <c r="D63" s="286"/>
      <c r="E63" s="287"/>
      <c r="F63" s="281"/>
      <c r="G63" s="216"/>
      <c r="H63" s="282"/>
    </row>
    <row r="64" ht="26.25" customHeight="1">
      <c r="A64" s="283"/>
      <c r="B64" s="284"/>
      <c r="C64" s="285"/>
      <c r="D64" s="286"/>
      <c r="E64" s="287"/>
      <c r="F64" s="281"/>
      <c r="G64" s="216"/>
      <c r="H64" s="282"/>
    </row>
    <row r="65" ht="26.25" customHeight="1">
      <c r="A65" s="283"/>
      <c r="B65" s="284"/>
      <c r="C65" s="285"/>
      <c r="D65" s="286"/>
      <c r="E65" s="287"/>
      <c r="F65" s="281"/>
      <c r="G65" s="216"/>
      <c r="H65" s="282"/>
    </row>
    <row r="66" ht="26.25" customHeight="1">
      <c r="A66" s="283"/>
      <c r="B66" s="284"/>
      <c r="C66" s="285"/>
      <c r="D66" s="286"/>
      <c r="E66" s="287"/>
      <c r="F66" s="281"/>
      <c r="G66" s="216"/>
      <c r="H66" s="282"/>
    </row>
    <row r="67" ht="26.25" customHeight="1">
      <c r="A67" s="283"/>
      <c r="B67" s="284"/>
      <c r="C67" s="285"/>
      <c r="D67" s="286"/>
      <c r="E67" s="287"/>
      <c r="F67" s="281"/>
      <c r="G67" s="216"/>
      <c r="H67" s="282"/>
    </row>
    <row r="68" ht="26.25" customHeight="1">
      <c r="A68" s="283"/>
      <c r="B68" s="284"/>
      <c r="C68" s="285"/>
      <c r="D68" s="286"/>
      <c r="E68" s="287"/>
      <c r="F68" s="281"/>
      <c r="G68" s="216"/>
      <c r="H68" s="282"/>
    </row>
    <row r="69" ht="26.25" customHeight="1">
      <c r="A69" s="283"/>
      <c r="B69" s="284"/>
      <c r="C69" s="285"/>
      <c r="D69" s="286"/>
      <c r="E69" s="287"/>
      <c r="F69" s="281"/>
      <c r="G69" s="216"/>
      <c r="H69" s="282"/>
    </row>
    <row r="70" ht="26.25" customHeight="1">
      <c r="A70" s="283"/>
      <c r="B70" s="284"/>
      <c r="C70" s="285"/>
      <c r="D70" s="286"/>
      <c r="E70" s="287"/>
      <c r="F70" s="281"/>
      <c r="G70" s="216"/>
      <c r="H70" s="282"/>
    </row>
    <row r="71" ht="26.25" customHeight="1">
      <c r="A71" s="283"/>
      <c r="B71" s="284"/>
      <c r="C71" s="285"/>
      <c r="D71" s="286"/>
      <c r="E71" s="287"/>
      <c r="F71" s="281"/>
      <c r="G71" s="216"/>
      <c r="H71" s="282"/>
    </row>
    <row r="72" ht="26.25" customHeight="1">
      <c r="A72" s="283"/>
      <c r="B72" s="284"/>
      <c r="C72" s="285"/>
      <c r="D72" s="286"/>
      <c r="E72" s="287"/>
      <c r="F72" s="281"/>
      <c r="G72" s="216"/>
      <c r="H72" s="282"/>
    </row>
    <row r="73" ht="26.25" customHeight="1">
      <c r="A73" s="283"/>
      <c r="B73" s="284"/>
      <c r="C73" s="285"/>
      <c r="D73" s="286"/>
      <c r="E73" s="287"/>
      <c r="F73" s="281"/>
      <c r="G73" s="216"/>
      <c r="H73" s="282"/>
    </row>
    <row r="74" ht="26.25" customHeight="1">
      <c r="A74" s="283"/>
      <c r="B74" s="284"/>
      <c r="C74" s="285"/>
      <c r="D74" s="286"/>
      <c r="E74" s="287"/>
      <c r="F74" s="281"/>
      <c r="G74" s="216"/>
      <c r="H74" s="282"/>
    </row>
    <row r="75" ht="26.25" customHeight="1">
      <c r="A75" s="283"/>
      <c r="B75" s="284"/>
      <c r="C75" s="285"/>
      <c r="D75" s="286"/>
      <c r="E75" s="287"/>
      <c r="F75" s="281"/>
      <c r="G75" s="216"/>
      <c r="H75" s="282"/>
    </row>
    <row r="76" ht="26.25" customHeight="1">
      <c r="A76" s="283"/>
      <c r="B76" s="284"/>
      <c r="C76" s="285"/>
      <c r="D76" s="286"/>
      <c r="E76" s="287"/>
      <c r="F76" s="281"/>
      <c r="G76" s="216"/>
      <c r="H76" s="282"/>
    </row>
    <row r="77" ht="26.25" customHeight="1">
      <c r="A77" s="283"/>
      <c r="B77" s="284"/>
      <c r="C77" s="285"/>
      <c r="D77" s="286"/>
      <c r="E77" s="287"/>
      <c r="F77" s="281"/>
      <c r="G77" s="216"/>
      <c r="H77" s="282"/>
    </row>
    <row r="78" ht="26.25" customHeight="1">
      <c r="A78" s="283"/>
      <c r="B78" s="284"/>
      <c r="C78" s="285"/>
      <c r="D78" s="286"/>
      <c r="E78" s="287"/>
      <c r="F78" s="281"/>
      <c r="G78" s="216"/>
      <c r="H78" s="282"/>
    </row>
    <row r="79" ht="26.25" customHeight="1">
      <c r="A79" s="283"/>
      <c r="B79" s="284"/>
      <c r="C79" s="285"/>
      <c r="D79" s="286"/>
      <c r="E79" s="287"/>
      <c r="F79" s="281"/>
      <c r="G79" s="216"/>
      <c r="H79" s="282"/>
    </row>
    <row r="80" ht="26.25" customHeight="1">
      <c r="A80" s="283"/>
      <c r="B80" s="284"/>
      <c r="C80" s="285"/>
      <c r="D80" s="286"/>
      <c r="E80" s="287"/>
      <c r="F80" s="281"/>
      <c r="G80" s="216"/>
      <c r="H80" s="282"/>
    </row>
    <row r="81" ht="26.25" customHeight="1">
      <c r="A81" s="283"/>
      <c r="B81" s="284"/>
      <c r="C81" s="285"/>
      <c r="D81" s="286"/>
      <c r="E81" s="287"/>
      <c r="F81" s="281"/>
      <c r="G81" s="216"/>
      <c r="H81" s="282"/>
    </row>
    <row r="82" ht="26.25" customHeight="1">
      <c r="A82" s="283"/>
      <c r="B82" s="284"/>
      <c r="C82" s="285"/>
      <c r="D82" s="286"/>
      <c r="E82" s="287"/>
      <c r="F82" s="281"/>
      <c r="G82" s="216"/>
      <c r="H82" s="282"/>
    </row>
    <row r="83" ht="26.25" customHeight="1">
      <c r="A83" s="283"/>
      <c r="B83" s="284"/>
      <c r="C83" s="285"/>
      <c r="D83" s="286"/>
      <c r="E83" s="287"/>
      <c r="F83" s="281"/>
      <c r="G83" s="216"/>
      <c r="H83" s="282"/>
    </row>
    <row r="84" ht="26.25" customHeight="1">
      <c r="A84" s="283"/>
      <c r="B84" s="284"/>
      <c r="C84" s="285"/>
      <c r="D84" s="286"/>
      <c r="E84" s="287"/>
      <c r="F84" s="281"/>
      <c r="G84" s="216"/>
      <c r="H84" s="282"/>
    </row>
    <row r="85" ht="26.25" customHeight="1">
      <c r="A85" s="283"/>
      <c r="B85" s="284"/>
      <c r="C85" s="285"/>
      <c r="D85" s="286"/>
      <c r="E85" s="287"/>
      <c r="F85" s="281"/>
      <c r="G85" s="216"/>
      <c r="H85" s="282"/>
    </row>
    <row r="86" ht="26.25" customHeight="1">
      <c r="A86" s="283"/>
      <c r="B86" s="284"/>
      <c r="C86" s="285"/>
      <c r="D86" s="286"/>
      <c r="E86" s="287"/>
      <c r="F86" s="281"/>
      <c r="G86" s="216"/>
      <c r="H86" s="282"/>
    </row>
    <row r="87" ht="26.25" customHeight="1">
      <c r="A87" s="283"/>
      <c r="B87" s="284"/>
      <c r="C87" s="285"/>
      <c r="D87" s="286"/>
      <c r="E87" s="287"/>
      <c r="F87" s="281"/>
      <c r="G87" s="216"/>
      <c r="H87" s="282"/>
    </row>
    <row r="88" ht="26.25" customHeight="1">
      <c r="A88" s="283"/>
      <c r="B88" s="284"/>
      <c r="C88" s="285"/>
      <c r="D88" s="286"/>
      <c r="E88" s="287"/>
      <c r="F88" s="281"/>
      <c r="G88" s="216"/>
      <c r="H88" s="282"/>
    </row>
    <row r="89" ht="26.25" customHeight="1">
      <c r="A89" s="283"/>
      <c r="B89" s="284"/>
      <c r="C89" s="285"/>
      <c r="D89" s="286"/>
      <c r="E89" s="287"/>
      <c r="F89" s="281"/>
      <c r="G89" s="216"/>
      <c r="H89" s="282"/>
    </row>
    <row r="90" ht="26.25" customHeight="1">
      <c r="A90" s="283"/>
      <c r="B90" s="284"/>
      <c r="C90" s="285"/>
      <c r="D90" s="286"/>
      <c r="E90" s="287"/>
      <c r="F90" s="281"/>
      <c r="G90" s="216"/>
      <c r="H90" s="282"/>
    </row>
    <row r="91" ht="26.25" customHeight="1">
      <c r="A91" s="283"/>
      <c r="B91" s="284"/>
      <c r="C91" s="285"/>
      <c r="D91" s="286"/>
      <c r="E91" s="287"/>
      <c r="F91" s="281"/>
      <c r="G91" s="216"/>
      <c r="H91" s="282"/>
    </row>
    <row r="92" ht="26.25" customHeight="1">
      <c r="A92" s="283"/>
      <c r="B92" s="284"/>
      <c r="C92" s="285"/>
      <c r="D92" s="286"/>
      <c r="E92" s="287"/>
      <c r="F92" s="281"/>
      <c r="G92" s="216"/>
      <c r="H92" s="282"/>
    </row>
    <row r="93" ht="26.25" customHeight="1">
      <c r="A93" s="283"/>
      <c r="B93" s="284"/>
      <c r="C93" s="285"/>
      <c r="D93" s="286"/>
      <c r="E93" s="287"/>
      <c r="F93" s="281"/>
      <c r="G93" s="216"/>
      <c r="H93" s="282"/>
    </row>
    <row r="94" ht="26.25" customHeight="1">
      <c r="A94" s="283"/>
      <c r="B94" s="284"/>
      <c r="C94" s="285"/>
      <c r="D94" s="286"/>
      <c r="E94" s="287"/>
      <c r="F94" s="281"/>
      <c r="G94" s="216"/>
      <c r="H94" s="282"/>
    </row>
    <row r="95" ht="26.25" customHeight="1">
      <c r="A95" s="283"/>
      <c r="B95" s="284"/>
      <c r="C95" s="285"/>
      <c r="D95" s="286"/>
      <c r="E95" s="287"/>
      <c r="F95" s="281"/>
      <c r="G95" s="216"/>
      <c r="H95" s="282"/>
    </row>
    <row r="96" ht="26.25" customHeight="1">
      <c r="A96" s="283"/>
      <c r="B96" s="284"/>
      <c r="C96" s="285"/>
      <c r="D96" s="286"/>
      <c r="E96" s="287"/>
      <c r="F96" s="281"/>
      <c r="G96" s="216"/>
      <c r="H96" s="282"/>
    </row>
    <row r="97" ht="26.25" customHeight="1">
      <c r="A97" s="283"/>
      <c r="B97" s="284"/>
      <c r="C97" s="285"/>
      <c r="D97" s="286"/>
      <c r="E97" s="287"/>
      <c r="F97" s="281"/>
      <c r="G97" s="216"/>
      <c r="H97" s="282"/>
    </row>
    <row r="98" ht="26.25" customHeight="1">
      <c r="A98" s="283"/>
      <c r="B98" s="284"/>
      <c r="C98" s="285"/>
      <c r="D98" s="286"/>
      <c r="E98" s="287"/>
      <c r="F98" s="281"/>
      <c r="G98" s="216"/>
      <c r="H98" s="282"/>
    </row>
    <row r="99" ht="26.25" customHeight="1">
      <c r="A99" s="283"/>
      <c r="B99" s="284"/>
      <c r="C99" s="285"/>
      <c r="D99" s="286"/>
      <c r="E99" s="287"/>
      <c r="F99" s="281"/>
      <c r="G99" s="216"/>
      <c r="H99" s="282"/>
    </row>
    <row r="100" ht="26.25" customHeight="1">
      <c r="A100" s="283"/>
      <c r="B100" s="284"/>
      <c r="C100" s="285"/>
      <c r="D100" s="286"/>
      <c r="E100" s="287"/>
      <c r="F100" s="281"/>
      <c r="G100" s="216"/>
      <c r="H100" s="282"/>
    </row>
    <row r="101" ht="26.25" customHeight="1">
      <c r="A101" s="283"/>
      <c r="B101" s="284"/>
      <c r="C101" s="285"/>
      <c r="D101" s="286"/>
      <c r="E101" s="287"/>
      <c r="F101" s="281"/>
      <c r="G101" s="216"/>
      <c r="H101" s="282"/>
    </row>
    <row r="102" ht="26.25" customHeight="1">
      <c r="A102" s="283"/>
      <c r="B102" s="284"/>
      <c r="C102" s="285"/>
      <c r="D102" s="286"/>
      <c r="E102" s="287"/>
      <c r="F102" s="281"/>
      <c r="G102" s="216"/>
      <c r="H102" s="282"/>
    </row>
    <row r="103" ht="26.25" customHeight="1">
      <c r="A103" s="283"/>
      <c r="B103" s="284"/>
      <c r="C103" s="285"/>
      <c r="D103" s="286"/>
      <c r="E103" s="287"/>
      <c r="F103" s="281"/>
      <c r="G103" s="216"/>
      <c r="H103" s="282"/>
    </row>
    <row r="104" ht="26.25" customHeight="1">
      <c r="A104" s="283"/>
      <c r="B104" s="284"/>
      <c r="C104" s="285"/>
      <c r="D104" s="286"/>
      <c r="E104" s="287"/>
      <c r="F104" s="281"/>
      <c r="G104" s="216"/>
      <c r="H104" s="282"/>
    </row>
    <row r="105" ht="26.25" customHeight="1">
      <c r="A105" s="283"/>
      <c r="B105" s="284"/>
      <c r="C105" s="285"/>
      <c r="D105" s="286"/>
      <c r="E105" s="287"/>
      <c r="F105" s="281"/>
      <c r="G105" s="216"/>
      <c r="H105" s="282"/>
    </row>
    <row r="106" ht="26.25" customHeight="1">
      <c r="A106" s="283"/>
      <c r="B106" s="284"/>
      <c r="C106" s="285"/>
      <c r="D106" s="286"/>
      <c r="E106" s="287"/>
      <c r="F106" s="281"/>
      <c r="G106" s="216"/>
      <c r="H106" s="282"/>
    </row>
    <row r="107" ht="26.25" customHeight="1">
      <c r="A107" s="283"/>
      <c r="B107" s="284"/>
      <c r="C107" s="285"/>
      <c r="D107" s="286"/>
      <c r="E107" s="287"/>
      <c r="F107" s="281"/>
      <c r="G107" s="216"/>
      <c r="H107" s="282"/>
    </row>
    <row r="108" ht="26.25" customHeight="1">
      <c r="A108" s="283"/>
      <c r="B108" s="284"/>
      <c r="C108" s="285"/>
      <c r="D108" s="286"/>
      <c r="E108" s="287"/>
      <c r="F108" s="281"/>
      <c r="G108" s="216"/>
      <c r="H108" s="282"/>
    </row>
    <row r="109" ht="26.25" customHeight="1">
      <c r="A109" s="283"/>
      <c r="B109" s="284"/>
      <c r="C109" s="285"/>
      <c r="D109" s="286"/>
      <c r="E109" s="287"/>
      <c r="F109" s="281"/>
      <c r="G109" s="216"/>
      <c r="H109" s="282"/>
    </row>
    <row r="110" ht="26.25" customHeight="1">
      <c r="A110" s="283"/>
      <c r="B110" s="284"/>
      <c r="C110" s="285"/>
      <c r="D110" s="286"/>
      <c r="E110" s="287"/>
      <c r="F110" s="281"/>
      <c r="G110" s="216"/>
      <c r="H110" s="282"/>
    </row>
    <row r="111" ht="26.25" customHeight="1">
      <c r="A111" s="283"/>
      <c r="B111" s="284"/>
      <c r="C111" s="285"/>
      <c r="D111" s="286"/>
      <c r="E111" s="287"/>
      <c r="F111" s="281"/>
      <c r="G111" s="216"/>
      <c r="H111" s="282"/>
    </row>
    <row r="112" ht="26.25" customHeight="1">
      <c r="A112" s="283"/>
      <c r="B112" s="284"/>
      <c r="C112" s="285"/>
      <c r="D112" s="286"/>
      <c r="E112" s="287"/>
      <c r="F112" s="281"/>
      <c r="G112" s="216"/>
      <c r="H112" s="282"/>
    </row>
    <row r="113" ht="26.25" customHeight="1">
      <c r="A113" s="283"/>
      <c r="B113" s="284"/>
      <c r="C113" s="285"/>
      <c r="D113" s="286"/>
      <c r="E113" s="287"/>
      <c r="F113" s="281"/>
      <c r="G113" s="216"/>
      <c r="H113" s="282"/>
    </row>
    <row r="114" ht="26.25" customHeight="1">
      <c r="A114" s="283"/>
      <c r="B114" s="284"/>
      <c r="C114" s="285"/>
      <c r="D114" s="286"/>
      <c r="E114" s="287"/>
      <c r="F114" s="281"/>
      <c r="G114" s="216"/>
      <c r="H114" s="282"/>
    </row>
    <row r="115" ht="26.25" customHeight="1">
      <c r="A115" s="283"/>
      <c r="B115" s="284"/>
      <c r="C115" s="285"/>
      <c r="D115" s="286"/>
      <c r="E115" s="287"/>
      <c r="F115" s="281"/>
      <c r="G115" s="216"/>
      <c r="H115" s="282"/>
    </row>
    <row r="116" ht="26.25" customHeight="1">
      <c r="A116" s="283"/>
      <c r="B116" s="284"/>
      <c r="C116" s="285"/>
      <c r="D116" s="286"/>
      <c r="E116" s="287"/>
      <c r="F116" s="281"/>
      <c r="G116" s="216"/>
      <c r="H116" s="282"/>
    </row>
    <row r="117" ht="26.25" customHeight="1">
      <c r="A117" s="283"/>
      <c r="B117" s="284"/>
      <c r="C117" s="285"/>
      <c r="D117" s="286"/>
      <c r="E117" s="287"/>
      <c r="F117" s="281"/>
      <c r="G117" s="216"/>
      <c r="H117" s="282"/>
    </row>
    <row r="118" ht="26.25" customHeight="1">
      <c r="A118" s="283"/>
      <c r="B118" s="284"/>
      <c r="C118" s="285"/>
      <c r="D118" s="286"/>
      <c r="E118" s="287"/>
      <c r="F118" s="281"/>
      <c r="G118" s="216"/>
      <c r="H118" s="282"/>
    </row>
    <row r="119" ht="26.25" customHeight="1">
      <c r="A119" s="283"/>
      <c r="B119" s="284"/>
      <c r="C119" s="285"/>
      <c r="D119" s="286"/>
      <c r="E119" s="287"/>
      <c r="F119" s="281"/>
      <c r="G119" s="216"/>
      <c r="H119" s="282"/>
    </row>
    <row r="120" ht="26.25" customHeight="1">
      <c r="A120" s="283"/>
      <c r="B120" s="284"/>
      <c r="C120" s="285"/>
      <c r="D120" s="286"/>
      <c r="E120" s="287"/>
      <c r="F120" s="281"/>
      <c r="G120" s="216"/>
      <c r="H120" s="282"/>
    </row>
    <row r="121" ht="26.25" customHeight="1">
      <c r="A121" s="283"/>
      <c r="B121" s="284"/>
      <c r="C121" s="285"/>
      <c r="D121" s="286"/>
      <c r="E121" s="287"/>
      <c r="F121" s="281"/>
      <c r="G121" s="216"/>
      <c r="H121" s="282"/>
    </row>
    <row r="122" ht="26.25" customHeight="1">
      <c r="A122" s="283"/>
      <c r="B122" s="284"/>
      <c r="C122" s="285"/>
      <c r="D122" s="286"/>
      <c r="E122" s="287"/>
      <c r="F122" s="281"/>
      <c r="G122" s="216"/>
      <c r="H122" s="282"/>
    </row>
    <row r="123" ht="26.25" customHeight="1">
      <c r="A123" s="283"/>
      <c r="B123" s="284"/>
      <c r="C123" s="285"/>
      <c r="D123" s="286"/>
      <c r="E123" s="287"/>
      <c r="F123" s="281"/>
      <c r="G123" s="216"/>
      <c r="H123" s="282"/>
    </row>
    <row r="124" ht="26.25" customHeight="1">
      <c r="A124" s="283"/>
      <c r="B124" s="284"/>
      <c r="C124" s="285"/>
      <c r="D124" s="286"/>
      <c r="E124" s="287"/>
      <c r="F124" s="281"/>
      <c r="G124" s="216"/>
      <c r="H124" s="282"/>
    </row>
    <row r="125" ht="26.25" customHeight="1">
      <c r="A125" s="283"/>
      <c r="B125" s="284"/>
      <c r="C125" s="285"/>
      <c r="D125" s="286"/>
      <c r="E125" s="287"/>
      <c r="F125" s="281"/>
      <c r="G125" s="216"/>
      <c r="H125" s="282"/>
    </row>
    <row r="126" ht="26.25" customHeight="1">
      <c r="A126" s="283"/>
      <c r="B126" s="284"/>
      <c r="C126" s="285"/>
      <c r="D126" s="286"/>
      <c r="E126" s="287"/>
      <c r="F126" s="281"/>
      <c r="G126" s="216"/>
      <c r="H126" s="282"/>
    </row>
    <row r="127" ht="26.25" customHeight="1">
      <c r="A127" s="283"/>
      <c r="B127" s="284"/>
      <c r="C127" s="285"/>
      <c r="D127" s="286"/>
      <c r="E127" s="287"/>
      <c r="F127" s="281"/>
      <c r="G127" s="216"/>
      <c r="H127" s="282"/>
    </row>
    <row r="128" ht="33.75" customHeight="1">
      <c r="A128" s="283"/>
      <c r="B128" s="284"/>
      <c r="C128" s="285"/>
      <c r="D128" s="286"/>
      <c r="E128" s="287"/>
      <c r="F128" s="281"/>
      <c r="G128" s="216"/>
      <c r="H128" s="282"/>
    </row>
    <row r="129" ht="26.25" customHeight="1">
      <c r="A129" s="283"/>
      <c r="B129" s="284"/>
      <c r="C129" s="285"/>
      <c r="D129" s="286"/>
      <c r="E129" s="287"/>
      <c r="F129" s="281"/>
      <c r="G129" s="216"/>
      <c r="H129" s="282"/>
    </row>
    <row r="130" ht="26.25" customHeight="1">
      <c r="A130" s="283"/>
      <c r="B130" s="284"/>
      <c r="C130" s="285"/>
      <c r="D130" s="286"/>
      <c r="E130" s="287"/>
      <c r="F130" s="281"/>
      <c r="G130" s="216"/>
      <c r="H130" s="282"/>
    </row>
    <row r="131" ht="26.25" customHeight="1">
      <c r="A131" s="283"/>
      <c r="B131" s="284"/>
      <c r="C131" s="285"/>
      <c r="D131" s="286"/>
      <c r="E131" s="287"/>
      <c r="F131" s="281"/>
      <c r="G131" s="216"/>
      <c r="H131" s="282"/>
    </row>
    <row r="132" ht="26.25" customHeight="1">
      <c r="A132" s="283"/>
      <c r="B132" s="284"/>
      <c r="C132" s="285"/>
      <c r="D132" s="286"/>
      <c r="E132" s="287"/>
      <c r="F132" s="281"/>
      <c r="G132" s="216"/>
      <c r="H132" s="282"/>
    </row>
    <row r="133" ht="26.25" customHeight="1">
      <c r="A133" s="283"/>
      <c r="B133" s="284"/>
      <c r="C133" s="285"/>
      <c r="D133" s="286"/>
      <c r="E133" s="287"/>
      <c r="F133" s="281"/>
      <c r="G133" s="216"/>
      <c r="H133" s="282"/>
    </row>
    <row r="134" ht="26.25" customHeight="1">
      <c r="A134" s="283"/>
      <c r="B134" s="284"/>
      <c r="C134" s="285"/>
      <c r="D134" s="286"/>
      <c r="E134" s="287"/>
      <c r="F134" s="281"/>
      <c r="G134" s="216"/>
      <c r="H134" s="282"/>
    </row>
    <row r="135" ht="26.25" customHeight="1">
      <c r="A135" s="283"/>
      <c r="B135" s="284"/>
      <c r="C135" s="285"/>
      <c r="D135" s="286"/>
      <c r="E135" s="287"/>
      <c r="F135" s="281"/>
      <c r="G135" s="216"/>
      <c r="H135" s="282"/>
    </row>
    <row r="136" ht="26.25" customHeight="1">
      <c r="A136" s="283"/>
      <c r="B136" s="284"/>
      <c r="C136" s="285"/>
      <c r="D136" s="286"/>
      <c r="E136" s="287"/>
      <c r="F136" s="281"/>
      <c r="G136" s="216"/>
      <c r="H136" s="282"/>
    </row>
    <row r="137" ht="26.25" customHeight="1">
      <c r="A137" s="283"/>
      <c r="B137" s="284"/>
      <c r="C137" s="285"/>
      <c r="D137" s="286"/>
      <c r="E137" s="287"/>
      <c r="F137" s="281"/>
      <c r="G137" s="216"/>
      <c r="H137" s="282"/>
    </row>
    <row r="138" ht="26.25" customHeight="1">
      <c r="A138" s="283"/>
      <c r="B138" s="284"/>
      <c r="C138" s="285"/>
      <c r="D138" s="286"/>
      <c r="E138" s="287"/>
      <c r="F138" s="281"/>
      <c r="G138" s="216"/>
      <c r="H138" s="282"/>
    </row>
    <row r="139" ht="26.25" customHeight="1">
      <c r="A139" s="283"/>
      <c r="B139" s="284"/>
      <c r="C139" s="285"/>
      <c r="D139" s="286"/>
      <c r="E139" s="287"/>
      <c r="F139" s="281"/>
      <c r="G139" s="216"/>
      <c r="H139" s="282"/>
    </row>
    <row r="140" ht="26.25" customHeight="1">
      <c r="A140" s="283"/>
      <c r="B140" s="284"/>
      <c r="C140" s="285"/>
      <c r="D140" s="286"/>
      <c r="E140" s="287"/>
      <c r="F140" s="281"/>
      <c r="G140" s="216"/>
      <c r="H140" s="282"/>
    </row>
    <row r="141" ht="26.25" customHeight="1">
      <c r="A141" s="283"/>
      <c r="B141" s="284"/>
      <c r="C141" s="285"/>
      <c r="D141" s="286"/>
      <c r="E141" s="287"/>
      <c r="F141" s="281"/>
      <c r="G141" s="216"/>
      <c r="H141" s="282"/>
    </row>
    <row r="142" ht="26.25" customHeight="1">
      <c r="A142" s="283"/>
      <c r="B142" s="284"/>
      <c r="C142" s="285"/>
      <c r="D142" s="286"/>
      <c r="E142" s="287"/>
      <c r="F142" s="281"/>
      <c r="G142" s="216"/>
      <c r="H142" s="282"/>
    </row>
    <row r="143" ht="26.25" customHeight="1">
      <c r="A143" s="283"/>
      <c r="B143" s="284"/>
      <c r="C143" s="285"/>
      <c r="D143" s="286"/>
      <c r="E143" s="287"/>
      <c r="F143" s="281"/>
      <c r="G143" s="216"/>
      <c r="H143" s="282"/>
    </row>
    <row r="144" ht="26.25" customHeight="1">
      <c r="A144" s="283"/>
      <c r="B144" s="284"/>
      <c r="C144" s="285"/>
      <c r="D144" s="286"/>
      <c r="E144" s="287"/>
      <c r="F144" s="281"/>
      <c r="G144" s="216"/>
      <c r="H144" s="282"/>
    </row>
    <row r="145" ht="26.25" customHeight="1">
      <c r="A145" s="283"/>
      <c r="B145" s="284"/>
      <c r="C145" s="285"/>
      <c r="D145" s="286"/>
      <c r="E145" s="287"/>
      <c r="F145" s="281"/>
      <c r="G145" s="216"/>
      <c r="H145" s="282"/>
    </row>
    <row r="146" ht="26.25" customHeight="1">
      <c r="A146" s="283"/>
      <c r="B146" s="284"/>
      <c r="C146" s="285"/>
      <c r="D146" s="286"/>
      <c r="E146" s="287"/>
      <c r="F146" s="281"/>
      <c r="G146" s="216"/>
      <c r="H146" s="282"/>
    </row>
    <row r="147" ht="26.25" customHeight="1">
      <c r="A147" s="283"/>
      <c r="B147" s="284"/>
      <c r="C147" s="285"/>
      <c r="D147" s="288"/>
      <c r="E147" s="287"/>
      <c r="F147" s="281"/>
      <c r="G147" s="216"/>
      <c r="H147" s="282"/>
    </row>
    <row r="148" ht="26.25" customHeight="1">
      <c r="A148" s="283"/>
      <c r="B148" s="284"/>
      <c r="C148" s="285"/>
      <c r="D148" s="288"/>
      <c r="E148" s="287"/>
      <c r="F148" s="281"/>
      <c r="G148" s="216"/>
      <c r="H148" s="282"/>
    </row>
    <row r="149" ht="26.25" customHeight="1">
      <c r="A149" s="283"/>
      <c r="B149" s="284"/>
      <c r="C149" s="285"/>
      <c r="D149" s="288"/>
      <c r="E149" s="287"/>
      <c r="F149" s="281"/>
      <c r="G149" s="216"/>
      <c r="H149" s="282"/>
    </row>
    <row r="150" ht="26.25" customHeight="1">
      <c r="A150" s="283"/>
      <c r="B150" s="284"/>
      <c r="C150" s="285"/>
      <c r="D150" s="288"/>
      <c r="E150" s="287"/>
      <c r="F150" s="281"/>
      <c r="G150" s="216"/>
      <c r="H150" s="282"/>
    </row>
    <row r="151" ht="26.25" customHeight="1">
      <c r="A151" s="283"/>
      <c r="B151" s="284"/>
      <c r="C151" s="285"/>
      <c r="D151" s="288"/>
      <c r="E151" s="287"/>
      <c r="F151" s="281"/>
      <c r="G151" s="216"/>
      <c r="H151" s="282"/>
    </row>
    <row r="152" ht="26.25" customHeight="1">
      <c r="A152" s="283"/>
      <c r="B152" s="284"/>
      <c r="C152" s="285"/>
      <c r="D152" s="288"/>
      <c r="E152" s="287"/>
      <c r="F152" s="281"/>
      <c r="G152" s="216"/>
      <c r="H152" s="282"/>
    </row>
    <row r="153" ht="26.25" customHeight="1">
      <c r="A153" s="283"/>
      <c r="B153" s="284"/>
      <c r="C153" s="285"/>
      <c r="D153" s="288"/>
      <c r="E153" s="287"/>
      <c r="F153" s="281"/>
      <c r="G153" s="216"/>
      <c r="H153" s="282"/>
    </row>
    <row r="154" ht="26.25" customHeight="1">
      <c r="A154" s="283"/>
      <c r="B154" s="284"/>
      <c r="C154" s="285"/>
      <c r="D154" s="288"/>
      <c r="E154" s="287"/>
      <c r="F154" s="281"/>
      <c r="G154" s="216"/>
      <c r="H154" s="282"/>
    </row>
    <row r="155" ht="26.25" customHeight="1">
      <c r="A155" s="283"/>
      <c r="B155" s="284"/>
      <c r="C155" s="285"/>
      <c r="D155" s="288"/>
      <c r="E155" s="287"/>
      <c r="F155" s="281"/>
      <c r="G155" s="216"/>
      <c r="H155" s="282"/>
    </row>
    <row r="156" ht="26.25" customHeight="1">
      <c r="A156" s="283"/>
      <c r="B156" s="284"/>
      <c r="C156" s="285"/>
      <c r="D156" s="288"/>
      <c r="E156" s="287"/>
      <c r="F156" s="281"/>
      <c r="G156" s="216"/>
      <c r="H156" s="282"/>
    </row>
    <row r="157" ht="26.25" customHeight="1">
      <c r="A157" s="283"/>
      <c r="B157" s="284"/>
      <c r="C157" s="285"/>
      <c r="D157" s="288"/>
      <c r="E157" s="287"/>
      <c r="F157" s="281"/>
      <c r="G157" s="216"/>
      <c r="H157" s="282"/>
    </row>
    <row r="158" ht="26.25" customHeight="1">
      <c r="A158" s="283"/>
      <c r="B158" s="284"/>
      <c r="C158" s="285"/>
      <c r="D158" s="288"/>
      <c r="E158" s="287"/>
      <c r="F158" s="281"/>
      <c r="G158" s="216"/>
      <c r="H158" s="282"/>
    </row>
    <row r="159" ht="26.25" customHeight="1">
      <c r="A159" s="283"/>
      <c r="B159" s="284"/>
      <c r="C159" s="285"/>
      <c r="D159" s="288"/>
      <c r="E159" s="287"/>
      <c r="F159" s="281"/>
      <c r="G159" s="216"/>
      <c r="H159" s="282"/>
    </row>
    <row r="160" ht="26.25" customHeight="1">
      <c r="A160" s="283"/>
      <c r="B160" s="284"/>
      <c r="C160" s="285"/>
      <c r="D160" s="288"/>
      <c r="E160" s="287"/>
      <c r="F160" s="281"/>
      <c r="G160" s="216"/>
      <c r="H160" s="282"/>
    </row>
    <row r="161" ht="26.25" customHeight="1">
      <c r="A161" s="283"/>
      <c r="B161" s="284"/>
      <c r="C161" s="285"/>
      <c r="D161" s="288"/>
      <c r="E161" s="287"/>
      <c r="F161" s="281"/>
      <c r="G161" s="216"/>
      <c r="H161" s="282"/>
    </row>
    <row r="162" ht="26.25" customHeight="1">
      <c r="A162" s="283"/>
      <c r="B162" s="284"/>
      <c r="C162" s="285"/>
      <c r="D162" s="288"/>
      <c r="E162" s="287"/>
      <c r="F162" s="281"/>
      <c r="G162" s="216"/>
      <c r="H162" s="282"/>
    </row>
    <row r="163" ht="26.25" customHeight="1">
      <c r="A163" s="283"/>
      <c r="B163" s="284"/>
      <c r="C163" s="285"/>
      <c r="D163" s="288"/>
      <c r="E163" s="287"/>
      <c r="F163" s="281"/>
      <c r="G163" s="216"/>
      <c r="H163" s="282"/>
    </row>
    <row r="164" ht="26.25" customHeight="1">
      <c r="A164" s="283"/>
      <c r="B164" s="284"/>
      <c r="C164" s="285"/>
      <c r="D164" s="288"/>
      <c r="E164" s="287"/>
      <c r="F164" s="281"/>
      <c r="G164" s="216"/>
      <c r="H164" s="282"/>
    </row>
    <row r="165" ht="26.25" customHeight="1">
      <c r="A165" s="283"/>
      <c r="B165" s="289"/>
      <c r="C165" s="285"/>
      <c r="D165" s="290"/>
      <c r="E165" s="287"/>
      <c r="F165" s="281"/>
      <c r="G165" s="216"/>
      <c r="H165" s="282"/>
    </row>
    <row r="166" ht="26.25" customHeight="1">
      <c r="A166" s="283"/>
      <c r="B166" s="289"/>
      <c r="C166" s="285"/>
      <c r="D166" s="290"/>
      <c r="E166" s="287"/>
      <c r="F166" s="281"/>
      <c r="G166" s="216"/>
      <c r="H166" s="282"/>
    </row>
    <row r="167" ht="26.25" customHeight="1">
      <c r="A167" s="291"/>
      <c r="B167" s="289"/>
      <c r="C167" s="281"/>
      <c r="D167" s="290"/>
      <c r="E167" s="291"/>
      <c r="F167" s="281"/>
      <c r="G167" s="216"/>
      <c r="H167" s="292"/>
    </row>
    <row r="168" ht="26.25" customHeight="1">
      <c r="A168" s="291"/>
      <c r="B168" s="289"/>
      <c r="C168" s="281"/>
      <c r="D168" s="290"/>
      <c r="E168" s="291"/>
      <c r="F168" s="281"/>
      <c r="G168" s="216"/>
      <c r="H168" s="292"/>
    </row>
    <row r="169" ht="26.25" customHeight="1">
      <c r="A169" s="291"/>
      <c r="B169" s="289"/>
      <c r="C169" s="281"/>
      <c r="D169" s="290"/>
      <c r="E169" s="291"/>
      <c r="F169" s="281"/>
      <c r="G169" s="216"/>
      <c r="H169" s="292"/>
    </row>
    <row r="170" ht="26.25" customHeight="1">
      <c r="A170" s="291"/>
      <c r="B170" s="289"/>
      <c r="C170" s="281"/>
      <c r="D170" s="290"/>
      <c r="E170" s="291"/>
      <c r="F170" s="281"/>
      <c r="G170" s="216"/>
      <c r="H170" s="292"/>
    </row>
    <row r="171" ht="26.25" customHeight="1">
      <c r="A171" s="291"/>
      <c r="B171" s="289"/>
      <c r="C171" s="281"/>
      <c r="D171" s="290"/>
      <c r="E171" s="291"/>
      <c r="F171" s="281"/>
      <c r="G171" s="216"/>
      <c r="H171" s="292"/>
    </row>
    <row r="172" ht="26.25" customHeight="1">
      <c r="A172" s="291"/>
      <c r="B172" s="289"/>
      <c r="C172" s="281"/>
      <c r="D172" s="290"/>
      <c r="E172" s="291"/>
      <c r="F172" s="281"/>
      <c r="G172" s="216"/>
      <c r="H172" s="292"/>
    </row>
    <row r="173" ht="26.25" customHeight="1">
      <c r="A173" s="291"/>
      <c r="B173" s="289"/>
      <c r="C173" s="281"/>
      <c r="D173" s="290"/>
      <c r="E173" s="291"/>
      <c r="F173" s="281"/>
      <c r="G173" s="216"/>
      <c r="H173" s="292"/>
    </row>
    <row r="174" ht="26.25" customHeight="1">
      <c r="A174" s="291"/>
      <c r="B174" s="289"/>
      <c r="C174" s="281"/>
      <c r="D174" s="290"/>
      <c r="E174" s="291"/>
      <c r="F174" s="281"/>
      <c r="G174" s="216"/>
      <c r="H174" s="292"/>
    </row>
    <row r="175" ht="26.25" customHeight="1">
      <c r="A175" s="291"/>
      <c r="B175" s="289"/>
      <c r="C175" s="281"/>
      <c r="D175" s="290"/>
      <c r="E175" s="291"/>
      <c r="F175" s="281"/>
      <c r="G175" s="216"/>
      <c r="H175" s="292"/>
    </row>
    <row r="176" ht="26.25" customHeight="1">
      <c r="A176" s="291"/>
      <c r="B176" s="289"/>
      <c r="C176" s="281"/>
      <c r="D176" s="290"/>
      <c r="E176" s="291"/>
      <c r="F176" s="281"/>
      <c r="G176" s="216"/>
      <c r="H176" s="292"/>
    </row>
    <row r="177" ht="26.25" customHeight="1">
      <c r="A177" s="291"/>
      <c r="B177" s="289"/>
      <c r="C177" s="281"/>
      <c r="D177" s="290"/>
      <c r="E177" s="291"/>
      <c r="F177" s="281"/>
      <c r="G177" s="216"/>
      <c r="H177" s="292"/>
    </row>
    <row r="178" ht="26.25" customHeight="1">
      <c r="A178" s="291"/>
      <c r="B178" s="289"/>
      <c r="C178" s="281"/>
      <c r="D178" s="290"/>
      <c r="E178" s="291"/>
      <c r="F178" s="281"/>
      <c r="G178" s="216"/>
      <c r="H178" s="292"/>
    </row>
    <row r="179" ht="26.25" customHeight="1">
      <c r="A179" s="291"/>
      <c r="B179" s="289"/>
      <c r="C179" s="281"/>
      <c r="D179" s="290"/>
      <c r="E179" s="291"/>
      <c r="F179" s="281"/>
      <c r="G179" s="216"/>
      <c r="H179" s="292"/>
    </row>
    <row r="180" ht="26.25" customHeight="1">
      <c r="A180" s="291"/>
      <c r="B180" s="289"/>
      <c r="C180" s="281"/>
      <c r="D180" s="290"/>
      <c r="E180" s="291"/>
      <c r="F180" s="281"/>
      <c r="G180" s="216"/>
      <c r="H180" s="292"/>
    </row>
    <row r="181" ht="26.25" customHeight="1">
      <c r="A181" s="291"/>
      <c r="B181" s="289"/>
      <c r="C181" s="281"/>
      <c r="D181" s="290"/>
      <c r="E181" s="291"/>
      <c r="F181" s="281"/>
      <c r="G181" s="216"/>
      <c r="H181" s="292"/>
    </row>
    <row r="182" ht="26.25" customHeight="1">
      <c r="A182" s="291"/>
      <c r="B182" s="289"/>
      <c r="C182" s="281"/>
      <c r="D182" s="290"/>
      <c r="E182" s="291"/>
      <c r="F182" s="281"/>
      <c r="G182" s="216"/>
      <c r="H182" s="292"/>
    </row>
    <row r="183" ht="26.25" customHeight="1">
      <c r="A183" s="291"/>
      <c r="B183" s="289"/>
      <c r="C183" s="281"/>
      <c r="D183" s="290"/>
      <c r="E183" s="291"/>
      <c r="F183" s="281"/>
      <c r="G183" s="216"/>
      <c r="H183" s="292"/>
    </row>
    <row r="184" ht="26.25" customHeight="1">
      <c r="A184" s="291"/>
      <c r="B184" s="289"/>
      <c r="C184" s="281"/>
      <c r="D184" s="290"/>
      <c r="E184" s="291"/>
      <c r="F184" s="281"/>
      <c r="G184" s="216"/>
      <c r="H184" s="292"/>
    </row>
    <row r="185" ht="26.25" customHeight="1">
      <c r="A185" s="291"/>
      <c r="B185" s="289"/>
      <c r="C185" s="281"/>
      <c r="D185" s="290"/>
      <c r="E185" s="291"/>
      <c r="F185" s="281"/>
      <c r="G185" s="216"/>
      <c r="H185" s="292"/>
    </row>
    <row r="186" ht="26.25" customHeight="1">
      <c r="A186" s="291"/>
      <c r="B186" s="289"/>
      <c r="C186" s="281"/>
      <c r="D186" s="290"/>
      <c r="E186" s="291"/>
      <c r="F186" s="281"/>
      <c r="G186" s="216"/>
      <c r="H186" s="292"/>
    </row>
    <row r="187" ht="26.25" customHeight="1">
      <c r="A187" s="291"/>
      <c r="B187" s="289"/>
      <c r="C187" s="281"/>
      <c r="D187" s="290"/>
      <c r="E187" s="291"/>
      <c r="F187" s="281"/>
      <c r="G187" s="216"/>
      <c r="H187" s="292"/>
    </row>
    <row r="188" ht="26.25" customHeight="1">
      <c r="A188" s="291"/>
      <c r="B188" s="289"/>
      <c r="C188" s="281"/>
      <c r="D188" s="290"/>
      <c r="E188" s="291"/>
      <c r="F188" s="281"/>
      <c r="G188" s="216"/>
      <c r="H188" s="292"/>
    </row>
    <row r="189" ht="26.25" customHeight="1">
      <c r="A189" s="291"/>
      <c r="B189" s="289"/>
      <c r="C189" s="281"/>
      <c r="D189" s="290"/>
      <c r="E189" s="291"/>
      <c r="F189" s="281"/>
      <c r="G189" s="216"/>
      <c r="H189" s="292"/>
    </row>
    <row r="190" ht="26.25" customHeight="1">
      <c r="A190" s="291"/>
      <c r="B190" s="289"/>
      <c r="C190" s="281"/>
      <c r="D190" s="290"/>
      <c r="E190" s="291"/>
      <c r="F190" s="281"/>
      <c r="G190" s="216"/>
      <c r="H190" s="292"/>
    </row>
    <row r="191" ht="26.25" customHeight="1">
      <c r="A191" s="291"/>
      <c r="B191" s="289"/>
      <c r="C191" s="281"/>
      <c r="D191" s="290"/>
      <c r="E191" s="291"/>
      <c r="F191" s="281"/>
      <c r="G191" s="216"/>
      <c r="H191" s="292"/>
    </row>
    <row r="192" ht="26.25" customHeight="1">
      <c r="A192" s="291"/>
      <c r="B192" s="289"/>
      <c r="C192" s="281"/>
      <c r="D192" s="290"/>
      <c r="E192" s="291"/>
      <c r="F192" s="281"/>
      <c r="G192" s="216"/>
      <c r="H192" s="292"/>
    </row>
    <row r="193" ht="26.25" customHeight="1">
      <c r="A193" s="291"/>
      <c r="B193" s="289"/>
      <c r="C193" s="281"/>
      <c r="D193" s="290"/>
      <c r="E193" s="291"/>
      <c r="F193" s="281"/>
      <c r="G193" s="216"/>
      <c r="H193" s="292"/>
    </row>
    <row r="194" ht="26.25" customHeight="1">
      <c r="A194" s="291"/>
      <c r="B194" s="289"/>
      <c r="C194" s="281"/>
      <c r="D194" s="290"/>
      <c r="E194" s="291"/>
      <c r="F194" s="281"/>
      <c r="G194" s="216"/>
      <c r="H194" s="292"/>
    </row>
    <row r="195" ht="26.25" customHeight="1">
      <c r="A195" s="291"/>
      <c r="B195" s="289"/>
      <c r="C195" s="281"/>
      <c r="D195" s="290"/>
      <c r="E195" s="291"/>
      <c r="F195" s="281"/>
      <c r="G195" s="216"/>
      <c r="H195" s="292"/>
    </row>
    <row r="196" ht="26.25" customHeight="1">
      <c r="A196" s="291"/>
      <c r="B196" s="289"/>
      <c r="C196" s="281"/>
      <c r="D196" s="290"/>
      <c r="E196" s="291"/>
      <c r="F196" s="281"/>
      <c r="G196" s="216"/>
      <c r="H196" s="292"/>
    </row>
    <row r="197" ht="26.25" customHeight="1">
      <c r="A197" s="291"/>
      <c r="B197" s="289"/>
      <c r="C197" s="281"/>
      <c r="D197" s="290"/>
      <c r="E197" s="291"/>
      <c r="F197" s="281"/>
      <c r="G197" s="216"/>
      <c r="H197" s="292"/>
    </row>
    <row r="198" ht="26.25" customHeight="1">
      <c r="A198" s="291"/>
      <c r="B198" s="289"/>
      <c r="C198" s="281"/>
      <c r="D198" s="290"/>
      <c r="E198" s="291"/>
      <c r="F198" s="281"/>
      <c r="G198" s="216"/>
      <c r="H198" s="292"/>
    </row>
    <row r="199" ht="26.25" customHeight="1">
      <c r="A199" s="291"/>
      <c r="B199" s="289"/>
      <c r="C199" s="281"/>
      <c r="D199" s="290"/>
      <c r="E199" s="291"/>
      <c r="F199" s="281"/>
      <c r="G199" s="216"/>
      <c r="H199" s="292"/>
    </row>
    <row r="200" ht="26.25" customHeight="1">
      <c r="A200" s="291"/>
      <c r="B200" s="289"/>
      <c r="C200" s="281"/>
      <c r="D200" s="290"/>
      <c r="E200" s="291"/>
      <c r="F200" s="281"/>
      <c r="G200" s="216"/>
      <c r="H200" s="292"/>
    </row>
    <row r="201" ht="26.25" customHeight="1">
      <c r="A201" s="291"/>
      <c r="B201" s="289"/>
      <c r="C201" s="281"/>
      <c r="D201" s="290"/>
      <c r="E201" s="291"/>
      <c r="F201" s="281"/>
      <c r="G201" s="216"/>
      <c r="H201" s="292"/>
    </row>
    <row r="202" ht="26.25" customHeight="1">
      <c r="A202" s="291"/>
      <c r="B202" s="289"/>
      <c r="C202" s="281"/>
      <c r="D202" s="290"/>
      <c r="E202" s="291"/>
      <c r="F202" s="281"/>
      <c r="G202" s="216"/>
      <c r="H202" s="292"/>
    </row>
    <row r="203" ht="26.25" customHeight="1">
      <c r="A203" s="291"/>
      <c r="B203" s="289"/>
      <c r="C203" s="281"/>
      <c r="D203" s="290"/>
      <c r="E203" s="291"/>
      <c r="F203" s="281"/>
      <c r="G203" s="216"/>
      <c r="H203" s="292"/>
    </row>
    <row r="204" ht="26.25" customHeight="1">
      <c r="A204" s="291"/>
      <c r="B204" s="289"/>
      <c r="C204" s="281"/>
      <c r="D204" s="290"/>
      <c r="E204" s="291"/>
      <c r="F204" s="281"/>
      <c r="G204" s="216"/>
      <c r="H204" s="292"/>
    </row>
    <row r="205" ht="26.25" customHeight="1">
      <c r="A205" s="291"/>
      <c r="B205" s="289"/>
      <c r="C205" s="281"/>
      <c r="D205" s="290"/>
      <c r="E205" s="291"/>
      <c r="F205" s="281"/>
      <c r="G205" s="216"/>
      <c r="H205" s="292"/>
    </row>
    <row r="206" ht="26.25" customHeight="1">
      <c r="A206" s="291"/>
      <c r="B206" s="289"/>
      <c r="C206" s="281"/>
      <c r="D206" s="290"/>
      <c r="E206" s="291"/>
      <c r="F206" s="281"/>
      <c r="G206" s="216"/>
      <c r="H206" s="292"/>
    </row>
    <row r="207" ht="26.25" customHeight="1">
      <c r="A207" s="291"/>
      <c r="B207" s="289"/>
      <c r="C207" s="281"/>
      <c r="D207" s="290"/>
      <c r="E207" s="291"/>
      <c r="F207" s="281"/>
      <c r="G207" s="216"/>
      <c r="H207" s="292"/>
    </row>
    <row r="208" ht="26.25" customHeight="1">
      <c r="A208" s="291"/>
      <c r="B208" s="289"/>
      <c r="C208" s="281"/>
      <c r="D208" s="290"/>
      <c r="E208" s="291"/>
      <c r="F208" s="281"/>
      <c r="G208" s="216"/>
      <c r="H208" s="292"/>
    </row>
    <row r="209" ht="26.25" customHeight="1">
      <c r="A209" s="291"/>
      <c r="B209" s="289"/>
      <c r="C209" s="281"/>
      <c r="D209" s="290"/>
      <c r="E209" s="291"/>
      <c r="F209" s="281"/>
      <c r="G209" s="216"/>
      <c r="H209" s="292"/>
    </row>
    <row r="210" ht="26.25" customHeight="1">
      <c r="A210" s="291"/>
      <c r="B210" s="289"/>
      <c r="C210" s="281"/>
      <c r="D210" s="290"/>
      <c r="E210" s="291"/>
      <c r="F210" s="281"/>
      <c r="G210" s="216"/>
      <c r="H210" s="292"/>
    </row>
    <row r="211" ht="26.25" customHeight="1">
      <c r="A211" s="291"/>
      <c r="B211" s="289"/>
      <c r="C211" s="281"/>
      <c r="D211" s="290"/>
      <c r="E211" s="291"/>
      <c r="F211" s="281"/>
      <c r="G211" s="216"/>
      <c r="H211" s="292"/>
    </row>
    <row r="212" ht="26.25" customHeight="1">
      <c r="A212" s="291"/>
      <c r="B212" s="289"/>
      <c r="C212" s="281"/>
      <c r="D212" s="290"/>
      <c r="E212" s="291"/>
      <c r="F212" s="281"/>
      <c r="G212" s="216"/>
      <c r="H212" s="292"/>
    </row>
    <row r="213" ht="26.25" customHeight="1">
      <c r="A213" s="291"/>
      <c r="B213" s="289"/>
      <c r="C213" s="281"/>
      <c r="D213" s="290"/>
      <c r="E213" s="291"/>
      <c r="F213" s="281"/>
      <c r="G213" s="216"/>
      <c r="H213" s="292"/>
    </row>
    <row r="214" ht="26.25" customHeight="1">
      <c r="A214" s="291"/>
      <c r="B214" s="289"/>
      <c r="C214" s="281"/>
      <c r="D214" s="290"/>
      <c r="E214" s="291"/>
      <c r="F214" s="281"/>
      <c r="G214" s="216"/>
      <c r="H214" s="292"/>
    </row>
    <row r="215" ht="26.25" customHeight="1">
      <c r="A215" s="291"/>
      <c r="B215" s="289"/>
      <c r="C215" s="281"/>
      <c r="D215" s="290"/>
      <c r="E215" s="291"/>
      <c r="F215" s="281"/>
      <c r="G215" s="216"/>
      <c r="H215" s="292"/>
    </row>
    <row r="216" ht="26.25" customHeight="1">
      <c r="A216" s="291"/>
      <c r="B216" s="289"/>
      <c r="C216" s="281"/>
      <c r="D216" s="290"/>
      <c r="E216" s="291"/>
      <c r="F216" s="281"/>
      <c r="G216" s="216"/>
      <c r="H216" s="292"/>
    </row>
    <row r="217" ht="26.25" customHeight="1">
      <c r="A217" s="291"/>
      <c r="B217" s="289"/>
      <c r="C217" s="281"/>
      <c r="D217" s="290"/>
      <c r="E217" s="291"/>
      <c r="F217" s="281"/>
      <c r="G217" s="216"/>
      <c r="H217" s="292"/>
    </row>
    <row r="218" ht="26.25" customHeight="1">
      <c r="A218" s="291"/>
      <c r="B218" s="289"/>
      <c r="C218" s="281"/>
      <c r="D218" s="290"/>
      <c r="E218" s="291"/>
      <c r="F218" s="281"/>
      <c r="G218" s="216"/>
      <c r="H218" s="292"/>
    </row>
    <row r="219" ht="26.25" customHeight="1">
      <c r="A219" s="291"/>
      <c r="B219" s="289"/>
      <c r="C219" s="281"/>
      <c r="D219" s="290"/>
      <c r="E219" s="291"/>
      <c r="F219" s="281"/>
      <c r="G219" s="216"/>
      <c r="H219" s="292"/>
    </row>
    <row r="220" ht="26.25" customHeight="1">
      <c r="A220" s="291"/>
      <c r="B220" s="289"/>
      <c r="C220" s="281"/>
      <c r="D220" s="290"/>
      <c r="E220" s="291"/>
      <c r="F220" s="281"/>
      <c r="G220" s="216"/>
      <c r="H220" s="29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A3:A1000">
    <cfRule type="containsText" dxfId="29" priority="1" operator="containsText" text="GESTION">
      <formula>NOT(ISERROR(SEARCH(("GESTION"),(A3))))</formula>
    </cfRule>
  </conditionalFormatting>
  <conditionalFormatting sqref="A3:A1000">
    <cfRule type="containsText" dxfId="30" priority="2" operator="containsText" text="DERECHO FUNCIONARIO">
      <formula>NOT(ISERROR(SEARCH(("DERECHO FUNCIONARIO"),(A3))))</formula>
    </cfRule>
  </conditionalFormatting>
  <conditionalFormatting sqref="A2:G1000">
    <cfRule type="expression" dxfId="31" priority="3">
      <formula>COUNTIF($G$2:$G2713,G2)&gt;1</formula>
    </cfRule>
  </conditionalFormatting>
  <conditionalFormatting sqref="D1">
    <cfRule type="containsText" dxfId="32" priority="4" operator="containsText" text="SALUDABLE">
      <formula>NOT(ISERROR(SEARCH(("SALUDABLE"),(D1))))</formula>
    </cfRule>
  </conditionalFormatting>
  <conditionalFormatting sqref="D1">
    <cfRule type="containsText" dxfId="32" priority="5" operator="containsText" text="AUTOCUIDADO">
      <formula>NOT(ISERROR(SEARCH(("AUTOCUIDADO"),(D1))))</formula>
    </cfRule>
  </conditionalFormatting>
  <conditionalFormatting sqref="D1">
    <cfRule type="containsText" dxfId="32" priority="6" operator="containsText" text="COLACION">
      <formula>NOT(ISERROR(SEARCH(("COLACION"),(D1))))</formula>
    </cfRule>
  </conditionalFormatting>
  <conditionalFormatting sqref="D1">
    <cfRule type="containsText" dxfId="32" priority="7" operator="containsText" text="CONSEJO">
      <formula>NOT(ISERROR(SEARCH(("CONSEJO"),(D1))))</formula>
    </cfRule>
  </conditionalFormatting>
  <conditionalFormatting sqref="D1">
    <cfRule type="containsText" dxfId="32" priority="8" operator="containsText" text="SECTOR">
      <formula>NOT(ISERROR(SEARCH(("SECTOR"),(D1))))</formula>
    </cfRule>
  </conditionalFormatting>
  <conditionalFormatting sqref="D1">
    <cfRule type="containsText" dxfId="32" priority="9" operator="containsText" text="SECTOR">
      <formula>NOT(ISERROR(SEARCH(("SECTOR"),(D1))))</formula>
    </cfRule>
  </conditionalFormatting>
  <conditionalFormatting sqref="D1">
    <cfRule type="containsText" dxfId="33" priority="10" operator="containsText" text="(CENTRAL)">
      <formula>NOT(ISERROR(SEARCH(("(CENTRAL)"),(D1))))</formula>
    </cfRule>
  </conditionalFormatting>
  <conditionalFormatting sqref="A2 B3:B1000">
    <cfRule type="containsText" dxfId="34" priority="11" operator="containsText" text="REUNION">
      <formula>NOT(ISERROR(SEARCH(("REUNION"),(A2))))</formula>
    </cfRule>
  </conditionalFormatting>
  <conditionalFormatting sqref="A3:A1000">
    <cfRule type="containsText" dxfId="35" priority="12" operator="containsText" text="REUNION">
      <formula>NOT(ISERROR(SEARCH(("REUNION"),(A3))))</formula>
    </cfRule>
  </conditionalFormatting>
  <conditionalFormatting sqref="C2:C1000 E3:E1000">
    <cfRule type="containsText" dxfId="36" priority="13" operator="containsText" text="CENTRAL">
      <formula>NOT(ISERROR(SEARCH(("CENTRAL"),(C2))))</formula>
    </cfRule>
  </conditionalFormatting>
  <conditionalFormatting sqref="D1:D1000">
    <cfRule type="expression" dxfId="37" priority="14">
      <formula>COUNTIF($D$1:D2713,D1)&gt;1</formula>
    </cfRule>
  </conditionalFormatting>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fitToPage="1"/>
  </sheetPr>
  <sheetViews>
    <sheetView showGridLines="0" workbookViewId="0">
      <pane ySplit="4.0" topLeftCell="A5" activePane="bottomLeft" state="frozen"/>
      <selection activeCell="B6" sqref="B6" pane="bottomLeft"/>
    </sheetView>
  </sheetViews>
  <sheetFormatPr customHeight="1" defaultColWidth="12.63" defaultRowHeight="15.0" outlineLevelRow="1"/>
  <cols>
    <col customWidth="1" min="1" max="1" width="9.0"/>
    <col customWidth="1" min="2" max="2" width="17.38"/>
    <col customWidth="1" min="3" max="3" width="45.5"/>
    <col customWidth="1" min="4" max="4" width="48.38"/>
    <col customWidth="1" min="5" max="5" width="11.63"/>
    <col customWidth="1" min="6" max="6" width="11.88"/>
    <col customWidth="1" min="7" max="7" width="10.75"/>
  </cols>
  <sheetData>
    <row r="1" ht="28.5" customHeight="1">
      <c r="A1" s="293" t="s">
        <v>360</v>
      </c>
      <c r="B1" s="294"/>
      <c r="C1" s="64"/>
      <c r="D1" s="295"/>
      <c r="E1" s="296"/>
      <c r="F1" s="297"/>
      <c r="G1" s="298" t="s">
        <v>361</v>
      </c>
    </row>
    <row r="2" ht="15.75" customHeight="1">
      <c r="A2" s="299" t="s">
        <v>362</v>
      </c>
      <c r="B2" s="300"/>
      <c r="C2" s="299"/>
      <c r="D2" s="301"/>
      <c r="E2" s="302"/>
      <c r="F2" s="303"/>
      <c r="G2" s="304"/>
    </row>
    <row r="3" ht="15.75" customHeight="1">
      <c r="A3" s="305"/>
      <c r="B3" s="305"/>
      <c r="C3" s="305"/>
      <c r="D3" s="305"/>
      <c r="E3" s="306"/>
      <c r="F3" s="307"/>
      <c r="G3" s="308"/>
    </row>
    <row r="4" ht="15.75" customHeight="1">
      <c r="A4" s="309" t="s">
        <v>140</v>
      </c>
      <c r="B4" s="309" t="s">
        <v>141</v>
      </c>
      <c r="C4" s="309" t="s">
        <v>363</v>
      </c>
      <c r="D4" s="309" t="s">
        <v>142</v>
      </c>
      <c r="E4" s="310" t="s">
        <v>364</v>
      </c>
      <c r="F4" s="311" t="s">
        <v>365</v>
      </c>
      <c r="G4" s="312" t="s">
        <v>366</v>
      </c>
    </row>
    <row r="5" ht="21.0" customHeight="1" outlineLevel="1">
      <c r="A5" s="313" t="s">
        <v>20</v>
      </c>
      <c r="B5" s="313" t="str">
        <f t="array" ref="B5">IFERROR(XLOOKUP(C5,REF!M:M,REF!L:L),"")</f>
        <v>--------------------</v>
      </c>
      <c r="C5" s="313" t="s">
        <v>367</v>
      </c>
      <c r="D5" s="313" t="s">
        <v>367</v>
      </c>
      <c r="E5" s="314"/>
      <c r="F5" s="315"/>
      <c r="G5" s="316" t="s">
        <v>368</v>
      </c>
    </row>
    <row r="6" ht="21.0" customHeight="1">
      <c r="A6" s="317" t="s">
        <v>20</v>
      </c>
      <c r="B6" s="317" t="s">
        <v>369</v>
      </c>
      <c r="C6" s="317" t="s">
        <v>370</v>
      </c>
      <c r="D6" s="317" t="s">
        <v>371</v>
      </c>
      <c r="E6" s="318">
        <v>44.0</v>
      </c>
      <c r="F6" s="319"/>
      <c r="G6" s="320" t="s">
        <v>368</v>
      </c>
    </row>
    <row r="7" ht="15.75" customHeight="1">
      <c r="A7" s="317" t="s">
        <v>20</v>
      </c>
      <c r="B7" s="317" t="s">
        <v>369</v>
      </c>
      <c r="C7" s="317" t="s">
        <v>372</v>
      </c>
      <c r="D7" s="317" t="s">
        <v>373</v>
      </c>
      <c r="E7" s="318">
        <v>7.0</v>
      </c>
      <c r="F7" s="319"/>
      <c r="G7" s="320" t="s">
        <v>368</v>
      </c>
    </row>
    <row r="8" ht="15.75" customHeight="1">
      <c r="A8" s="317" t="s">
        <v>20</v>
      </c>
      <c r="B8" s="317" t="s">
        <v>369</v>
      </c>
      <c r="C8" s="317" t="s">
        <v>374</v>
      </c>
      <c r="D8" s="317" t="s">
        <v>375</v>
      </c>
      <c r="E8" s="318">
        <v>0.0</v>
      </c>
      <c r="F8" s="319" t="s">
        <v>376</v>
      </c>
      <c r="G8" s="320" t="s">
        <v>368</v>
      </c>
    </row>
    <row r="9" ht="15.75" customHeight="1">
      <c r="A9" s="317" t="s">
        <v>20</v>
      </c>
      <c r="B9" s="317" t="s">
        <v>369</v>
      </c>
      <c r="C9" s="317" t="s">
        <v>377</v>
      </c>
      <c r="D9" s="317" t="s">
        <v>378</v>
      </c>
      <c r="E9" s="318">
        <v>2.0</v>
      </c>
      <c r="F9" s="319"/>
      <c r="G9" s="320" t="s">
        <v>368</v>
      </c>
    </row>
    <row r="10" ht="15.75" customHeight="1">
      <c r="A10" s="317" t="s">
        <v>20</v>
      </c>
      <c r="B10" s="317" t="s">
        <v>369</v>
      </c>
      <c r="C10" s="317" t="s">
        <v>379</v>
      </c>
      <c r="D10" s="317" t="s">
        <v>380</v>
      </c>
      <c r="E10" s="318">
        <v>22.0</v>
      </c>
      <c r="F10" s="319"/>
      <c r="G10" s="320" t="s">
        <v>368</v>
      </c>
    </row>
    <row r="11" ht="15.75" customHeight="1">
      <c r="A11" s="317" t="s">
        <v>20</v>
      </c>
      <c r="B11" s="317" t="s">
        <v>369</v>
      </c>
      <c r="C11" s="317" t="s">
        <v>381</v>
      </c>
      <c r="D11" s="317" t="s">
        <v>382</v>
      </c>
      <c r="E11" s="318">
        <v>30.0</v>
      </c>
      <c r="F11" s="319"/>
      <c r="G11" s="320" t="s">
        <v>368</v>
      </c>
    </row>
    <row r="12" ht="15.75" customHeight="1">
      <c r="A12" s="317" t="s">
        <v>20</v>
      </c>
      <c r="B12" s="317" t="s">
        <v>369</v>
      </c>
      <c r="C12" s="317" t="s">
        <v>383</v>
      </c>
      <c r="D12" s="317" t="s">
        <v>384</v>
      </c>
      <c r="E12" s="318">
        <v>7.5</v>
      </c>
      <c r="F12" s="319"/>
      <c r="G12" s="320" t="s">
        <v>368</v>
      </c>
    </row>
    <row r="13" ht="15.75" customHeight="1">
      <c r="A13" s="317" t="s">
        <v>20</v>
      </c>
      <c r="B13" s="317" t="s">
        <v>369</v>
      </c>
      <c r="C13" s="317" t="s">
        <v>383</v>
      </c>
      <c r="D13" s="317" t="s">
        <v>385</v>
      </c>
      <c r="E13" s="318">
        <v>7.5</v>
      </c>
      <c r="F13" s="319"/>
      <c r="G13" s="320" t="s">
        <v>368</v>
      </c>
    </row>
    <row r="14" ht="15.75" customHeight="1">
      <c r="A14" s="317" t="s">
        <v>20</v>
      </c>
      <c r="B14" s="317" t="s">
        <v>369</v>
      </c>
      <c r="C14" s="317" t="s">
        <v>386</v>
      </c>
      <c r="D14" s="317" t="s">
        <v>387</v>
      </c>
      <c r="E14" s="318">
        <v>44.0</v>
      </c>
      <c r="F14" s="319" t="s">
        <v>388</v>
      </c>
      <c r="G14" s="320" t="s">
        <v>389</v>
      </c>
    </row>
    <row r="15" ht="15.75" customHeight="1">
      <c r="A15" s="317" t="s">
        <v>20</v>
      </c>
      <c r="B15" s="317" t="s">
        <v>369</v>
      </c>
      <c r="C15" s="317" t="s">
        <v>386</v>
      </c>
      <c r="D15" s="317" t="s">
        <v>387</v>
      </c>
      <c r="E15" s="318">
        <v>33.0</v>
      </c>
      <c r="F15" s="319" t="s">
        <v>390</v>
      </c>
      <c r="G15" s="320" t="s">
        <v>368</v>
      </c>
    </row>
    <row r="16" ht="15.75" customHeight="1">
      <c r="A16" s="317" t="s">
        <v>20</v>
      </c>
      <c r="B16" s="317" t="s">
        <v>369</v>
      </c>
      <c r="C16" s="317" t="s">
        <v>386</v>
      </c>
      <c r="D16" s="317" t="s">
        <v>387</v>
      </c>
      <c r="E16" s="318">
        <v>11.0</v>
      </c>
      <c r="F16" s="319" t="s">
        <v>388</v>
      </c>
      <c r="G16" s="320" t="s">
        <v>368</v>
      </c>
    </row>
    <row r="17" ht="15.75" customHeight="1">
      <c r="A17" s="317" t="s">
        <v>20</v>
      </c>
      <c r="B17" s="317" t="s">
        <v>160</v>
      </c>
      <c r="C17" s="317" t="s">
        <v>391</v>
      </c>
      <c r="D17" s="317" t="s">
        <v>392</v>
      </c>
      <c r="E17" s="318">
        <v>22.0</v>
      </c>
      <c r="F17" s="319"/>
      <c r="G17" s="320" t="s">
        <v>368</v>
      </c>
    </row>
    <row r="18" ht="15.75" customHeight="1">
      <c r="A18" s="317" t="s">
        <v>20</v>
      </c>
      <c r="B18" s="317" t="s">
        <v>160</v>
      </c>
      <c r="C18" s="317" t="s">
        <v>393</v>
      </c>
      <c r="D18" s="317" t="s">
        <v>394</v>
      </c>
      <c r="E18" s="318">
        <v>44.0</v>
      </c>
      <c r="F18" s="319" t="s">
        <v>376</v>
      </c>
      <c r="G18" s="320" t="s">
        <v>368</v>
      </c>
    </row>
    <row r="19" ht="15.75" customHeight="1">
      <c r="A19" s="317" t="s">
        <v>20</v>
      </c>
      <c r="B19" s="317" t="s">
        <v>211</v>
      </c>
      <c r="C19" s="317" t="s">
        <v>395</v>
      </c>
      <c r="D19" s="317" t="s">
        <v>396</v>
      </c>
      <c r="E19" s="318">
        <v>1.0</v>
      </c>
      <c r="F19" s="319"/>
      <c r="G19" s="320" t="s">
        <v>368</v>
      </c>
    </row>
    <row r="20" ht="15.75" customHeight="1">
      <c r="A20" s="317" t="s">
        <v>20</v>
      </c>
      <c r="B20" s="317" t="s">
        <v>211</v>
      </c>
      <c r="C20" s="317" t="s">
        <v>397</v>
      </c>
      <c r="D20" s="317" t="s">
        <v>398</v>
      </c>
      <c r="E20" s="318">
        <v>11.0</v>
      </c>
      <c r="F20" s="319"/>
      <c r="G20" s="320" t="s">
        <v>368</v>
      </c>
    </row>
    <row r="21" ht="15.75" customHeight="1">
      <c r="A21" s="317" t="s">
        <v>20</v>
      </c>
      <c r="B21" s="317" t="s">
        <v>211</v>
      </c>
      <c r="C21" s="317" t="s">
        <v>399</v>
      </c>
      <c r="D21" s="317" t="s">
        <v>400</v>
      </c>
      <c r="E21" s="318">
        <v>22.0</v>
      </c>
      <c r="F21" s="319"/>
      <c r="G21" s="320" t="s">
        <v>368</v>
      </c>
    </row>
    <row r="22" ht="15.75" customHeight="1">
      <c r="A22" s="317" t="s">
        <v>20</v>
      </c>
      <c r="B22" s="317" t="s">
        <v>211</v>
      </c>
      <c r="C22" s="317" t="s">
        <v>401</v>
      </c>
      <c r="D22" s="317" t="s">
        <v>402</v>
      </c>
      <c r="E22" s="318">
        <v>0.0</v>
      </c>
      <c r="F22" s="319"/>
      <c r="G22" s="320" t="s">
        <v>368</v>
      </c>
    </row>
    <row r="23" ht="15.75" customHeight="1">
      <c r="A23" s="317" t="s">
        <v>20</v>
      </c>
      <c r="B23" s="317" t="s">
        <v>56</v>
      </c>
      <c r="C23" s="317" t="s">
        <v>403</v>
      </c>
      <c r="D23" s="317" t="s">
        <v>404</v>
      </c>
      <c r="E23" s="318"/>
      <c r="F23" s="319"/>
      <c r="G23" s="320" t="s">
        <v>368</v>
      </c>
    </row>
    <row r="24" ht="15.75" customHeight="1">
      <c r="A24" s="317" t="s">
        <v>20</v>
      </c>
      <c r="B24" s="317" t="s">
        <v>405</v>
      </c>
      <c r="C24" s="317" t="s">
        <v>406</v>
      </c>
      <c r="D24" s="317" t="s">
        <v>406</v>
      </c>
      <c r="E24" s="318">
        <v>0.5</v>
      </c>
      <c r="F24" s="319"/>
      <c r="G24" s="320" t="s">
        <v>368</v>
      </c>
    </row>
    <row r="25" ht="15.75" customHeight="1">
      <c r="A25" s="317" t="s">
        <v>20</v>
      </c>
      <c r="B25" s="317" t="s">
        <v>405</v>
      </c>
      <c r="C25" s="317" t="s">
        <v>406</v>
      </c>
      <c r="D25" s="317" t="s">
        <v>406</v>
      </c>
      <c r="E25" s="318">
        <v>1.0</v>
      </c>
      <c r="F25" s="319"/>
      <c r="G25" s="320" t="s">
        <v>368</v>
      </c>
    </row>
    <row r="26" ht="15.75" customHeight="1">
      <c r="A26" s="317" t="s">
        <v>20</v>
      </c>
      <c r="B26" s="317" t="s">
        <v>405</v>
      </c>
      <c r="C26" s="317" t="s">
        <v>406</v>
      </c>
      <c r="D26" s="317" t="s">
        <v>406</v>
      </c>
      <c r="E26" s="318">
        <v>2.5</v>
      </c>
      <c r="F26" s="319"/>
      <c r="G26" s="320" t="s">
        <v>368</v>
      </c>
    </row>
    <row r="27" ht="15.75" customHeight="1">
      <c r="A27" s="317" t="s">
        <v>20</v>
      </c>
      <c r="B27" s="317" t="s">
        <v>56</v>
      </c>
      <c r="C27" s="317" t="s">
        <v>407</v>
      </c>
      <c r="D27" s="317" t="s">
        <v>408</v>
      </c>
      <c r="E27" s="318">
        <v>0.8</v>
      </c>
      <c r="F27" s="319"/>
      <c r="G27" s="320" t="s">
        <v>368</v>
      </c>
    </row>
    <row r="28" ht="15.75" customHeight="1">
      <c r="A28" s="317" t="s">
        <v>20</v>
      </c>
      <c r="B28" s="317" t="s">
        <v>56</v>
      </c>
      <c r="C28" s="317" t="s">
        <v>407</v>
      </c>
      <c r="D28" s="317" t="s">
        <v>409</v>
      </c>
      <c r="E28" s="318">
        <v>5.0</v>
      </c>
      <c r="F28" s="319" t="s">
        <v>410</v>
      </c>
      <c r="G28" s="320" t="s">
        <v>368</v>
      </c>
    </row>
    <row r="29" ht="15.75" customHeight="1">
      <c r="A29" s="317" t="s">
        <v>20</v>
      </c>
      <c r="B29" s="317" t="s">
        <v>56</v>
      </c>
      <c r="C29" s="317" t="s">
        <v>305</v>
      </c>
      <c r="D29" s="317" t="s">
        <v>411</v>
      </c>
      <c r="E29" s="318">
        <v>22.0</v>
      </c>
      <c r="F29" s="319"/>
      <c r="G29" s="320" t="s">
        <v>368</v>
      </c>
    </row>
    <row r="30" ht="15.75" customHeight="1">
      <c r="A30" s="317" t="s">
        <v>20</v>
      </c>
      <c r="B30" s="317" t="s">
        <v>405</v>
      </c>
      <c r="C30" s="317" t="s">
        <v>412</v>
      </c>
      <c r="D30" s="317" t="s">
        <v>413</v>
      </c>
      <c r="E30" s="318"/>
      <c r="F30" s="319" t="s">
        <v>414</v>
      </c>
      <c r="G30" s="320" t="s">
        <v>368</v>
      </c>
    </row>
    <row r="31" ht="15.75" customHeight="1">
      <c r="A31" s="317" t="s">
        <v>20</v>
      </c>
      <c r="B31" s="317" t="s">
        <v>405</v>
      </c>
      <c r="C31" s="317" t="s">
        <v>415</v>
      </c>
      <c r="D31" s="317" t="s">
        <v>416</v>
      </c>
      <c r="E31" s="318"/>
      <c r="F31" s="319" t="s">
        <v>417</v>
      </c>
      <c r="G31" s="320" t="s">
        <v>368</v>
      </c>
    </row>
    <row r="32" ht="15.75" customHeight="1">
      <c r="A32" s="317" t="s">
        <v>20</v>
      </c>
      <c r="B32" s="317" t="s">
        <v>405</v>
      </c>
      <c r="C32" s="317" t="s">
        <v>418</v>
      </c>
      <c r="D32" s="317" t="s">
        <v>419</v>
      </c>
      <c r="E32" s="318"/>
      <c r="F32" s="319" t="s">
        <v>420</v>
      </c>
      <c r="G32" s="320" t="s">
        <v>368</v>
      </c>
    </row>
    <row r="33" ht="15.75" customHeight="1">
      <c r="A33" s="317" t="s">
        <v>20</v>
      </c>
      <c r="B33" s="317" t="s">
        <v>405</v>
      </c>
      <c r="C33" s="317" t="s">
        <v>418</v>
      </c>
      <c r="D33" s="317" t="s">
        <v>421</v>
      </c>
      <c r="E33" s="318">
        <v>11.0</v>
      </c>
      <c r="F33" s="319"/>
      <c r="G33" s="320" t="s">
        <v>368</v>
      </c>
    </row>
    <row r="34" ht="15.75" customHeight="1">
      <c r="A34" s="317" t="s">
        <v>20</v>
      </c>
      <c r="B34" s="317" t="s">
        <v>405</v>
      </c>
      <c r="C34" s="317" t="s">
        <v>422</v>
      </c>
      <c r="D34" s="317" t="s">
        <v>423</v>
      </c>
      <c r="E34" s="318">
        <v>22.0</v>
      </c>
      <c r="F34" s="319" t="s">
        <v>376</v>
      </c>
      <c r="G34" s="320" t="s">
        <v>368</v>
      </c>
    </row>
    <row r="35" ht="15.75" customHeight="1">
      <c r="A35" s="317" t="s">
        <v>20</v>
      </c>
      <c r="B35" s="317" t="s">
        <v>405</v>
      </c>
      <c r="C35" s="317" t="s">
        <v>424</v>
      </c>
      <c r="D35" s="317" t="s">
        <v>425</v>
      </c>
      <c r="E35" s="318">
        <v>3.0</v>
      </c>
      <c r="F35" s="319"/>
      <c r="G35" s="320" t="s">
        <v>368</v>
      </c>
    </row>
    <row r="36" ht="15.75" customHeight="1">
      <c r="A36" s="317" t="s">
        <v>20</v>
      </c>
      <c r="B36" s="317" t="s">
        <v>405</v>
      </c>
      <c r="C36" s="317" t="s">
        <v>426</v>
      </c>
      <c r="D36" s="317" t="s">
        <v>427</v>
      </c>
      <c r="E36" s="318"/>
      <c r="F36" s="319" t="s">
        <v>388</v>
      </c>
      <c r="G36" s="320"/>
    </row>
    <row r="37" ht="15.75" customHeight="1">
      <c r="A37" s="317" t="s">
        <v>20</v>
      </c>
      <c r="B37" s="317" t="s">
        <v>405</v>
      </c>
      <c r="C37" s="317" t="s">
        <v>428</v>
      </c>
      <c r="D37" s="317" t="s">
        <v>429</v>
      </c>
      <c r="E37" s="318">
        <v>5.0</v>
      </c>
      <c r="F37" s="319" t="s">
        <v>430</v>
      </c>
      <c r="G37" s="320" t="s">
        <v>368</v>
      </c>
    </row>
    <row r="38" ht="15.75" customHeight="1">
      <c r="A38" s="317" t="s">
        <v>20</v>
      </c>
      <c r="B38" s="317" t="s">
        <v>405</v>
      </c>
      <c r="C38" s="317" t="s">
        <v>431</v>
      </c>
      <c r="D38" s="317" t="s">
        <v>432</v>
      </c>
      <c r="E38" s="318">
        <v>3.0</v>
      </c>
      <c r="F38" s="319"/>
      <c r="G38" s="320" t="s">
        <v>368</v>
      </c>
    </row>
    <row r="39" ht="15.75" customHeight="1">
      <c r="A39" s="317" t="s">
        <v>20</v>
      </c>
      <c r="B39" s="317" t="s">
        <v>405</v>
      </c>
      <c r="C39" s="317" t="s">
        <v>431</v>
      </c>
      <c r="D39" s="317" t="s">
        <v>433</v>
      </c>
      <c r="E39" s="318"/>
      <c r="F39" s="319" t="s">
        <v>388</v>
      </c>
      <c r="G39" s="320"/>
    </row>
    <row r="40" ht="15.75" customHeight="1">
      <c r="A40" s="317" t="s">
        <v>20</v>
      </c>
      <c r="B40" s="317" t="s">
        <v>405</v>
      </c>
      <c r="C40" s="317" t="s">
        <v>431</v>
      </c>
      <c r="D40" s="317" t="s">
        <v>434</v>
      </c>
      <c r="E40" s="318">
        <v>11.0</v>
      </c>
      <c r="F40" s="319"/>
      <c r="G40" s="320" t="s">
        <v>368</v>
      </c>
    </row>
    <row r="41" ht="15.75" customHeight="1">
      <c r="A41" s="317" t="s">
        <v>20</v>
      </c>
      <c r="B41" s="317" t="s">
        <v>405</v>
      </c>
      <c r="C41" s="317" t="s">
        <v>431</v>
      </c>
      <c r="D41" s="317" t="s">
        <v>435</v>
      </c>
      <c r="E41" s="318">
        <v>2.0</v>
      </c>
      <c r="F41" s="319"/>
      <c r="G41" s="320" t="s">
        <v>368</v>
      </c>
    </row>
    <row r="42" ht="15.75" customHeight="1">
      <c r="A42" s="317" t="s">
        <v>20</v>
      </c>
      <c r="B42" s="317" t="s">
        <v>405</v>
      </c>
      <c r="C42" s="317" t="s">
        <v>431</v>
      </c>
      <c r="D42" s="317" t="s">
        <v>436</v>
      </c>
      <c r="E42" s="318">
        <v>2.0</v>
      </c>
      <c r="F42" s="319"/>
      <c r="G42" s="320" t="s">
        <v>368</v>
      </c>
    </row>
    <row r="43" ht="15.75" customHeight="1">
      <c r="A43" s="317" t="s">
        <v>20</v>
      </c>
      <c r="B43" s="317" t="s">
        <v>405</v>
      </c>
      <c r="C43" s="317" t="s">
        <v>437</v>
      </c>
      <c r="D43" s="317" t="s">
        <v>438</v>
      </c>
      <c r="E43" s="318">
        <v>3.0</v>
      </c>
      <c r="F43" s="319" t="s">
        <v>439</v>
      </c>
      <c r="G43" s="320" t="s">
        <v>368</v>
      </c>
    </row>
    <row r="44" ht="15.75" customHeight="1">
      <c r="A44" s="317" t="s">
        <v>20</v>
      </c>
      <c r="B44" s="317" t="s">
        <v>405</v>
      </c>
      <c r="C44" s="317" t="s">
        <v>440</v>
      </c>
      <c r="D44" s="317" t="s">
        <v>441</v>
      </c>
      <c r="E44" s="318">
        <v>5.0</v>
      </c>
      <c r="F44" s="319"/>
      <c r="G44" s="320" t="s">
        <v>368</v>
      </c>
    </row>
    <row r="45" ht="15.75" customHeight="1">
      <c r="A45" s="317" t="s">
        <v>20</v>
      </c>
      <c r="B45" s="317" t="s">
        <v>405</v>
      </c>
      <c r="C45" s="317" t="s">
        <v>442</v>
      </c>
      <c r="D45" s="317" t="s">
        <v>443</v>
      </c>
      <c r="E45" s="318">
        <v>2.5</v>
      </c>
      <c r="F45" s="319" t="s">
        <v>444</v>
      </c>
      <c r="G45" s="320" t="s">
        <v>368</v>
      </c>
    </row>
    <row r="46" ht="15.75" customHeight="1">
      <c r="A46" s="317" t="s">
        <v>20</v>
      </c>
      <c r="B46" s="317" t="s">
        <v>405</v>
      </c>
      <c r="C46" s="317" t="s">
        <v>442</v>
      </c>
      <c r="D46" s="317" t="s">
        <v>445</v>
      </c>
      <c r="E46" s="318">
        <v>11.0</v>
      </c>
      <c r="F46" s="321" t="s">
        <v>446</v>
      </c>
      <c r="G46" s="320" t="s">
        <v>368</v>
      </c>
    </row>
    <row r="47" ht="15.75" customHeight="1">
      <c r="A47" s="317" t="s">
        <v>20</v>
      </c>
      <c r="B47" s="317" t="s">
        <v>405</v>
      </c>
      <c r="C47" s="317" t="s">
        <v>447</v>
      </c>
      <c r="D47" s="317" t="s">
        <v>448</v>
      </c>
      <c r="E47" s="318">
        <v>5.0</v>
      </c>
      <c r="F47" s="319" t="s">
        <v>449</v>
      </c>
      <c r="G47" s="320" t="s">
        <v>368</v>
      </c>
    </row>
    <row r="48" ht="15.75" customHeight="1">
      <c r="A48" s="317" t="s">
        <v>20</v>
      </c>
      <c r="B48" s="317" t="s">
        <v>405</v>
      </c>
      <c r="C48" s="317" t="s">
        <v>450</v>
      </c>
      <c r="D48" s="317" t="s">
        <v>451</v>
      </c>
      <c r="E48" s="318">
        <v>0.5</v>
      </c>
      <c r="F48" s="319" t="s">
        <v>452</v>
      </c>
      <c r="G48" s="320" t="s">
        <v>368</v>
      </c>
    </row>
    <row r="49" ht="15.75" customHeight="1">
      <c r="A49" s="317" t="s">
        <v>20</v>
      </c>
      <c r="B49" s="317" t="s">
        <v>405</v>
      </c>
      <c r="C49" s="317" t="s">
        <v>453</v>
      </c>
      <c r="D49" s="317" t="s">
        <v>454</v>
      </c>
      <c r="E49" s="318">
        <v>2.0</v>
      </c>
      <c r="F49" s="319" t="s">
        <v>455</v>
      </c>
      <c r="G49" s="320" t="s">
        <v>368</v>
      </c>
    </row>
    <row r="50" ht="15.75" customHeight="1">
      <c r="A50" s="317" t="s">
        <v>20</v>
      </c>
      <c r="B50" s="317" t="s">
        <v>405</v>
      </c>
      <c r="C50" s="317" t="s">
        <v>453</v>
      </c>
      <c r="D50" s="317" t="s">
        <v>456</v>
      </c>
      <c r="E50" s="318">
        <v>0.0</v>
      </c>
      <c r="F50" s="319" t="s">
        <v>388</v>
      </c>
      <c r="G50" s="320" t="s">
        <v>389</v>
      </c>
    </row>
    <row r="51" ht="15.75" customHeight="1">
      <c r="A51" s="317" t="s">
        <v>20</v>
      </c>
      <c r="B51" s="317" t="s">
        <v>405</v>
      </c>
      <c r="C51" s="317" t="s">
        <v>457</v>
      </c>
      <c r="D51" s="317" t="s">
        <v>458</v>
      </c>
      <c r="E51" s="318">
        <v>5.0</v>
      </c>
      <c r="F51" s="319" t="s">
        <v>417</v>
      </c>
      <c r="G51" s="320" t="s">
        <v>368</v>
      </c>
    </row>
    <row r="52" ht="15.75" customHeight="1">
      <c r="A52" s="317" t="s">
        <v>20</v>
      </c>
      <c r="B52" s="317" t="s">
        <v>405</v>
      </c>
      <c r="C52" s="317" t="s">
        <v>457</v>
      </c>
      <c r="D52" s="317" t="s">
        <v>459</v>
      </c>
      <c r="E52" s="318">
        <v>39.0</v>
      </c>
      <c r="F52" s="319" t="s">
        <v>460</v>
      </c>
      <c r="G52" s="320" t="s">
        <v>368</v>
      </c>
    </row>
    <row r="53" ht="15.75" customHeight="1">
      <c r="A53" s="317" t="s">
        <v>20</v>
      </c>
      <c r="B53" s="317" t="s">
        <v>405</v>
      </c>
      <c r="C53" s="317" t="s">
        <v>457</v>
      </c>
      <c r="D53" s="317" t="s">
        <v>461</v>
      </c>
      <c r="E53" s="318"/>
      <c r="F53" s="319"/>
      <c r="G53" s="320" t="s">
        <v>368</v>
      </c>
    </row>
    <row r="54" ht="15.75" customHeight="1">
      <c r="A54" s="317" t="s">
        <v>20</v>
      </c>
      <c r="B54" s="317" t="s">
        <v>405</v>
      </c>
      <c r="C54" s="317" t="s">
        <v>462</v>
      </c>
      <c r="D54" s="317" t="s">
        <v>463</v>
      </c>
      <c r="E54" s="318">
        <v>5.0</v>
      </c>
      <c r="F54" s="319" t="s">
        <v>449</v>
      </c>
      <c r="G54" s="320" t="s">
        <v>368</v>
      </c>
    </row>
    <row r="55" ht="15.75" customHeight="1">
      <c r="A55" s="317" t="s">
        <v>20</v>
      </c>
      <c r="B55" s="317" t="s">
        <v>405</v>
      </c>
      <c r="C55" s="317" t="s">
        <v>462</v>
      </c>
      <c r="D55" s="317" t="s">
        <v>464</v>
      </c>
      <c r="E55" s="318">
        <v>5.0</v>
      </c>
      <c r="F55" s="319" t="s">
        <v>449</v>
      </c>
      <c r="G55" s="320" t="s">
        <v>368</v>
      </c>
    </row>
    <row r="56" ht="15.75" customHeight="1">
      <c r="A56" s="317" t="s">
        <v>20</v>
      </c>
      <c r="B56" s="317" t="s">
        <v>405</v>
      </c>
      <c r="C56" s="317" t="s">
        <v>383</v>
      </c>
      <c r="D56" s="317" t="s">
        <v>465</v>
      </c>
      <c r="E56" s="318">
        <v>6.0</v>
      </c>
      <c r="F56" s="319" t="s">
        <v>388</v>
      </c>
      <c r="G56" s="320" t="s">
        <v>368</v>
      </c>
    </row>
    <row r="57" ht="15.75" customHeight="1">
      <c r="A57" s="317" t="s">
        <v>20</v>
      </c>
      <c r="B57" s="317" t="s">
        <v>405</v>
      </c>
      <c r="C57" s="317" t="s">
        <v>383</v>
      </c>
      <c r="D57" s="317" t="s">
        <v>151</v>
      </c>
      <c r="E57" s="318">
        <v>11.0</v>
      </c>
      <c r="F57" s="319" t="s">
        <v>388</v>
      </c>
      <c r="G57" s="320" t="s">
        <v>368</v>
      </c>
    </row>
    <row r="58" ht="15.75" customHeight="1">
      <c r="A58" s="317" t="s">
        <v>20</v>
      </c>
      <c r="B58" s="317" t="s">
        <v>405</v>
      </c>
      <c r="C58" s="317" t="s">
        <v>466</v>
      </c>
      <c r="D58" s="317" t="s">
        <v>467</v>
      </c>
      <c r="E58" s="318">
        <v>2.0</v>
      </c>
      <c r="F58" s="319" t="s">
        <v>455</v>
      </c>
      <c r="G58" s="320" t="s">
        <v>389</v>
      </c>
    </row>
    <row r="59" ht="15.75" customHeight="1">
      <c r="A59" s="317" t="s">
        <v>20</v>
      </c>
      <c r="B59" s="317" t="s">
        <v>405</v>
      </c>
      <c r="C59" s="317" t="s">
        <v>466</v>
      </c>
      <c r="D59" s="317" t="s">
        <v>468</v>
      </c>
      <c r="E59" s="318">
        <v>11.0</v>
      </c>
      <c r="F59" s="319" t="s">
        <v>388</v>
      </c>
      <c r="G59" s="320" t="s">
        <v>368</v>
      </c>
    </row>
    <row r="60" ht="15.75" customHeight="1">
      <c r="A60" s="317" t="s">
        <v>20</v>
      </c>
      <c r="B60" s="317" t="s">
        <v>405</v>
      </c>
      <c r="C60" s="317" t="s">
        <v>469</v>
      </c>
      <c r="D60" s="317" t="s">
        <v>470</v>
      </c>
      <c r="E60" s="318">
        <v>3.0</v>
      </c>
      <c r="F60" s="319" t="s">
        <v>471</v>
      </c>
      <c r="G60" s="320" t="s">
        <v>368</v>
      </c>
    </row>
    <row r="61" ht="15.75" customHeight="1">
      <c r="A61" s="317" t="s">
        <v>20</v>
      </c>
      <c r="B61" s="317" t="s">
        <v>405</v>
      </c>
      <c r="C61" s="322" t="s">
        <v>469</v>
      </c>
      <c r="D61" s="317" t="s">
        <v>472</v>
      </c>
      <c r="E61" s="318">
        <v>11.0</v>
      </c>
      <c r="F61" s="319" t="s">
        <v>430</v>
      </c>
      <c r="G61" s="320" t="s">
        <v>368</v>
      </c>
    </row>
    <row r="62" ht="15.75" customHeight="1">
      <c r="A62" s="317" t="s">
        <v>20</v>
      </c>
      <c r="B62" s="317" t="s">
        <v>405</v>
      </c>
      <c r="C62" s="317" t="s">
        <v>469</v>
      </c>
      <c r="D62" s="317" t="s">
        <v>473</v>
      </c>
      <c r="E62" s="318">
        <v>0.0</v>
      </c>
      <c r="F62" s="319"/>
      <c r="G62" s="320" t="s">
        <v>368</v>
      </c>
    </row>
    <row r="63" ht="15.75" customHeight="1">
      <c r="A63" s="317" t="s">
        <v>20</v>
      </c>
      <c r="B63" s="317" t="s">
        <v>405</v>
      </c>
      <c r="C63" s="317" t="s">
        <v>469</v>
      </c>
      <c r="D63" s="317" t="s">
        <v>474</v>
      </c>
      <c r="E63" s="318">
        <v>8.0</v>
      </c>
      <c r="F63" s="319" t="s">
        <v>475</v>
      </c>
      <c r="G63" s="320" t="s">
        <v>368</v>
      </c>
    </row>
    <row r="64" ht="15.75" customHeight="1">
      <c r="A64" s="317" t="s">
        <v>20</v>
      </c>
      <c r="B64" s="317" t="s">
        <v>167</v>
      </c>
      <c r="C64" s="317" t="s">
        <v>476</v>
      </c>
      <c r="D64" s="317" t="s">
        <v>477</v>
      </c>
      <c r="E64" s="318">
        <v>5.0</v>
      </c>
      <c r="F64" s="319" t="s">
        <v>478</v>
      </c>
      <c r="G64" s="320" t="s">
        <v>368</v>
      </c>
    </row>
    <row r="65" ht="15.75" customHeight="1">
      <c r="A65" s="317" t="s">
        <v>20</v>
      </c>
      <c r="B65" s="317" t="s">
        <v>167</v>
      </c>
      <c r="C65" s="317" t="s">
        <v>479</v>
      </c>
      <c r="D65" s="317" t="s">
        <v>480</v>
      </c>
      <c r="E65" s="318">
        <v>44.0</v>
      </c>
      <c r="F65" s="319" t="s">
        <v>481</v>
      </c>
      <c r="G65" s="320" t="s">
        <v>368</v>
      </c>
    </row>
    <row r="66" ht="15.75" customHeight="1">
      <c r="A66" s="317" t="s">
        <v>20</v>
      </c>
      <c r="B66" s="317" t="s">
        <v>167</v>
      </c>
      <c r="C66" s="323" t="s">
        <v>482</v>
      </c>
      <c r="D66" s="317" t="s">
        <v>483</v>
      </c>
      <c r="E66" s="318">
        <v>11.0</v>
      </c>
      <c r="F66" s="319" t="s">
        <v>484</v>
      </c>
      <c r="G66" s="320" t="s">
        <v>368</v>
      </c>
    </row>
    <row r="67" ht="15.75" customHeight="1">
      <c r="A67" s="317" t="s">
        <v>20</v>
      </c>
      <c r="B67" s="317" t="s">
        <v>167</v>
      </c>
      <c r="C67" s="317" t="s">
        <v>167</v>
      </c>
      <c r="D67" s="317" t="s">
        <v>485</v>
      </c>
      <c r="E67" s="318">
        <v>8.0</v>
      </c>
      <c r="F67" s="319"/>
      <c r="G67" s="320" t="s">
        <v>368</v>
      </c>
    </row>
    <row r="68" ht="15.75" customHeight="1">
      <c r="A68" s="317" t="s">
        <v>20</v>
      </c>
      <c r="B68" s="317" t="s">
        <v>167</v>
      </c>
      <c r="C68" s="317" t="s">
        <v>486</v>
      </c>
      <c r="D68" s="317" t="s">
        <v>487</v>
      </c>
      <c r="E68" s="318">
        <v>3.0</v>
      </c>
      <c r="F68" s="319" t="s">
        <v>488</v>
      </c>
      <c r="G68" s="320" t="s">
        <v>368</v>
      </c>
    </row>
    <row r="69" ht="15.75" customHeight="1">
      <c r="A69" s="317" t="s">
        <v>20</v>
      </c>
      <c r="B69" s="317" t="s">
        <v>405</v>
      </c>
      <c r="C69" s="317" t="s">
        <v>489</v>
      </c>
      <c r="D69" s="317" t="s">
        <v>490</v>
      </c>
      <c r="E69" s="318"/>
      <c r="F69" s="319" t="s">
        <v>449</v>
      </c>
      <c r="G69" s="320"/>
    </row>
    <row r="70" ht="15.75" customHeight="1">
      <c r="A70" s="317" t="s">
        <v>20</v>
      </c>
      <c r="B70" s="317" t="s">
        <v>405</v>
      </c>
      <c r="C70" s="317" t="s">
        <v>457</v>
      </c>
      <c r="D70" s="317" t="s">
        <v>491</v>
      </c>
      <c r="E70" s="318"/>
      <c r="F70" s="319" t="s">
        <v>388</v>
      </c>
      <c r="G70" s="320" t="s">
        <v>389</v>
      </c>
    </row>
    <row r="71" ht="15.75" customHeight="1">
      <c r="A71" s="317" t="s">
        <v>20</v>
      </c>
      <c r="B71" s="317" t="s">
        <v>405</v>
      </c>
      <c r="C71" s="317" t="s">
        <v>457</v>
      </c>
      <c r="D71" s="317" t="s">
        <v>492</v>
      </c>
      <c r="E71" s="318"/>
      <c r="F71" s="319" t="s">
        <v>444</v>
      </c>
      <c r="G71" s="320" t="s">
        <v>389</v>
      </c>
    </row>
    <row r="72" ht="15.75" customHeight="1">
      <c r="A72" s="317" t="s">
        <v>20</v>
      </c>
      <c r="B72" s="317" t="s">
        <v>405</v>
      </c>
      <c r="C72" s="317" t="s">
        <v>493</v>
      </c>
      <c r="D72" s="317" t="s">
        <v>493</v>
      </c>
      <c r="E72" s="318"/>
      <c r="F72" s="319" t="s">
        <v>455</v>
      </c>
      <c r="G72" s="320" t="s">
        <v>389</v>
      </c>
    </row>
    <row r="73" ht="15.75" customHeight="1">
      <c r="A73" s="317" t="s">
        <v>20</v>
      </c>
      <c r="B73" s="317" t="s">
        <v>405</v>
      </c>
      <c r="C73" s="317" t="s">
        <v>466</v>
      </c>
      <c r="D73" s="317" t="s">
        <v>494</v>
      </c>
      <c r="E73" s="318"/>
      <c r="F73" s="319" t="s">
        <v>495</v>
      </c>
      <c r="G73" s="320" t="s">
        <v>389</v>
      </c>
    </row>
    <row r="74" ht="15.75" customHeight="1">
      <c r="A74" s="317" t="s">
        <v>20</v>
      </c>
      <c r="B74" s="317" t="s">
        <v>167</v>
      </c>
      <c r="C74" s="317" t="s">
        <v>167</v>
      </c>
      <c r="D74" s="317" t="s">
        <v>496</v>
      </c>
      <c r="E74" s="318"/>
      <c r="F74" s="319" t="s">
        <v>497</v>
      </c>
      <c r="G74" s="320" t="s">
        <v>389</v>
      </c>
    </row>
    <row r="75" ht="15.75" customHeight="1">
      <c r="A75" s="317" t="s">
        <v>20</v>
      </c>
      <c r="B75" s="317" t="s">
        <v>405</v>
      </c>
      <c r="C75" s="317" t="s">
        <v>498</v>
      </c>
      <c r="D75" s="317" t="s">
        <v>499</v>
      </c>
      <c r="E75" s="318"/>
      <c r="F75" s="319" t="s">
        <v>481</v>
      </c>
      <c r="G75" s="320" t="s">
        <v>389</v>
      </c>
    </row>
    <row r="76" ht="15.75" customHeight="1">
      <c r="A76" s="324"/>
      <c r="B76" s="324"/>
      <c r="C76" s="324" t="s">
        <v>500</v>
      </c>
      <c r="D76" s="324"/>
      <c r="E76" s="325"/>
      <c r="F76" s="326"/>
      <c r="G76" s="327"/>
    </row>
    <row r="77" ht="15.75" customHeight="1">
      <c r="A77" s="324"/>
      <c r="B77" s="324"/>
      <c r="C77" s="324" t="s">
        <v>500</v>
      </c>
      <c r="D77" s="324"/>
      <c r="E77" s="325"/>
      <c r="F77" s="326"/>
      <c r="G77" s="327"/>
    </row>
    <row r="78" ht="15.75" customHeight="1">
      <c r="A78" s="324"/>
      <c r="B78" s="324"/>
      <c r="C78" s="324" t="s">
        <v>500</v>
      </c>
      <c r="D78" s="324"/>
      <c r="E78" s="325"/>
      <c r="F78" s="326"/>
      <c r="G78" s="327"/>
    </row>
    <row r="79" ht="15.75" customHeight="1">
      <c r="A79" s="324"/>
      <c r="B79" s="324"/>
      <c r="C79" s="324" t="s">
        <v>500</v>
      </c>
      <c r="D79" s="324"/>
      <c r="E79" s="325"/>
      <c r="F79" s="326"/>
      <c r="G79" s="327"/>
    </row>
    <row r="80" ht="15.75" customHeight="1">
      <c r="A80" s="324"/>
      <c r="B80" s="324"/>
      <c r="C80" s="324" t="s">
        <v>500</v>
      </c>
      <c r="D80" s="324"/>
      <c r="E80" s="325"/>
      <c r="F80" s="326"/>
      <c r="G80" s="327"/>
    </row>
    <row r="81" ht="15.75" customHeight="1">
      <c r="A81" s="324"/>
      <c r="B81" s="324"/>
      <c r="C81" s="324" t="s">
        <v>500</v>
      </c>
      <c r="D81" s="324"/>
      <c r="E81" s="325"/>
      <c r="F81" s="326"/>
      <c r="G81" s="327"/>
    </row>
    <row r="82" ht="15.75" customHeight="1">
      <c r="A82" s="324"/>
      <c r="B82" s="324"/>
      <c r="C82" s="324" t="s">
        <v>500</v>
      </c>
      <c r="D82" s="324"/>
      <c r="E82" s="325"/>
      <c r="F82" s="326"/>
      <c r="G82" s="327"/>
    </row>
    <row r="83" ht="15.75" customHeight="1">
      <c r="A83" s="324"/>
      <c r="B83" s="324"/>
      <c r="C83" s="324" t="s">
        <v>500</v>
      </c>
      <c r="D83" s="324"/>
      <c r="E83" s="325"/>
      <c r="F83" s="326"/>
      <c r="G83" s="327"/>
    </row>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CA8058A5-E5A9-4307-A0D8-DC9C33FDA8DC}" filter="1" showAutoFilter="1">
      <autoFilter ref="$A$4:$F$80">
        <filterColumn colId="3">
          <filters>
            <filter val="ENCARGAD@ LACTANCIA MATERNA"/>
            <filter val="ENCARGAD@ PROGRAMA INFANCIA - ADOLESCENCIA - CHCC"/>
            <filter val="ENCARGAD@ CPHS"/>
            <filter val="ENCARGAD@ PROGRAMA RESPIRATORIO ERA"/>
            <filter val="IMAGENES"/>
            <filter val="ENCARGADO@GESTION SOCIAL LOCAL (GSL)"/>
            <filter val="DIRIGENTE GREMIAL"/>
            <filter val="ACTIVIDADES DE MICROGESTIÓN SALUD MENTAL"/>
            <filter val="ENCARGAD@ REAS"/>
            <filter val="ENCARGAD@ PROGRAMA ADULTO Y ADULTO MAYOR (PSCV)"/>
            <filter val="CONTRALOR SALUD SEXUAL Y REPRODUCTIVA"/>
            <filter val="ENCARGAD@ GESTION DEMANDA + LISTA ESPERA"/>
            <filter val="ENCARGAD@ PROGRAMA TBC"/>
            <filter val="ENCARGAD@ PROGRAMA ODONTOLOGICO"/>
            <filter val="ENCARGAD@ UAPORINO"/>
            <filter val="ENCARGAD@ PROGRAMA RESPIRATORIO IRA"/>
            <filter val="ENCARGAD@ CAPACITACION"/>
            <filter val="ENCARGAD@ BOTIQUIN FARMACIA"/>
            <filter val="ENCARGAD@ PROGRAMA AYUDAS TECNICAS"/>
            <filter val="ENCARGAD@ PROGRAMA INFANCIA"/>
            <filter val="ENCARGAD@ PROGRAMA DEPENDENCIA SEVERA Y CPNO"/>
            <filter val="ENCARGAD@ MIGRANTES"/>
            <filter val="ENCARGAD@ OIRS"/>
            <filter val="ENCARGAD@ PROGRAMA SALUD TRANSAFIRMATIVA"/>
            <filter val="ENCARGAD@ UAPO"/>
            <filter val="ENCARGAD@ COORDINADOR SAPU"/>
            <filter val="ENCARGAD@ SALUD FAMILIAR"/>
            <filter val="ENCARGAD@ PARTICIPACION Y PROMOCION"/>
            <filter val="ENCARGAD@ PPAA (PNAC-PACAM)"/>
            <filter val="ENCARGAD@ PROGRAMA CALIDAD"/>
            <filter val="ENCARGAD@ PUEBLOS ORIGINARIOS"/>
            <filter val="ENCARGAD@ GESTOR COMUNITARIO"/>
            <filter val="ENCARGAD@ PROGRAMA ADOLESCENCIA"/>
            <filter val="ENCARGADO COMUNAL PROGRAMA TBC"/>
            <filter val="ENCARGAD@ DUPLA PSICOSOCIAL COMSE **"/>
            <filter val="ENCARGAD@ MEJOR NIÑEZ"/>
            <filter val="GESTION DE REGISTROS"/>
            <filter val="ENCARGAD@ PNI"/>
            <filter val="ENCARGAD@ SOME"/>
            <filter val="ENCARGAD@ PROGRAMA SALUD MENTAL"/>
            <filter val="CONTRALOR SALUD ORAL"/>
            <filter val="ENCARGAD@ ADULTO MAYOR"/>
            <filter val="JEFE SECTOR 1"/>
            <filter val="JEFE SECTOR 2"/>
            <filter val="ENCARGAD@ HOSPITAL DIGITAL"/>
            <filter val="ENCARGAD@ PROGRAMA SALUD SEXUAL Y REPRODUCTIVA"/>
            <filter val="SUBDIRECCION"/>
            <filter val="ENCARGAD@ SALUDABLEMENTE"/>
            <filter val="ENCARGAD@ PROGRAMA REHABILITACION"/>
            <filter val="ENCARGAD@ DIFUSIÓN **"/>
            <filter val="ENCARGAD@ PROGRAMA CHCC"/>
            <filter val="ENCARGAD@ CARDIO VASCULAR"/>
            <filter val="ENCARGAD@ COMUNAL COMITÉ ELEAM"/>
            <filter val="ENCARGAD@ ECICEP"/>
            <filter val="ENCARGAD@ PRAIS"/>
            <filter val="ENCARGAD@ SECTORIALISTA SECTOR 2"/>
            <filter val="ENCARGAD@ SECTORIALISTA SECTOR 1"/>
            <filter val="CONTRALOR MEDICO"/>
            <filter val="ENCARGAD@ CUIDADOS MUTUOS"/>
            <filter val="ENCARGAD@ VIGEP"/>
            <filter val="ENCARGAD@ PROGRAMACION"/>
            <filter val="ENCARGAD@ COORDINACION MEDICA"/>
            <filter val="ENCARGAD@ TRASMISIBLES (VIH)/ITS/Chagas/hepatitis B y C . Incluye Transimsión vertical"/>
            <filter val="-------------------"/>
            <filter val="ENCARGAD@ MONITOR GES"/>
          </filters>
        </filterColumn>
      </autoFilter>
    </customSheetView>
  </customSheetViews>
  <conditionalFormatting sqref="C31">
    <cfRule type="expression" dxfId="39" priority="1">
      <formula>($G$7:$G83)="NO"</formula>
    </cfRule>
  </conditionalFormatting>
  <conditionalFormatting sqref="D1:D83 F1:G83">
    <cfRule type="expression" dxfId="20" priority="2">
      <formula>COUNTIF($D$1:$D83,$D1)&gt;1</formula>
    </cfRule>
  </conditionalFormatting>
  <conditionalFormatting sqref="A1:A2 B1 B3:B83 C1:G83">
    <cfRule type="expression" dxfId="12" priority="3">
      <formula>($G1:$G83)="NO"</formula>
    </cfRule>
  </conditionalFormatting>
  <dataValidations>
    <dataValidation type="list" allowBlank="1" showDropDown="1" showErrorMessage="1" sqref="G5:G68">
      <formula1>"SI,NO"</formula1>
    </dataValidation>
  </dataValidations>
  <hyperlinks>
    <hyperlink display="VOLVER" location="null!A1" ref="G1"/>
  </hyperlinks>
  <printOptions gridLines="1" horizontalCentered="1"/>
  <pageMargins bottom="0.75" footer="0.0" header="0.0" left="0.7" right="0.7" top="0.75"/>
  <pageSetup paperSize="9" cellComments="atEnd" orientation="portrait" pageOrder="overThenDown"/>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6.75"/>
    <col customWidth="1" min="2" max="6" width="12.63"/>
  </cols>
  <sheetData>
    <row r="1" ht="15.75" customHeight="1">
      <c r="A1" s="177" t="s">
        <v>56</v>
      </c>
    </row>
    <row r="2" ht="15.75" customHeight="1">
      <c r="A2" s="272" t="str">
        <f t="array" ref="A2:A22">SORT(UNIQUE(FUNC!E2:E1000))</f>
        <v>ALEJANDRO REYES MURILLO</v>
      </c>
    </row>
    <row r="3" ht="15.75" customHeight="1">
      <c r="A3" s="272" t="s">
        <v>123</v>
      </c>
    </row>
    <row r="4" ht="15.75" customHeight="1">
      <c r="A4" s="272" t="s">
        <v>135</v>
      </c>
    </row>
    <row r="5" ht="15.75" customHeight="1">
      <c r="A5" s="272" t="s">
        <v>118</v>
      </c>
    </row>
    <row r="6" ht="15.75" customHeight="1">
      <c r="A6" s="272" t="s">
        <v>88</v>
      </c>
    </row>
    <row r="7" ht="15.75" customHeight="1">
      <c r="A7" s="272" t="s">
        <v>110</v>
      </c>
    </row>
    <row r="8" ht="15.75" customHeight="1">
      <c r="A8" s="272" t="s">
        <v>91</v>
      </c>
    </row>
    <row r="9" ht="15.75" customHeight="1">
      <c r="A9" s="272" t="s">
        <v>120</v>
      </c>
    </row>
    <row r="10" ht="15.75" customHeight="1">
      <c r="A10" s="272" t="s">
        <v>98</v>
      </c>
    </row>
    <row r="11" ht="15.75" customHeight="1">
      <c r="A11" s="272" t="s">
        <v>86</v>
      </c>
    </row>
    <row r="12" ht="15.75" customHeight="1">
      <c r="A12" s="272" t="s">
        <v>103</v>
      </c>
    </row>
    <row r="13" ht="15.75" customHeight="1">
      <c r="A13" s="272" t="s">
        <v>107</v>
      </c>
    </row>
    <row r="14" ht="15.75" customHeight="1">
      <c r="A14" s="272" t="s">
        <v>112</v>
      </c>
    </row>
    <row r="15" ht="15.75" customHeight="1">
      <c r="A15" s="272" t="s">
        <v>115</v>
      </c>
    </row>
    <row r="16" ht="15.75" customHeight="1">
      <c r="A16" s="272" t="s">
        <v>131</v>
      </c>
    </row>
    <row r="17" ht="15.75" customHeight="1">
      <c r="A17" s="272" t="s">
        <v>138</v>
      </c>
    </row>
    <row r="18" ht="15.75" customHeight="1">
      <c r="A18" s="272" t="s">
        <v>133</v>
      </c>
    </row>
    <row r="19" ht="15.75" customHeight="1">
      <c r="A19" s="272" t="s">
        <v>95</v>
      </c>
    </row>
    <row r="20" ht="15.75" customHeight="1">
      <c r="A20" s="272" t="s">
        <v>126</v>
      </c>
    </row>
    <row r="21" ht="15.75" customHeight="1">
      <c r="A21" s="272" t="s">
        <v>129</v>
      </c>
    </row>
    <row r="22" ht="15.75" customHeight="1">
      <c r="A22" s="272"/>
    </row>
    <row r="23" ht="15.75" customHeight="1">
      <c r="A23" s="272"/>
    </row>
    <row r="24" ht="15.75" customHeight="1">
      <c r="A24" s="272"/>
    </row>
    <row r="25" ht="15.75" customHeight="1">
      <c r="A25" s="272"/>
    </row>
    <row r="26" ht="15.75" customHeight="1">
      <c r="A26" s="272"/>
    </row>
    <row r="27" ht="15.75" customHeight="1">
      <c r="A27" s="272"/>
    </row>
    <row r="28" ht="15.75" customHeight="1">
      <c r="A28" s="272"/>
    </row>
    <row r="29" ht="15.75" customHeight="1">
      <c r="A29" s="272"/>
    </row>
    <row r="30" ht="15.75" customHeight="1">
      <c r="A30" s="272"/>
    </row>
    <row r="31" ht="15.75" customHeight="1">
      <c r="A31" s="272"/>
    </row>
    <row r="32" ht="15.75" customHeight="1">
      <c r="A32" s="272"/>
    </row>
    <row r="33" ht="15.75" customHeight="1">
      <c r="A33" s="272"/>
    </row>
    <row r="34" ht="15.75" customHeight="1">
      <c r="A34" s="272"/>
    </row>
    <row r="35" ht="15.75" customHeight="1">
      <c r="A35" s="272"/>
    </row>
    <row r="36" ht="15.75" customHeight="1">
      <c r="A36" s="272"/>
    </row>
    <row r="37" ht="15.75" customHeight="1">
      <c r="A37" s="272"/>
    </row>
    <row r="38" ht="15.75" customHeight="1">
      <c r="A38" s="272"/>
    </row>
    <row r="39" ht="15.75" customHeight="1">
      <c r="A39" s="272"/>
    </row>
    <row r="40" ht="15.75" customHeight="1">
      <c r="A40" s="272"/>
    </row>
    <row r="41" ht="15.75" customHeight="1">
      <c r="A41" s="272"/>
    </row>
    <row r="42" ht="15.75" customHeight="1">
      <c r="A42" s="272"/>
    </row>
    <row r="43" ht="15.75" customHeight="1">
      <c r="A43" s="272"/>
    </row>
    <row r="44" ht="15.75" customHeight="1">
      <c r="A44" s="272"/>
    </row>
    <row r="45" ht="15.75" customHeight="1">
      <c r="A45" s="272"/>
    </row>
    <row r="46" ht="15.75" customHeight="1">
      <c r="A46" s="272"/>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A1">
    <cfRule type="containsText" dxfId="4" priority="1" operator="containsText" text="POR DEFINIR">
      <formula>NOT(ISERROR(SEARCH(("POR DEFINIR"),(A1))))</formula>
    </cfRule>
  </conditionalFormatting>
  <conditionalFormatting sqref="A1">
    <cfRule type="expression" dxfId="5" priority="2">
      <formula>(#REF!)=0</formula>
    </cfRule>
  </conditionalFormatting>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13"/>
    <col customWidth="1" min="2" max="2" width="21.63"/>
    <col customWidth="1" min="3" max="6" width="12.63"/>
  </cols>
  <sheetData>
    <row r="1" ht="15.75" customHeight="1">
      <c r="A1" s="328" t="str">
        <f>IFERROR(__xludf.DUMMYFUNCTION("QUERY(FUNC!A1:L1000,""SELECT B,C,SUM(L) WHERE A IS NOT NULL GROUP BY C,B ORDER BY B LABEL SUM(L) 'TOTAL HORAS DISPONIBLES AÑO'"",1)"),"CATEG")</f>
        <v>CATEG</v>
      </c>
      <c r="B1" s="328" t="str">
        <f>IFERROR(__xludf.DUMMYFUNCTION("""COMPUTED_VALUE"""),"CARGO")</f>
        <v>CARGO</v>
      </c>
      <c r="C1" s="328" t="str">
        <f>IFERROR(__xludf.DUMMYFUNCTION("""COMPUTED_VALUE"""),"TOTAL HORAS DISPONIBLES AÑO")</f>
        <v>TOTAL HORAS DISPONIBLES AÑO</v>
      </c>
      <c r="D1" s="328"/>
      <c r="E1" s="328"/>
    </row>
    <row r="2" ht="15.75" customHeight="1">
      <c r="A2" s="272" t="str">
        <f>IFERROR(__xludf.DUMMYFUNCTION("""COMPUTED_VALUE"""),"CAT_A")</f>
        <v>CAT_A</v>
      </c>
      <c r="B2" s="272" t="str">
        <f>IFERROR(__xludf.DUMMYFUNCTION("""COMPUTED_VALUE"""),"CIRUJANO DENTISTA")</f>
        <v>CIRUJANO DENTISTA</v>
      </c>
      <c r="C2" s="272">
        <f>IFERROR(__xludf.DUMMYFUNCTION("""COMPUTED_VALUE"""),2893.0)</f>
        <v>2893</v>
      </c>
    </row>
    <row r="3" ht="15.75" customHeight="1">
      <c r="A3" s="272" t="str">
        <f>IFERROR(__xludf.DUMMYFUNCTION("""COMPUTED_VALUE"""),"CAT_A")</f>
        <v>CAT_A</v>
      </c>
      <c r="B3" s="272" t="str">
        <f>IFERROR(__xludf.DUMMYFUNCTION("""COMPUTED_VALUE"""),"MEDICO CIRUJANO")</f>
        <v>MEDICO CIRUJANO</v>
      </c>
      <c r="C3" s="272">
        <f>IFERROR(__xludf.DUMMYFUNCTION("""COMPUTED_VALUE"""),3810.4)</f>
        <v>3810.4</v>
      </c>
    </row>
    <row r="4" ht="15.75" customHeight="1">
      <c r="A4" s="272" t="str">
        <f>IFERROR(__xludf.DUMMYFUNCTION("""COMPUTED_VALUE"""),"CAT_B")</f>
        <v>CAT_B</v>
      </c>
      <c r="B4" s="272" t="str">
        <f>IFERROR(__xludf.DUMMYFUNCTION("""COMPUTED_VALUE"""),"ENFERMERA(O)")</f>
        <v>ENFERMERA(O)</v>
      </c>
      <c r="C4" s="272">
        <f>IFERROR(__xludf.DUMMYFUNCTION("""COMPUTED_VALUE"""),2915.0)</f>
        <v>2915</v>
      </c>
    </row>
    <row r="5" ht="15.75" customHeight="1">
      <c r="A5" s="272" t="str">
        <f>IFERROR(__xludf.DUMMYFUNCTION("""COMPUTED_VALUE"""),"CAT_B")</f>
        <v>CAT_B</v>
      </c>
      <c r="B5" s="272" t="str">
        <f>IFERROR(__xludf.DUMMYFUNCTION("""COMPUTED_VALUE"""),"GESTOR COMUNITARIO")</f>
        <v>GESTOR COMUNITARIO</v>
      </c>
      <c r="C5" s="272">
        <f>IFERROR(__xludf.DUMMYFUNCTION("""COMPUTED_VALUE"""),1468.5)</f>
        <v>1468.5</v>
      </c>
    </row>
    <row r="6" ht="15.75" customHeight="1">
      <c r="A6" s="272" t="str">
        <f>IFERROR(__xludf.DUMMYFUNCTION("""COMPUTED_VALUE"""),"CAT_B")</f>
        <v>CAT_B</v>
      </c>
      <c r="B6" s="272" t="str">
        <f>IFERROR(__xludf.DUMMYFUNCTION("""COMPUTED_VALUE"""),"KINESIOLOGA/O")</f>
        <v>KINESIOLOGA/O</v>
      </c>
      <c r="C6" s="272">
        <f>IFERROR(__xludf.DUMMYFUNCTION("""COMPUTED_VALUE"""),1949.2)</f>
        <v>1949.2</v>
      </c>
    </row>
    <row r="7" ht="15.75" customHeight="1">
      <c r="A7" s="272" t="str">
        <f>IFERROR(__xludf.DUMMYFUNCTION("""COMPUTED_VALUE"""),"CAT_B")</f>
        <v>CAT_B</v>
      </c>
      <c r="B7" s="272" t="str">
        <f>IFERROR(__xludf.DUMMYFUNCTION("""COMPUTED_VALUE"""),"MATRON/A")</f>
        <v>MATRON/A</v>
      </c>
      <c r="C7" s="272">
        <f>IFERROR(__xludf.DUMMYFUNCTION("""COMPUTED_VALUE"""),1870.0)</f>
        <v>1870</v>
      </c>
    </row>
    <row r="8" ht="15.75" customHeight="1">
      <c r="A8" s="272" t="str">
        <f>IFERROR(__xludf.DUMMYFUNCTION("""COMPUTED_VALUE"""),"CAT_B")</f>
        <v>CAT_B</v>
      </c>
      <c r="B8" s="272" t="str">
        <f>IFERROR(__xludf.DUMMYFUNCTION("""COMPUTED_VALUE"""),"NUTRICIONISTA")</f>
        <v>NUTRICIONISTA</v>
      </c>
      <c r="C8" s="272">
        <f>IFERROR(__xludf.DUMMYFUNCTION("""COMPUTED_VALUE"""),1958.0)</f>
        <v>1958</v>
      </c>
    </row>
    <row r="9" ht="15.75" customHeight="1">
      <c r="A9" s="272" t="str">
        <f>IFERROR(__xludf.DUMMYFUNCTION("""COMPUTED_VALUE"""),"CAT_B")</f>
        <v>CAT_B</v>
      </c>
      <c r="B9" s="272" t="str">
        <f>IFERROR(__xludf.DUMMYFUNCTION("""COMPUTED_VALUE"""),"PSICOLOGA/O")</f>
        <v>PSICOLOGA/O</v>
      </c>
      <c r="C9" s="272">
        <f>IFERROR(__xludf.DUMMYFUNCTION("""COMPUTED_VALUE"""),1914.0)</f>
        <v>1914</v>
      </c>
    </row>
    <row r="10" ht="15.75" customHeight="1">
      <c r="A10" s="272" t="str">
        <f>IFERROR(__xludf.DUMMYFUNCTION("""COMPUTED_VALUE"""),"CAT_B")</f>
        <v>CAT_B</v>
      </c>
      <c r="B10" s="272" t="str">
        <f>IFERROR(__xludf.DUMMYFUNCTION("""COMPUTED_VALUE"""),"TRABAJADOR/A SOCIAL")</f>
        <v>TRABAJADOR/A SOCIAL</v>
      </c>
      <c r="C10" s="272">
        <f>IFERROR(__xludf.DUMMYFUNCTION("""COMPUTED_VALUE"""),3872.0)</f>
        <v>3872</v>
      </c>
    </row>
    <row r="11" ht="15.75" customHeight="1">
      <c r="A11" s="272" t="str">
        <f>IFERROR(__xludf.DUMMYFUNCTION("""COMPUTED_VALUE"""),"CAT_C")</f>
        <v>CAT_C</v>
      </c>
      <c r="B11" s="272" t="str">
        <f>IFERROR(__xludf.DUMMYFUNCTION("""COMPUTED_VALUE"""),"PODOLOGA")</f>
        <v>PODOLOGA</v>
      </c>
      <c r="C11" s="272">
        <f>IFERROR(__xludf.DUMMYFUNCTION("""COMPUTED_VALUE"""),979.0)</f>
        <v>979</v>
      </c>
    </row>
    <row r="12" ht="15.75" customHeight="1">
      <c r="A12" s="272" t="str">
        <f>IFERROR(__xludf.DUMMYFUNCTION("""COMPUTED_VALUE"""),"CAT_C")</f>
        <v>CAT_C</v>
      </c>
      <c r="B12" s="272" t="str">
        <f>IFERROR(__xludf.DUMMYFUNCTION("""COMPUTED_VALUE"""),"TENS")</f>
        <v>TENS</v>
      </c>
      <c r="C12" s="272">
        <f>IFERROR(__xludf.DUMMYFUNCTION("""COMPUTED_VALUE"""),5786.0)</f>
        <v>5786</v>
      </c>
    </row>
    <row r="13" ht="15.75" customHeight="1">
      <c r="A13" s="227" t="str">
        <f>IFERROR(__xludf.DUMMYFUNCTION("""COMPUTED_VALUE"""),"CAT_C")</f>
        <v>CAT_C</v>
      </c>
      <c r="B13" s="227" t="str">
        <f>IFERROR(__xludf.DUMMYFUNCTION("""COMPUTED_VALUE"""),"TENS FARMACIA")</f>
        <v>TENS FARMACIA</v>
      </c>
      <c r="C13" s="227">
        <f>IFERROR(__xludf.DUMMYFUNCTION("""COMPUTED_VALUE"""),1958.0)</f>
        <v>1958</v>
      </c>
    </row>
    <row r="14" ht="15.75" customHeight="1">
      <c r="A14" s="227" t="str">
        <f>IFERROR(__xludf.DUMMYFUNCTION("""COMPUTED_VALUE"""),"CAT_C")</f>
        <v>CAT_C</v>
      </c>
      <c r="B14" s="227" t="str">
        <f>IFERROR(__xludf.DUMMYFUNCTION("""COMPUTED_VALUE"""),"TONS")</f>
        <v>TONS</v>
      </c>
      <c r="C14" s="227">
        <f>IFERROR(__xludf.DUMMYFUNCTION("""COMPUTED_VALUE"""),1958.0)</f>
        <v>1958</v>
      </c>
    </row>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ySplit="6.0" topLeftCell="A7" activePane="bottomLeft" state="frozen"/>
      <selection activeCell="B8" sqref="B8" pane="bottomLeft"/>
    </sheetView>
  </sheetViews>
  <sheetFormatPr customHeight="1" defaultColWidth="12.63" defaultRowHeight="15.0" outlineLevelCol="1"/>
  <cols>
    <col customWidth="1" min="1" max="2" width="12.63"/>
    <col customWidth="1" min="3" max="3" width="33.63"/>
    <col customWidth="1" min="4" max="4" width="13.63"/>
    <col customWidth="1" min="5" max="5" width="13.63" outlineLevel="1"/>
    <col customWidth="1" min="6" max="9" width="13.63"/>
  </cols>
  <sheetData>
    <row r="1" ht="15.75" customHeight="1">
      <c r="A1" s="329"/>
      <c r="B1" s="150"/>
      <c r="C1" s="151"/>
      <c r="D1" s="151"/>
      <c r="E1" s="151"/>
      <c r="F1" s="151"/>
      <c r="G1" s="151"/>
      <c r="H1" s="151"/>
      <c r="I1" s="151"/>
      <c r="J1" s="330"/>
      <c r="K1" s="330"/>
      <c r="L1" s="151"/>
      <c r="M1" s="151"/>
      <c r="N1" s="151"/>
      <c r="O1" s="151"/>
    </row>
    <row r="2" ht="15.75" customHeight="1">
      <c r="A2" s="331" t="s">
        <v>501</v>
      </c>
      <c r="D2" s="151"/>
      <c r="E2" s="151"/>
      <c r="F2" s="150"/>
      <c r="G2" s="150" t="s">
        <v>502</v>
      </c>
      <c r="H2" s="150"/>
      <c r="I2" s="150">
        <f>O3*8.8</f>
        <v>1936</v>
      </c>
      <c r="J2" s="330"/>
      <c r="K2" s="330"/>
      <c r="L2" s="151"/>
      <c r="M2" s="151"/>
      <c r="N2" s="151"/>
      <c r="O2" s="151"/>
    </row>
    <row r="3" ht="15.75" customHeight="1">
      <c r="A3" s="329"/>
      <c r="B3" s="332"/>
      <c r="C3" s="151"/>
      <c r="D3" s="151"/>
      <c r="E3" s="151"/>
      <c r="F3" s="150"/>
      <c r="G3" s="150" t="s">
        <v>503</v>
      </c>
      <c r="H3" s="150"/>
      <c r="I3" s="150">
        <f>O3/5</f>
        <v>44</v>
      </c>
      <c r="J3" s="330"/>
      <c r="K3" s="330"/>
      <c r="L3" s="151"/>
      <c r="M3" s="151"/>
      <c r="N3" s="333" t="s">
        <v>504</v>
      </c>
      <c r="O3" s="334">
        <v>220.0</v>
      </c>
    </row>
    <row r="4" ht="15.75" customHeight="1">
      <c r="A4" s="335"/>
      <c r="B4" s="152"/>
      <c r="C4" s="152"/>
      <c r="D4" s="152"/>
      <c r="E4" s="152"/>
      <c r="F4" s="152"/>
      <c r="G4" s="152"/>
      <c r="H4" s="152"/>
      <c r="I4" s="152"/>
      <c r="J4" s="336"/>
      <c r="K4" s="336"/>
      <c r="L4" s="152"/>
      <c r="M4" s="152"/>
      <c r="N4" s="152"/>
      <c r="O4" s="151"/>
    </row>
    <row r="5" ht="15.75" customHeight="1">
      <c r="A5" s="1"/>
      <c r="J5" s="337"/>
      <c r="K5" s="337"/>
    </row>
    <row r="6" ht="15.75" customHeight="1">
      <c r="A6" s="338" t="s">
        <v>146</v>
      </c>
      <c r="B6" s="339" t="str">
        <f>IFERROR(__xludf.DUMMYFUNCTION("QUERY(Horas_FUNC!A6:R1000,""SELECT A,B,SUM(D),SUM(L),SUM(M),SUM(N),SUM(O),SUM(P),SUM(Q),SUM(R),SUM(Q)/(SUM(Q)+SUM(R)),SUM(R)/(SUM(R)+SUM(Q)) WHERE E IS NOT NULL GROUP BY B,A  LABEL  SUM(D) 'Hrs Func',SUM(L) 'Hrs GESTION',SUM(M) 'Hrs REUNION',SUM(N) 'Hrs D"&amp;"ERECHO',SUM(O) 'HNC(sem)',SUM(P) 'HC(sem)',SUM(Q) 'HNC(año)',SUM(R) 'HC(año)',SUM(Q)/(SUM(Q)+SUM(R)) '%HNC(año)',SUM(R)/(SUM(R)+SUM(Q)) '%HC(año)' "",1)"),"CATEG ")</f>
        <v>CATEG </v>
      </c>
      <c r="C6" s="340" t="str">
        <f>IFERROR(__xludf.DUMMYFUNCTION("""COMPUTED_VALUE"""),"CARGO ")</f>
        <v>CARGO </v>
      </c>
      <c r="D6" s="341" t="str">
        <f>IFERROR(__xludf.DUMMYFUNCTION("""COMPUTED_VALUE"""),"Hrs Func")</f>
        <v>Hrs Func</v>
      </c>
      <c r="E6" s="342" t="str">
        <f>IFERROR(__xludf.DUMMYFUNCTION("""COMPUTED_VALUE"""),"Hrs GESTION")</f>
        <v>Hrs GESTION</v>
      </c>
      <c r="F6" s="341" t="str">
        <f>IFERROR(__xludf.DUMMYFUNCTION("""COMPUTED_VALUE"""),"Hrs REUNION")</f>
        <v>Hrs REUNION</v>
      </c>
      <c r="G6" s="341" t="str">
        <f>IFERROR(__xludf.DUMMYFUNCTION("""COMPUTED_VALUE"""),"Hrs DERECHO")</f>
        <v>Hrs DERECHO</v>
      </c>
      <c r="H6" s="341" t="str">
        <f>IFERROR(__xludf.DUMMYFUNCTION("""COMPUTED_VALUE"""),"HNC(sem)")</f>
        <v>HNC(sem)</v>
      </c>
      <c r="I6" s="341" t="str">
        <f>IFERROR(__xludf.DUMMYFUNCTION("""COMPUTED_VALUE"""),"HC(sem)")</f>
        <v>HC(sem)</v>
      </c>
      <c r="J6" s="343" t="str">
        <f>IFERROR(__xludf.DUMMYFUNCTION("""COMPUTED_VALUE"""),"HNC(año)")</f>
        <v>HNC(año)</v>
      </c>
      <c r="K6" s="343" t="str">
        <f>IFERROR(__xludf.DUMMYFUNCTION("""COMPUTED_VALUE"""),"HC(año)")</f>
        <v>HC(año)</v>
      </c>
      <c r="L6" s="344" t="str">
        <f>IFERROR(__xludf.DUMMYFUNCTION("""COMPUTED_VALUE"""),"%HNC(año)")</f>
        <v>%HNC(año)</v>
      </c>
      <c r="M6" s="344" t="str">
        <f>IFERROR(__xludf.DUMMYFUNCTION("""COMPUTED_VALUE"""),"%HC(año)")</f>
        <v>%HC(año)</v>
      </c>
      <c r="N6" s="344"/>
      <c r="O6" s="17"/>
    </row>
    <row r="7" ht="15.75" customHeight="1">
      <c r="A7" s="345" t="b">
        <v>0</v>
      </c>
      <c r="B7" s="346" t="str">
        <f>IFERROR(__xludf.DUMMYFUNCTION("""COMPUTED_VALUE"""),"CAT_A")</f>
        <v>CAT_A</v>
      </c>
      <c r="C7" s="347" t="str">
        <f>IFERROR(__xludf.DUMMYFUNCTION("""COMPUTED_VALUE"""),"CIRUJANO DENTISTA")</f>
        <v>CIRUJANO DENTISTA</v>
      </c>
      <c r="D7" s="347">
        <f>IFERROR(__xludf.DUMMYFUNCTION("""COMPUTED_VALUE"""),66.0)</f>
        <v>66</v>
      </c>
      <c r="E7" s="348">
        <f>IFERROR(__xludf.DUMMYFUNCTION("""COMPUTED_VALUE"""),2.9)</f>
        <v>2.9</v>
      </c>
      <c r="F7" s="349">
        <f>IFERROR(__xludf.DUMMYFUNCTION("""COMPUTED_VALUE"""),2.2)</f>
        <v>2.2</v>
      </c>
      <c r="G7" s="349">
        <f>IFERROR(__xludf.DUMMYFUNCTION("""COMPUTED_VALUE"""),7.41)</f>
        <v>7.41</v>
      </c>
      <c r="H7" s="349">
        <f>IFERROR(__xludf.DUMMYFUNCTION("""COMPUTED_VALUE"""),12.51)</f>
        <v>12.51</v>
      </c>
      <c r="I7" s="349">
        <f>IFERROR(__xludf.DUMMYFUNCTION("""COMPUTED_VALUE"""),53.489999999999995)</f>
        <v>53.49</v>
      </c>
      <c r="J7" s="350">
        <f>IFERROR(__xludf.DUMMYFUNCTION("""COMPUTED_VALUE"""),547.1949999999999)</f>
        <v>547.195</v>
      </c>
      <c r="K7" s="350">
        <f>IFERROR(__xludf.DUMMYFUNCTION("""COMPUTED_VALUE"""),2345.805)</f>
        <v>2345.805</v>
      </c>
      <c r="L7" s="351">
        <f>IFERROR(__xludf.DUMMYFUNCTION("""COMPUTED_VALUE"""),0.1891444866920152)</f>
        <v>0.1891444867</v>
      </c>
      <c r="M7" s="351">
        <f>IFERROR(__xludf.DUMMYFUNCTION("""COMPUTED_VALUE"""),0.8108555133079848)</f>
        <v>0.8108555133</v>
      </c>
      <c r="N7" s="351"/>
      <c r="O7" s="352"/>
    </row>
    <row r="8" ht="15.75" customHeight="1">
      <c r="A8" s="345" t="b">
        <v>0</v>
      </c>
      <c r="B8" s="347" t="str">
        <f>IFERROR(__xludf.DUMMYFUNCTION("""COMPUTED_VALUE"""),"CAT_B")</f>
        <v>CAT_B</v>
      </c>
      <c r="C8" s="353" t="str">
        <f>IFERROR(__xludf.DUMMYFUNCTION("""COMPUTED_VALUE"""),"ENFERMERA(O)")</f>
        <v>ENFERMERA(O)</v>
      </c>
      <c r="D8" s="353">
        <f>IFERROR(__xludf.DUMMYFUNCTION("""COMPUTED_VALUE"""),66.0)</f>
        <v>66</v>
      </c>
      <c r="E8" s="354">
        <f>IFERROR(__xludf.DUMMYFUNCTION("""COMPUTED_VALUE"""),27.4)</f>
        <v>27.4</v>
      </c>
      <c r="F8" s="355">
        <f>IFERROR(__xludf.DUMMYFUNCTION("""COMPUTED_VALUE"""),2.2)</f>
        <v>2.2</v>
      </c>
      <c r="G8" s="355">
        <f>IFERROR(__xludf.DUMMYFUNCTION("""COMPUTED_VALUE"""),8.75)</f>
        <v>8.75</v>
      </c>
      <c r="H8" s="355">
        <f>IFERROR(__xludf.DUMMYFUNCTION("""COMPUTED_VALUE"""),38.35)</f>
        <v>38.35</v>
      </c>
      <c r="I8" s="355">
        <f>IFERROR(__xludf.DUMMYFUNCTION("""COMPUTED_VALUE"""),27.650000000000002)</f>
        <v>27.65</v>
      </c>
      <c r="J8" s="350">
        <f>IFERROR(__xludf.DUMMYFUNCTION("""COMPUTED_VALUE"""),1698.925)</f>
        <v>1698.925</v>
      </c>
      <c r="K8" s="350">
        <f>IFERROR(__xludf.DUMMYFUNCTION("""COMPUTED_VALUE"""),1216.075)</f>
        <v>1216.075</v>
      </c>
      <c r="L8" s="351">
        <f>IFERROR(__xludf.DUMMYFUNCTION("""COMPUTED_VALUE"""),0.5828216123499143)</f>
        <v>0.5828216123</v>
      </c>
      <c r="M8" s="351">
        <f>IFERROR(__xludf.DUMMYFUNCTION("""COMPUTED_VALUE"""),0.4171783876500858)</f>
        <v>0.4171783877</v>
      </c>
      <c r="N8" s="351"/>
      <c r="O8" s="352"/>
    </row>
    <row r="9" ht="15.75" customHeight="1">
      <c r="A9" s="345" t="b">
        <v>0</v>
      </c>
      <c r="B9" s="347" t="str">
        <f>IFERROR(__xludf.DUMMYFUNCTION("""COMPUTED_VALUE"""),"CAT_B")</f>
        <v>CAT_B</v>
      </c>
      <c r="C9" s="353" t="str">
        <f>IFERROR(__xludf.DUMMYFUNCTION("""COMPUTED_VALUE"""),"GESTOR COMUNITARIO")</f>
        <v>GESTOR COMUNITARIO</v>
      </c>
      <c r="D9" s="353">
        <f>IFERROR(__xludf.DUMMYFUNCTION("""COMPUTED_VALUE"""),33.0)</f>
        <v>33</v>
      </c>
      <c r="E9" s="354">
        <f>IFERROR(__xludf.DUMMYFUNCTION("""COMPUTED_VALUE"""),33.9)</f>
        <v>33.9</v>
      </c>
      <c r="F9" s="355">
        <f>IFERROR(__xludf.DUMMYFUNCTION("""COMPUTED_VALUE"""),2.2)</f>
        <v>2.2</v>
      </c>
      <c r="G9" s="355">
        <f>IFERROR(__xludf.DUMMYFUNCTION("""COMPUTED_VALUE"""),6.25)</f>
        <v>6.25</v>
      </c>
      <c r="H9" s="355">
        <f>IFERROR(__xludf.DUMMYFUNCTION("""COMPUTED_VALUE"""),42.35)</f>
        <v>42.35</v>
      </c>
      <c r="I9" s="355">
        <f>IFERROR(__xludf.DUMMYFUNCTION("""COMPUTED_VALUE"""),-9.349999999999998)</f>
        <v>-9.35</v>
      </c>
      <c r="J9" s="350">
        <f>IFERROR(__xludf.DUMMYFUNCTION("""COMPUTED_VALUE"""),1884.575)</f>
        <v>1884.575</v>
      </c>
      <c r="K9" s="350">
        <f>IFERROR(__xludf.DUMMYFUNCTION("""COMPUTED_VALUE"""),-416.07499999999993)</f>
        <v>-416.075</v>
      </c>
      <c r="L9" s="351">
        <f>IFERROR(__xludf.DUMMYFUNCTION("""COMPUTED_VALUE"""),1.2833333333333334)</f>
        <v>1.283333333</v>
      </c>
      <c r="M9" s="351">
        <f>IFERROR(__xludf.DUMMYFUNCTION("""COMPUTED_VALUE"""),-0.28333333333333327)</f>
        <v>-0.2833333333</v>
      </c>
      <c r="N9" s="351"/>
      <c r="O9" s="352"/>
    </row>
    <row r="10" ht="15.75" customHeight="1">
      <c r="A10" s="345" t="b">
        <v>0</v>
      </c>
      <c r="B10" s="347" t="str">
        <f>IFERROR(__xludf.DUMMYFUNCTION("""COMPUTED_VALUE"""),"CAT_B")</f>
        <v>CAT_B</v>
      </c>
      <c r="C10" s="353" t="str">
        <f>IFERROR(__xludf.DUMMYFUNCTION("""COMPUTED_VALUE"""),"KINESIOLOGA/O")</f>
        <v>KINESIOLOGA/O</v>
      </c>
      <c r="D10" s="353">
        <f>IFERROR(__xludf.DUMMYFUNCTION("""COMPUTED_VALUE"""),44.0)</f>
        <v>44</v>
      </c>
      <c r="E10" s="354">
        <f>IFERROR(__xludf.DUMMYFUNCTION("""COMPUTED_VALUE"""),8.0)</f>
        <v>8</v>
      </c>
      <c r="F10" s="355">
        <f>IFERROR(__xludf.DUMMYFUNCTION("""COMPUTED_VALUE"""),2.2)</f>
        <v>2.2</v>
      </c>
      <c r="G10" s="355">
        <f>IFERROR(__xludf.DUMMYFUNCTION("""COMPUTED_VALUE"""),6.66)</f>
        <v>6.66</v>
      </c>
      <c r="H10" s="355">
        <f>IFERROR(__xludf.DUMMYFUNCTION("""COMPUTED_VALUE"""),16.86)</f>
        <v>16.86</v>
      </c>
      <c r="I10" s="355">
        <f>IFERROR(__xludf.DUMMYFUNCTION("""COMPUTED_VALUE"""),27.139999999999997)</f>
        <v>27.14</v>
      </c>
      <c r="J10" s="350">
        <f>IFERROR(__xludf.DUMMYFUNCTION("""COMPUTED_VALUE"""),746.8979999999999)</f>
        <v>746.898</v>
      </c>
      <c r="K10" s="350">
        <f>IFERROR(__xludf.DUMMYFUNCTION("""COMPUTED_VALUE"""),1202.3019999999997)</f>
        <v>1202.302</v>
      </c>
      <c r="L10" s="351">
        <f>IFERROR(__xludf.DUMMYFUNCTION("""COMPUTED_VALUE"""),0.38318181818181823)</f>
        <v>0.3831818182</v>
      </c>
      <c r="M10" s="351">
        <f>IFERROR(__xludf.DUMMYFUNCTION("""COMPUTED_VALUE"""),0.6168181818181818)</f>
        <v>0.6168181818</v>
      </c>
      <c r="N10" s="351"/>
      <c r="O10" s="352"/>
    </row>
    <row r="11" ht="15.75" customHeight="1">
      <c r="A11" s="345" t="b">
        <v>0</v>
      </c>
      <c r="B11" s="347" t="str">
        <f>IFERROR(__xludf.DUMMYFUNCTION("""COMPUTED_VALUE"""),"CAT_B")</f>
        <v>CAT_B</v>
      </c>
      <c r="C11" s="353" t="str">
        <f>IFERROR(__xludf.DUMMYFUNCTION("""COMPUTED_VALUE"""),"MATRON/A")</f>
        <v>MATRON/A</v>
      </c>
      <c r="D11" s="353">
        <f>IFERROR(__xludf.DUMMYFUNCTION("""COMPUTED_VALUE"""),44.0)</f>
        <v>44</v>
      </c>
      <c r="E11" s="354">
        <f>IFERROR(__xludf.DUMMYFUNCTION("""COMPUTED_VALUE"""),17.0)</f>
        <v>17</v>
      </c>
      <c r="F11" s="355">
        <f>IFERROR(__xludf.DUMMYFUNCTION("""COMPUTED_VALUE"""),1.6)</f>
        <v>1.6</v>
      </c>
      <c r="G11" s="355">
        <f>IFERROR(__xludf.DUMMYFUNCTION("""COMPUTED_VALUE"""),6.66)</f>
        <v>6.66</v>
      </c>
      <c r="H11" s="355">
        <f>IFERROR(__xludf.DUMMYFUNCTION("""COMPUTED_VALUE"""),25.26)</f>
        <v>25.26</v>
      </c>
      <c r="I11" s="355">
        <f>IFERROR(__xludf.DUMMYFUNCTION("""COMPUTED_VALUE"""),18.74)</f>
        <v>18.74</v>
      </c>
      <c r="J11" s="350">
        <f>IFERROR(__xludf.DUMMYFUNCTION("""COMPUTED_VALUE"""),1073.55)</f>
        <v>1073.55</v>
      </c>
      <c r="K11" s="350">
        <f>IFERROR(__xludf.DUMMYFUNCTION("""COMPUTED_VALUE"""),796.4499999999999)</f>
        <v>796.45</v>
      </c>
      <c r="L11" s="351">
        <f>IFERROR(__xludf.DUMMYFUNCTION("""COMPUTED_VALUE"""),0.5740909090909091)</f>
        <v>0.5740909091</v>
      </c>
      <c r="M11" s="351">
        <f>IFERROR(__xludf.DUMMYFUNCTION("""COMPUTED_VALUE"""),0.42590909090909085)</f>
        <v>0.4259090909</v>
      </c>
      <c r="N11" s="351"/>
      <c r="O11" s="352"/>
    </row>
    <row r="12" ht="15.75" customHeight="1">
      <c r="A12" s="345" t="b">
        <v>0</v>
      </c>
      <c r="B12" s="347" t="str">
        <f>IFERROR(__xludf.DUMMYFUNCTION("""COMPUTED_VALUE"""),"CAT_A")</f>
        <v>CAT_A</v>
      </c>
      <c r="C12" s="353" t="str">
        <f>IFERROR(__xludf.DUMMYFUNCTION("""COMPUTED_VALUE"""),"MEDICO CIRUJANO")</f>
        <v>MEDICO CIRUJANO</v>
      </c>
      <c r="D12" s="353">
        <f>IFERROR(__xludf.DUMMYFUNCTION("""COMPUTED_VALUE"""),88.0)</f>
        <v>88</v>
      </c>
      <c r="E12" s="354">
        <f>IFERROR(__xludf.DUMMYFUNCTION("""COMPUTED_VALUE"""),6.05)</f>
        <v>6.05</v>
      </c>
      <c r="F12" s="355">
        <f>IFERROR(__xludf.DUMMYFUNCTION("""COMPUTED_VALUE"""),4.4)</f>
        <v>4.4</v>
      </c>
      <c r="G12" s="355">
        <f>IFERROR(__xludf.DUMMYFUNCTION("""COMPUTED_VALUE"""),12.5)</f>
        <v>12.5</v>
      </c>
      <c r="H12" s="355">
        <f>IFERROR(__xludf.DUMMYFUNCTION("""COMPUTED_VALUE"""),22.95)</f>
        <v>22.95</v>
      </c>
      <c r="I12" s="355">
        <f>IFERROR(__xludf.DUMMYFUNCTION("""COMPUTED_VALUE"""),65.05)</f>
        <v>65.05</v>
      </c>
      <c r="J12" s="350">
        <f>IFERROR(__xludf.DUMMYFUNCTION("""COMPUTED_VALUE"""),993.385)</f>
        <v>993.385</v>
      </c>
      <c r="K12" s="350">
        <f>IFERROR(__xludf.DUMMYFUNCTION("""COMPUTED_VALUE"""),2817.015)</f>
        <v>2817.015</v>
      </c>
      <c r="L12" s="351">
        <f>IFERROR(__xludf.DUMMYFUNCTION("""COMPUTED_VALUE"""),0.2607036006718455)</f>
        <v>0.2607036007</v>
      </c>
      <c r="M12" s="351">
        <f>IFERROR(__xludf.DUMMYFUNCTION("""COMPUTED_VALUE"""),0.7392963993281546)</f>
        <v>0.7392963993</v>
      </c>
      <c r="N12" s="351"/>
      <c r="O12" s="352"/>
    </row>
    <row r="13" ht="15.75" customHeight="1">
      <c r="A13" s="345"/>
      <c r="B13" s="347" t="str">
        <f>IFERROR(__xludf.DUMMYFUNCTION("""COMPUTED_VALUE"""),"CAT_B")</f>
        <v>CAT_B</v>
      </c>
      <c r="C13" s="353" t="str">
        <f>IFERROR(__xludf.DUMMYFUNCTION("""COMPUTED_VALUE"""),"NUTRICIONISTA")</f>
        <v>NUTRICIONISTA</v>
      </c>
      <c r="D13" s="353">
        <f>IFERROR(__xludf.DUMMYFUNCTION("""COMPUTED_VALUE"""),44.0)</f>
        <v>44</v>
      </c>
      <c r="E13" s="354">
        <f>IFERROR(__xludf.DUMMYFUNCTION("""COMPUTED_VALUE"""),24.0)</f>
        <v>24</v>
      </c>
      <c r="F13" s="355">
        <f>IFERROR(__xludf.DUMMYFUNCTION("""COMPUTED_VALUE"""),2.2)</f>
        <v>2.2</v>
      </c>
      <c r="G13" s="355">
        <f>IFERROR(__xludf.DUMMYFUNCTION("""COMPUTED_VALUE"""),6.25)</f>
        <v>6.25</v>
      </c>
      <c r="H13" s="355">
        <f>IFERROR(__xludf.DUMMYFUNCTION("""COMPUTED_VALUE"""),32.45)</f>
        <v>32.45</v>
      </c>
      <c r="I13" s="355">
        <f>IFERROR(__xludf.DUMMYFUNCTION("""COMPUTED_VALUE"""),11.55)</f>
        <v>11.55</v>
      </c>
      <c r="J13" s="350">
        <f>IFERROR(__xludf.DUMMYFUNCTION("""COMPUTED_VALUE"""),1444.025)</f>
        <v>1444.025</v>
      </c>
      <c r="K13" s="350">
        <f>IFERROR(__xludf.DUMMYFUNCTION("""COMPUTED_VALUE"""),513.975)</f>
        <v>513.975</v>
      </c>
      <c r="L13" s="351">
        <f>IFERROR(__xludf.DUMMYFUNCTION("""COMPUTED_VALUE"""),0.7375)</f>
        <v>0.7375</v>
      </c>
      <c r="M13" s="351">
        <f>IFERROR(__xludf.DUMMYFUNCTION("""COMPUTED_VALUE"""),0.2625)</f>
        <v>0.2625</v>
      </c>
      <c r="N13" s="351"/>
      <c r="O13" s="352"/>
    </row>
    <row r="14" ht="15.75" customHeight="1">
      <c r="A14" s="345"/>
      <c r="B14" s="347" t="str">
        <f>IFERROR(__xludf.DUMMYFUNCTION("""COMPUTED_VALUE"""),"CAT_C")</f>
        <v>CAT_C</v>
      </c>
      <c r="C14" s="353" t="str">
        <f>IFERROR(__xludf.DUMMYFUNCTION("""COMPUTED_VALUE"""),"PODOLOGA")</f>
        <v>PODOLOGA</v>
      </c>
      <c r="D14" s="353">
        <f>IFERROR(__xludf.DUMMYFUNCTION("""COMPUTED_VALUE"""),22.0)</f>
        <v>22</v>
      </c>
      <c r="E14" s="354">
        <f>IFERROR(__xludf.DUMMYFUNCTION("""COMPUTED_VALUE"""),0.9)</f>
        <v>0.9</v>
      </c>
      <c r="F14" s="355"/>
      <c r="G14" s="355">
        <f>IFERROR(__xludf.DUMMYFUNCTION("""COMPUTED_VALUE"""),2.5)</f>
        <v>2.5</v>
      </c>
      <c r="H14" s="355">
        <f>IFERROR(__xludf.DUMMYFUNCTION("""COMPUTED_VALUE"""),3.4)</f>
        <v>3.4</v>
      </c>
      <c r="I14" s="355">
        <f>IFERROR(__xludf.DUMMYFUNCTION("""COMPUTED_VALUE"""),18.6)</f>
        <v>18.6</v>
      </c>
      <c r="J14" s="350">
        <f>IFERROR(__xludf.DUMMYFUNCTION("""COMPUTED_VALUE"""),151.29999999999998)</f>
        <v>151.3</v>
      </c>
      <c r="K14" s="350">
        <f>IFERROR(__xludf.DUMMYFUNCTION("""COMPUTED_VALUE"""),827.7)</f>
        <v>827.7</v>
      </c>
      <c r="L14" s="351">
        <f>IFERROR(__xludf.DUMMYFUNCTION("""COMPUTED_VALUE"""),0.15454545454545454)</f>
        <v>0.1545454545</v>
      </c>
      <c r="M14" s="351">
        <f>IFERROR(__xludf.DUMMYFUNCTION("""COMPUTED_VALUE"""),0.8454545454545455)</f>
        <v>0.8454545455</v>
      </c>
      <c r="N14" s="351"/>
      <c r="O14" s="352"/>
    </row>
    <row r="15" ht="15.75" customHeight="1">
      <c r="A15" s="345"/>
      <c r="B15" s="347" t="str">
        <f>IFERROR(__xludf.DUMMYFUNCTION("""COMPUTED_VALUE"""),"CAT_B")</f>
        <v>CAT_B</v>
      </c>
      <c r="C15" s="353" t="str">
        <f>IFERROR(__xludf.DUMMYFUNCTION("""COMPUTED_VALUE"""),"PSICOLOGA/O")</f>
        <v>PSICOLOGA/O</v>
      </c>
      <c r="D15" s="353">
        <f>IFERROR(__xludf.DUMMYFUNCTION("""COMPUTED_VALUE"""),44.0)</f>
        <v>44</v>
      </c>
      <c r="E15" s="354">
        <f>IFERROR(__xludf.DUMMYFUNCTION("""COMPUTED_VALUE"""),1.8)</f>
        <v>1.8</v>
      </c>
      <c r="F15" s="355">
        <f>IFERROR(__xludf.DUMMYFUNCTION("""COMPUTED_VALUE"""),2.2)</f>
        <v>2.2</v>
      </c>
      <c r="G15" s="355">
        <f>IFERROR(__xludf.DUMMYFUNCTION("""COMPUTED_VALUE"""),5.75)</f>
        <v>5.75</v>
      </c>
      <c r="H15" s="355">
        <f>IFERROR(__xludf.DUMMYFUNCTION("""COMPUTED_VALUE"""),9.75)</f>
        <v>9.75</v>
      </c>
      <c r="I15" s="355">
        <f>IFERROR(__xludf.DUMMYFUNCTION("""COMPUTED_VALUE"""),34.25)</f>
        <v>34.25</v>
      </c>
      <c r="J15" s="350">
        <f>IFERROR(__xludf.DUMMYFUNCTION("""COMPUTED_VALUE"""),421.17499999999995)</f>
        <v>421.175</v>
      </c>
      <c r="K15" s="350">
        <f>IFERROR(__xludf.DUMMYFUNCTION("""COMPUTED_VALUE"""),1492.8250000000003)</f>
        <v>1492.825</v>
      </c>
      <c r="L15" s="351">
        <f>IFERROR(__xludf.DUMMYFUNCTION("""COMPUTED_VALUE"""),0.22004963427377217)</f>
        <v>0.2200496343</v>
      </c>
      <c r="M15" s="351">
        <f>IFERROR(__xludf.DUMMYFUNCTION("""COMPUTED_VALUE"""),0.7799503657262279)</f>
        <v>0.7799503657</v>
      </c>
      <c r="N15" s="351"/>
      <c r="O15" s="352"/>
    </row>
    <row r="16" ht="15.75" customHeight="1">
      <c r="A16" s="345"/>
      <c r="B16" s="347" t="str">
        <f>IFERROR(__xludf.DUMMYFUNCTION("""COMPUTED_VALUE"""),"CAT_C")</f>
        <v>CAT_C</v>
      </c>
      <c r="C16" s="353" t="str">
        <f>IFERROR(__xludf.DUMMYFUNCTION("""COMPUTED_VALUE"""),"TENS")</f>
        <v>TENS</v>
      </c>
      <c r="D16" s="353">
        <f>IFERROR(__xludf.DUMMYFUNCTION("""COMPUTED_VALUE"""),132.0)</f>
        <v>132</v>
      </c>
      <c r="E16" s="354">
        <f>IFERROR(__xludf.DUMMYFUNCTION("""COMPUTED_VALUE"""),6.0)</f>
        <v>6</v>
      </c>
      <c r="F16" s="355">
        <f>IFERROR(__xludf.DUMMYFUNCTION("""COMPUTED_VALUE"""),6.6000000000000005)</f>
        <v>6.6</v>
      </c>
      <c r="G16" s="355">
        <f>IFERROR(__xludf.DUMMYFUNCTION("""COMPUTED_VALUE"""),18.75)</f>
        <v>18.75</v>
      </c>
      <c r="H16" s="355">
        <f>IFERROR(__xludf.DUMMYFUNCTION("""COMPUTED_VALUE"""),31.349999999999998)</f>
        <v>31.35</v>
      </c>
      <c r="I16" s="355">
        <f>IFERROR(__xludf.DUMMYFUNCTION("""COMPUTED_VALUE"""),100.64999999999999)</f>
        <v>100.65</v>
      </c>
      <c r="J16" s="350">
        <f>IFERROR(__xludf.DUMMYFUNCTION("""COMPUTED_VALUE"""),1374.1749999999997)</f>
        <v>1374.175</v>
      </c>
      <c r="K16" s="350">
        <f>IFERROR(__xludf.DUMMYFUNCTION("""COMPUTED_VALUE"""),4411.824999999999)</f>
        <v>4411.825</v>
      </c>
      <c r="L16" s="351">
        <f>IFERROR(__xludf.DUMMYFUNCTION("""COMPUTED_VALUE"""),0.23750000000000002)</f>
        <v>0.2375</v>
      </c>
      <c r="M16" s="351">
        <f>IFERROR(__xludf.DUMMYFUNCTION("""COMPUTED_VALUE"""),0.7625000000000001)</f>
        <v>0.7625</v>
      </c>
      <c r="N16" s="351"/>
      <c r="O16" s="352"/>
    </row>
    <row r="17" ht="15.75" customHeight="1">
      <c r="A17" s="345"/>
      <c r="B17" s="347" t="str">
        <f>IFERROR(__xludf.DUMMYFUNCTION("""COMPUTED_VALUE"""),"CAT_C")</f>
        <v>CAT_C</v>
      </c>
      <c r="C17" s="353" t="str">
        <f>IFERROR(__xludf.DUMMYFUNCTION("""COMPUTED_VALUE"""),"TENS FARMACIA")</f>
        <v>TENS FARMACIA</v>
      </c>
      <c r="D17" s="353">
        <f>IFERROR(__xludf.DUMMYFUNCTION("""COMPUTED_VALUE"""),44.0)</f>
        <v>44</v>
      </c>
      <c r="E17" s="354">
        <f>IFERROR(__xludf.DUMMYFUNCTION("""COMPUTED_VALUE"""),2.0)</f>
        <v>2</v>
      </c>
      <c r="F17" s="355">
        <f>IFERROR(__xludf.DUMMYFUNCTION("""COMPUTED_VALUE"""),2.2)</f>
        <v>2.2</v>
      </c>
      <c r="G17" s="355">
        <f>IFERROR(__xludf.DUMMYFUNCTION("""COMPUTED_VALUE"""),6.25)</f>
        <v>6.25</v>
      </c>
      <c r="H17" s="355">
        <f>IFERROR(__xludf.DUMMYFUNCTION("""COMPUTED_VALUE"""),10.45)</f>
        <v>10.45</v>
      </c>
      <c r="I17" s="355">
        <f>IFERROR(__xludf.DUMMYFUNCTION("""COMPUTED_VALUE"""),33.55)</f>
        <v>33.55</v>
      </c>
      <c r="J17" s="350">
        <f>IFERROR(__xludf.DUMMYFUNCTION("""COMPUTED_VALUE"""),465.025)</f>
        <v>465.025</v>
      </c>
      <c r="K17" s="350">
        <f>IFERROR(__xludf.DUMMYFUNCTION("""COMPUTED_VALUE"""),1492.975)</f>
        <v>1492.975</v>
      </c>
      <c r="L17" s="351">
        <f>IFERROR(__xludf.DUMMYFUNCTION("""COMPUTED_VALUE"""),0.2375)</f>
        <v>0.2375</v>
      </c>
      <c r="M17" s="351">
        <f>IFERROR(__xludf.DUMMYFUNCTION("""COMPUTED_VALUE"""),0.7625)</f>
        <v>0.7625</v>
      </c>
      <c r="N17" s="351"/>
      <c r="O17" s="352"/>
    </row>
    <row r="18" ht="15.75" customHeight="1">
      <c r="A18" s="345"/>
      <c r="B18" s="347" t="str">
        <f>IFERROR(__xludf.DUMMYFUNCTION("""COMPUTED_VALUE"""),"CAT_C")</f>
        <v>CAT_C</v>
      </c>
      <c r="C18" s="353" t="str">
        <f>IFERROR(__xludf.DUMMYFUNCTION("""COMPUTED_VALUE"""),"TONS")</f>
        <v>TONS</v>
      </c>
      <c r="D18" s="353">
        <f>IFERROR(__xludf.DUMMYFUNCTION("""COMPUTED_VALUE"""),44.0)</f>
        <v>44</v>
      </c>
      <c r="E18" s="354">
        <f>IFERROR(__xludf.DUMMYFUNCTION("""COMPUTED_VALUE"""),2.0)</f>
        <v>2</v>
      </c>
      <c r="F18" s="354">
        <f>IFERROR(__xludf.DUMMYFUNCTION("""COMPUTED_VALUE"""),2.2)</f>
        <v>2.2</v>
      </c>
      <c r="G18" s="354">
        <f>IFERROR(__xludf.DUMMYFUNCTION("""COMPUTED_VALUE"""),6.25)</f>
        <v>6.25</v>
      </c>
      <c r="H18" s="354">
        <f>IFERROR(__xludf.DUMMYFUNCTION("""COMPUTED_VALUE"""),10.45)</f>
        <v>10.45</v>
      </c>
      <c r="I18" s="354">
        <f>IFERROR(__xludf.DUMMYFUNCTION("""COMPUTED_VALUE"""),33.55)</f>
        <v>33.55</v>
      </c>
      <c r="J18" s="350">
        <f>IFERROR(__xludf.DUMMYFUNCTION("""COMPUTED_VALUE"""),465.025)</f>
        <v>465.025</v>
      </c>
      <c r="K18" s="350">
        <f>IFERROR(__xludf.DUMMYFUNCTION("""COMPUTED_VALUE"""),1492.975)</f>
        <v>1492.975</v>
      </c>
      <c r="L18" s="351">
        <f>IFERROR(__xludf.DUMMYFUNCTION("""COMPUTED_VALUE"""),0.2375)</f>
        <v>0.2375</v>
      </c>
      <c r="M18" s="351">
        <f>IFERROR(__xludf.DUMMYFUNCTION("""COMPUTED_VALUE"""),0.7625)</f>
        <v>0.7625</v>
      </c>
      <c r="N18" s="351"/>
      <c r="O18" s="352"/>
    </row>
    <row r="19" ht="15.75" customHeight="1">
      <c r="A19" s="345"/>
      <c r="B19" s="347" t="str">
        <f>IFERROR(__xludf.DUMMYFUNCTION("""COMPUTED_VALUE"""),"CAT_B")</f>
        <v>CAT_B</v>
      </c>
      <c r="C19" s="353" t="str">
        <f>IFERROR(__xludf.DUMMYFUNCTION("""COMPUTED_VALUE"""),"TRABAJADOR/A SOCIAL")</f>
        <v>TRABAJADOR/A SOCIAL</v>
      </c>
      <c r="D19" s="353">
        <f>IFERROR(__xludf.DUMMYFUNCTION("""COMPUTED_VALUE"""),88.0)</f>
        <v>88</v>
      </c>
      <c r="E19" s="354">
        <f>IFERROR(__xludf.DUMMYFUNCTION("""COMPUTED_VALUE"""),23.799999999999997)</f>
        <v>23.8</v>
      </c>
      <c r="F19" s="354">
        <f>IFERROR(__xludf.DUMMYFUNCTION("""COMPUTED_VALUE"""),2.2)</f>
        <v>2.2</v>
      </c>
      <c r="G19" s="354">
        <f>IFERROR(__xludf.DUMMYFUNCTION("""COMPUTED_VALUE"""),34.5)</f>
        <v>34.5</v>
      </c>
      <c r="H19" s="354">
        <f>IFERROR(__xludf.DUMMYFUNCTION("""COMPUTED_VALUE"""),60.5)</f>
        <v>60.5</v>
      </c>
      <c r="I19" s="354">
        <f>IFERROR(__xludf.DUMMYFUNCTION("""COMPUTED_VALUE"""),27.500000000000004)</f>
        <v>27.5</v>
      </c>
      <c r="J19" s="350">
        <f>IFERROR(__xludf.DUMMYFUNCTION("""COMPUTED_VALUE"""),2663.0999999999995)</f>
        <v>2663.1</v>
      </c>
      <c r="K19" s="350">
        <f>IFERROR(__xludf.DUMMYFUNCTION("""COMPUTED_VALUE"""),1208.9)</f>
        <v>1208.9</v>
      </c>
      <c r="L19" s="351">
        <f>IFERROR(__xludf.DUMMYFUNCTION("""COMPUTED_VALUE"""),0.6877840909090909)</f>
        <v>0.6877840909</v>
      </c>
      <c r="M19" s="351">
        <f>IFERROR(__xludf.DUMMYFUNCTION("""COMPUTED_VALUE"""),0.3122159090909091)</f>
        <v>0.3122159091</v>
      </c>
      <c r="N19" s="351"/>
      <c r="O19" s="352"/>
    </row>
    <row r="20" ht="15.75" customHeight="1">
      <c r="A20" s="345"/>
      <c r="B20" s="347"/>
      <c r="C20" s="353"/>
      <c r="D20" s="353"/>
      <c r="E20" s="354"/>
      <c r="F20" s="354"/>
      <c r="G20" s="354"/>
      <c r="H20" s="354"/>
      <c r="I20" s="354"/>
      <c r="J20" s="350"/>
      <c r="K20" s="350"/>
      <c r="L20" s="351"/>
      <c r="M20" s="351"/>
      <c r="N20" s="351"/>
      <c r="O20" s="352"/>
    </row>
    <row r="21" ht="15.75" customHeight="1">
      <c r="A21" s="345"/>
      <c r="B21" s="347"/>
      <c r="C21" s="353"/>
      <c r="D21" s="353"/>
      <c r="E21" s="354"/>
      <c r="F21" s="354"/>
      <c r="G21" s="354"/>
      <c r="H21" s="354"/>
      <c r="I21" s="354"/>
      <c r="J21" s="350"/>
      <c r="K21" s="350"/>
      <c r="L21" s="351"/>
      <c r="M21" s="351"/>
      <c r="N21" s="351"/>
      <c r="O21" s="352"/>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C2"/>
  </mergeCells>
  <conditionalFormatting sqref="A1:O21">
    <cfRule type="expression" dxfId="14" priority="1">
      <formula>($A:$A)=TRUE</formula>
    </cfRule>
  </conditionalFormatting>
  <printOptions gridLines="1" horizontalCentered="1"/>
  <pageMargins bottom="0.75" footer="0.0" header="0.0" left="0.7" right="0.7" top="0.75"/>
  <pageSetup fitToHeight="0" cellComments="atEnd" orientation="landscape" pageOrder="overThenDown"/>
  <drawing r:id="rId1"/>
  <tableParts count="1">
    <tablePart r:id="rId3"/>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3.88"/>
    <col customWidth="1" min="2" max="6" width="12.63"/>
  </cols>
  <sheetData>
    <row r="1" ht="35.25" customHeight="1">
      <c r="A1" s="356" t="s">
        <v>140</v>
      </c>
      <c r="B1" s="356" t="s">
        <v>505</v>
      </c>
      <c r="C1" s="356" t="s">
        <v>506</v>
      </c>
    </row>
    <row r="2" ht="35.25" customHeight="1">
      <c r="A2" s="357" t="s">
        <v>23</v>
      </c>
      <c r="B2" s="358" t="str">
        <f>IFERROR(__xludf.DUMMYFUNCTION("IFERROR(INDEX(QUERY(Horas_FUNC!$A4:$T$7,""SELECT sum(R)  "",0),2),""-"")"),"-")</f>
        <v>-</v>
      </c>
      <c r="C2" s="359" t="str">
        <f t="shared" ref="C2:C3" si="1">B2/SUM($B$2:$B$3)</f>
        <v>#VALUE!</v>
      </c>
    </row>
    <row r="3" ht="35.25" customHeight="1">
      <c r="A3" s="360" t="s">
        <v>507</v>
      </c>
      <c r="B3" s="358" t="str">
        <f>IFERROR(__xludf.DUMMYFUNCTION("IFERROR(INDEX(QUERY(Horas_FUNC!$A4:$T$7,""SELECT sum(Q)  "",0),2),""-"")"),"-")</f>
        <v>-</v>
      </c>
      <c r="C3" s="359" t="str">
        <f t="shared" si="1"/>
        <v>#VALUE!</v>
      </c>
    </row>
    <row r="4" ht="35.2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A1A1A"/>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12.63"/>
    <col customWidth="1" min="2" max="2" width="4.88"/>
    <col customWidth="1" min="3" max="3" width="5.88"/>
    <col customWidth="1" min="4" max="4" width="12.63"/>
    <col customWidth="1" min="5" max="5" width="2.25"/>
    <col customWidth="1" min="6" max="6" width="30.38"/>
    <col customWidth="1" min="7" max="7" width="43.0"/>
    <col customWidth="1" min="11" max="11" width="26.25"/>
    <col customWidth="1" min="12" max="12" width="31.75"/>
    <col customWidth="1" min="13" max="13" width="29.13"/>
    <col customWidth="1" min="14" max="14" width="37.38"/>
    <col customWidth="1" min="15" max="15" width="4.38"/>
    <col customWidth="1" min="16" max="16" width="9.25"/>
    <col customWidth="1" min="17" max="17" width="18.75"/>
    <col customWidth="1" min="18" max="18" width="1.75"/>
    <col customWidth="1" min="19" max="19" width="48.88"/>
  </cols>
  <sheetData>
    <row r="1" ht="15.75" customHeight="1">
      <c r="A1" s="361" t="s">
        <v>21</v>
      </c>
      <c r="B1" s="362"/>
      <c r="C1" s="362"/>
      <c r="D1" s="363" t="s">
        <v>508</v>
      </c>
      <c r="E1" s="362"/>
      <c r="F1" s="364" t="s">
        <v>509</v>
      </c>
      <c r="G1" s="361" t="s">
        <v>510</v>
      </c>
      <c r="H1" s="365"/>
      <c r="I1" s="366"/>
      <c r="J1" s="367" t="s">
        <v>20</v>
      </c>
      <c r="K1" s="368" t="s">
        <v>141</v>
      </c>
      <c r="L1" s="369" t="s">
        <v>511</v>
      </c>
      <c r="M1" s="370" t="s">
        <v>509</v>
      </c>
      <c r="N1" s="370" t="s">
        <v>20</v>
      </c>
      <c r="O1" s="365"/>
      <c r="P1" s="365" t="s">
        <v>42</v>
      </c>
      <c r="Q1" s="371"/>
      <c r="R1" s="371"/>
      <c r="S1" s="371" t="s">
        <v>512</v>
      </c>
      <c r="T1" s="365"/>
      <c r="U1" s="365"/>
      <c r="V1" s="365"/>
    </row>
    <row r="2" ht="15.75" customHeight="1">
      <c r="A2" s="372">
        <v>0.3333333333333333</v>
      </c>
      <c r="B2" s="372">
        <v>0.3333333333333333</v>
      </c>
      <c r="C2" s="371"/>
      <c r="D2" s="371" t="s">
        <v>513</v>
      </c>
      <c r="E2" s="371"/>
      <c r="F2" s="371" t="s">
        <v>418</v>
      </c>
      <c r="G2" s="373" t="s">
        <v>514</v>
      </c>
      <c r="H2" s="371"/>
      <c r="I2" s="374"/>
      <c r="J2" s="371"/>
      <c r="K2" s="371" t="s">
        <v>515</v>
      </c>
      <c r="L2" s="375" t="s">
        <v>516</v>
      </c>
      <c r="M2" s="375" t="s">
        <v>367</v>
      </c>
      <c r="N2" s="375" t="s">
        <v>367</v>
      </c>
      <c r="O2" s="371"/>
      <c r="P2" s="371" t="str">
        <f t="array" ref="P2:Q13">SORT(UNIQUE(FUNC!B2:C581))</f>
        <v>CAT_A</v>
      </c>
      <c r="Q2" s="371" t="s">
        <v>90</v>
      </c>
      <c r="R2" s="371"/>
      <c r="S2" s="371" t="str">
        <f t="array" ref="S2:S22">SORT(UNIQUE(FUNC!E2:E581))</f>
        <v>ALEJANDRO REYES MURILLO</v>
      </c>
      <c r="T2" s="371"/>
      <c r="U2" s="371"/>
      <c r="V2" s="371"/>
    </row>
    <row r="3" ht="15.75" customHeight="1">
      <c r="A3" s="372">
        <v>0.3402777777777778</v>
      </c>
      <c r="B3" s="372">
        <v>0.3541666666666667</v>
      </c>
      <c r="C3" s="371"/>
      <c r="D3" s="371" t="s">
        <v>517</v>
      </c>
      <c r="E3" s="371"/>
      <c r="F3" s="371" t="s">
        <v>418</v>
      </c>
      <c r="G3" s="371" t="s">
        <v>518</v>
      </c>
      <c r="H3" s="371"/>
      <c r="I3" s="374"/>
      <c r="J3" s="371"/>
      <c r="K3" s="371" t="s">
        <v>519</v>
      </c>
      <c r="L3" s="375" t="s">
        <v>418</v>
      </c>
      <c r="M3" s="375" t="s">
        <v>418</v>
      </c>
      <c r="N3" s="375" t="s">
        <v>421</v>
      </c>
      <c r="O3" s="371"/>
      <c r="P3" s="371" t="s">
        <v>84</v>
      </c>
      <c r="Q3" s="371" t="s">
        <v>85</v>
      </c>
      <c r="R3" s="371"/>
      <c r="S3" s="371" t="s">
        <v>123</v>
      </c>
      <c r="T3" s="371"/>
      <c r="U3" s="371"/>
      <c r="V3" s="371"/>
    </row>
    <row r="4" ht="15.75" customHeight="1">
      <c r="A4" s="372">
        <v>0.34375</v>
      </c>
      <c r="B4" s="372">
        <v>0.375</v>
      </c>
      <c r="C4" s="371"/>
      <c r="D4" s="371" t="s">
        <v>520</v>
      </c>
      <c r="E4" s="371"/>
      <c r="F4" s="371" t="s">
        <v>422</v>
      </c>
      <c r="G4" s="371" t="s">
        <v>521</v>
      </c>
      <c r="H4" s="371"/>
      <c r="I4" s="374"/>
      <c r="J4" s="371"/>
      <c r="K4" s="371" t="s">
        <v>411</v>
      </c>
      <c r="L4" s="375" t="s">
        <v>422</v>
      </c>
      <c r="M4" s="375" t="s">
        <v>422</v>
      </c>
      <c r="N4" s="375" t="s">
        <v>423</v>
      </c>
      <c r="O4" s="371"/>
      <c r="P4" s="371" t="s">
        <v>93</v>
      </c>
      <c r="Q4" s="371" t="s">
        <v>97</v>
      </c>
      <c r="R4" s="371"/>
      <c r="S4" s="371" t="s">
        <v>135</v>
      </c>
      <c r="T4" s="371"/>
      <c r="U4" s="371"/>
      <c r="V4" s="371"/>
    </row>
    <row r="5" ht="15.75" customHeight="1">
      <c r="A5" s="372">
        <v>0.3472222222222222</v>
      </c>
      <c r="B5" s="372">
        <v>0.3958333333333333</v>
      </c>
      <c r="C5" s="371"/>
      <c r="D5" s="371" t="s">
        <v>522</v>
      </c>
      <c r="E5" s="371"/>
      <c r="F5" s="371" t="s">
        <v>422</v>
      </c>
      <c r="G5" s="371" t="s">
        <v>523</v>
      </c>
      <c r="H5" s="371"/>
      <c r="I5" s="374"/>
      <c r="J5" s="371"/>
      <c r="K5" s="371" t="s">
        <v>524</v>
      </c>
      <c r="L5" s="375" t="s">
        <v>424</v>
      </c>
      <c r="M5" s="375" t="s">
        <v>424</v>
      </c>
      <c r="N5" s="375" t="s">
        <v>425</v>
      </c>
      <c r="O5" s="371"/>
      <c r="P5" s="371" t="s">
        <v>93</v>
      </c>
      <c r="Q5" s="371" t="s">
        <v>128</v>
      </c>
      <c r="R5" s="371"/>
      <c r="S5" s="371" t="s">
        <v>118</v>
      </c>
      <c r="T5" s="371"/>
      <c r="U5" s="371"/>
      <c r="V5" s="371"/>
    </row>
    <row r="6" ht="15.75" customHeight="1">
      <c r="A6" s="372">
        <v>0.3506944444444444</v>
      </c>
      <c r="B6" s="372">
        <v>0.4166666666666667</v>
      </c>
      <c r="C6" s="371"/>
      <c r="D6" s="371" t="s">
        <v>525</v>
      </c>
      <c r="E6" s="371"/>
      <c r="F6" s="371" t="s">
        <v>424</v>
      </c>
      <c r="G6" s="371" t="s">
        <v>526</v>
      </c>
      <c r="H6" s="371"/>
      <c r="I6" s="374"/>
      <c r="J6" s="371"/>
      <c r="K6" s="371" t="s">
        <v>527</v>
      </c>
      <c r="L6" s="375" t="s">
        <v>372</v>
      </c>
      <c r="M6" s="375" t="s">
        <v>372</v>
      </c>
      <c r="N6" s="375" t="s">
        <v>458</v>
      </c>
      <c r="O6" s="371"/>
      <c r="P6" s="371" t="s">
        <v>93</v>
      </c>
      <c r="Q6" s="371" t="s">
        <v>100</v>
      </c>
      <c r="R6" s="371"/>
      <c r="S6" s="371" t="s">
        <v>88</v>
      </c>
      <c r="T6" s="371"/>
      <c r="U6" s="371"/>
      <c r="V6" s="371"/>
    </row>
    <row r="7" ht="15.75" customHeight="1">
      <c r="A7" s="372">
        <v>0.3541666666666667</v>
      </c>
      <c r="B7" s="372">
        <v>0.4375</v>
      </c>
      <c r="C7" s="371"/>
      <c r="D7" s="371" t="s">
        <v>528</v>
      </c>
      <c r="E7" s="371"/>
      <c r="F7" s="371" t="s">
        <v>424</v>
      </c>
      <c r="G7" s="371" t="s">
        <v>529</v>
      </c>
      <c r="H7" s="371"/>
      <c r="I7" s="374"/>
      <c r="J7" s="371"/>
      <c r="K7" s="371" t="s">
        <v>391</v>
      </c>
      <c r="L7" s="375" t="s">
        <v>374</v>
      </c>
      <c r="M7" s="375" t="s">
        <v>372</v>
      </c>
      <c r="N7" s="375" t="s">
        <v>373</v>
      </c>
      <c r="O7" s="371"/>
      <c r="P7" s="371" t="s">
        <v>93</v>
      </c>
      <c r="Q7" s="371" t="s">
        <v>94</v>
      </c>
      <c r="R7" s="371"/>
      <c r="S7" s="371" t="s">
        <v>110</v>
      </c>
      <c r="T7" s="371"/>
      <c r="U7" s="371"/>
      <c r="V7" s="371"/>
    </row>
    <row r="8" ht="15.75" customHeight="1">
      <c r="A8" s="372">
        <v>0.3576388888888889</v>
      </c>
      <c r="B8" s="376">
        <v>0.4583333333333333</v>
      </c>
      <c r="C8" s="371"/>
      <c r="D8" s="371" t="s">
        <v>530</v>
      </c>
      <c r="E8" s="371"/>
      <c r="F8" s="371" t="s">
        <v>372</v>
      </c>
      <c r="G8" s="371" t="s">
        <v>531</v>
      </c>
      <c r="H8" s="371"/>
      <c r="I8" s="374"/>
      <c r="J8" s="371"/>
      <c r="K8" s="371" t="s">
        <v>532</v>
      </c>
      <c r="L8" s="375" t="s">
        <v>403</v>
      </c>
      <c r="M8" s="375" t="s">
        <v>374</v>
      </c>
      <c r="N8" s="375" t="s">
        <v>375</v>
      </c>
      <c r="O8" s="371"/>
      <c r="P8" s="371" t="s">
        <v>93</v>
      </c>
      <c r="Q8" s="371" t="s">
        <v>137</v>
      </c>
      <c r="R8" s="371"/>
      <c r="S8" s="371" t="s">
        <v>91</v>
      </c>
      <c r="T8" s="371"/>
      <c r="U8" s="371"/>
      <c r="V8" s="371"/>
    </row>
    <row r="9" ht="15.75" customHeight="1">
      <c r="A9" s="372">
        <v>0.3611111111111111</v>
      </c>
      <c r="B9" s="376">
        <v>0.4791666666666667</v>
      </c>
      <c r="C9" s="371"/>
      <c r="D9" s="371" t="s">
        <v>533</v>
      </c>
      <c r="E9" s="371"/>
      <c r="F9" s="371" t="s">
        <v>372</v>
      </c>
      <c r="G9" s="371" t="s">
        <v>534</v>
      </c>
      <c r="H9" s="371"/>
      <c r="I9" s="374"/>
      <c r="J9" s="371"/>
      <c r="K9" s="371"/>
      <c r="L9" s="375" t="s">
        <v>407</v>
      </c>
      <c r="M9" s="375" t="s">
        <v>403</v>
      </c>
      <c r="N9" s="375" t="s">
        <v>404</v>
      </c>
      <c r="O9" s="371"/>
      <c r="P9" s="371" t="s">
        <v>93</v>
      </c>
      <c r="Q9" s="371" t="s">
        <v>117</v>
      </c>
      <c r="R9" s="371"/>
      <c r="S9" s="371" t="s">
        <v>120</v>
      </c>
      <c r="T9" s="371"/>
      <c r="U9" s="371"/>
      <c r="V9" s="371"/>
    </row>
    <row r="10" ht="15.75" customHeight="1">
      <c r="A10" s="372">
        <v>0.3645833333333333</v>
      </c>
      <c r="B10" s="376">
        <v>0.5</v>
      </c>
      <c r="C10" s="371"/>
      <c r="D10" s="371" t="s">
        <v>535</v>
      </c>
      <c r="E10" s="371"/>
      <c r="F10" s="371" t="s">
        <v>372</v>
      </c>
      <c r="G10" s="371" t="s">
        <v>536</v>
      </c>
      <c r="H10" s="371"/>
      <c r="I10" s="374"/>
      <c r="J10" s="371"/>
      <c r="K10" s="371" t="s">
        <v>405</v>
      </c>
      <c r="L10" s="375" t="s">
        <v>211</v>
      </c>
      <c r="M10" s="375" t="s">
        <v>407</v>
      </c>
      <c r="N10" s="375" t="s">
        <v>408</v>
      </c>
      <c r="O10" s="371"/>
      <c r="P10" s="371" t="s">
        <v>93</v>
      </c>
      <c r="Q10" s="371" t="s">
        <v>114</v>
      </c>
      <c r="R10" s="371"/>
      <c r="S10" s="371" t="s">
        <v>98</v>
      </c>
      <c r="T10" s="371"/>
      <c r="U10" s="371"/>
      <c r="V10" s="371"/>
    </row>
    <row r="11" ht="15.75" customHeight="1">
      <c r="A11" s="372">
        <v>0.3680555555555556</v>
      </c>
      <c r="B11" s="376">
        <v>0.5208333333333334</v>
      </c>
      <c r="C11" s="371"/>
      <c r="D11" s="371" t="s">
        <v>537</v>
      </c>
      <c r="E11" s="371"/>
      <c r="F11" s="371" t="s">
        <v>372</v>
      </c>
      <c r="G11" s="371" t="s">
        <v>538</v>
      </c>
      <c r="H11" s="371"/>
      <c r="I11" s="374"/>
      <c r="J11" s="371"/>
      <c r="K11" s="371" t="s">
        <v>539</v>
      </c>
      <c r="L11" s="375" t="s">
        <v>377</v>
      </c>
      <c r="M11" s="375" t="s">
        <v>407</v>
      </c>
      <c r="N11" s="375" t="s">
        <v>409</v>
      </c>
      <c r="O11" s="371"/>
      <c r="P11" s="371" t="s">
        <v>105</v>
      </c>
      <c r="Q11" s="371" t="s">
        <v>106</v>
      </c>
      <c r="R11" s="371"/>
      <c r="S11" s="371" t="s">
        <v>86</v>
      </c>
      <c r="T11" s="371"/>
      <c r="U11" s="371"/>
      <c r="V11" s="371"/>
    </row>
    <row r="12" ht="15.75" customHeight="1">
      <c r="A12" s="372">
        <v>0.3715277777777778</v>
      </c>
      <c r="B12" s="372">
        <v>0.5416666666666666</v>
      </c>
      <c r="C12" s="371"/>
      <c r="D12" s="371" t="s">
        <v>540</v>
      </c>
      <c r="E12" s="371"/>
      <c r="F12" s="371" t="s">
        <v>372</v>
      </c>
      <c r="G12" s="371" t="s">
        <v>541</v>
      </c>
      <c r="H12" s="371"/>
      <c r="I12" s="374"/>
      <c r="J12" s="371"/>
      <c r="K12" s="371" t="s">
        <v>542</v>
      </c>
      <c r="L12" s="375" t="s">
        <v>379</v>
      </c>
      <c r="M12" s="375" t="s">
        <v>211</v>
      </c>
      <c r="N12" s="375" t="s">
        <v>396</v>
      </c>
      <c r="O12" s="371"/>
      <c r="P12" s="371" t="s">
        <v>105</v>
      </c>
      <c r="Q12" s="371" t="s">
        <v>109</v>
      </c>
      <c r="R12" s="371"/>
      <c r="S12" s="371" t="s">
        <v>103</v>
      </c>
      <c r="T12" s="371"/>
      <c r="U12" s="371"/>
      <c r="V12" s="371"/>
    </row>
    <row r="13" ht="15.75" customHeight="1">
      <c r="A13" s="372">
        <v>0.375</v>
      </c>
      <c r="B13" s="372">
        <v>0.5625</v>
      </c>
      <c r="C13" s="371"/>
      <c r="D13" s="371" t="s">
        <v>543</v>
      </c>
      <c r="E13" s="371"/>
      <c r="F13" s="371" t="s">
        <v>403</v>
      </c>
      <c r="G13" s="371" t="s">
        <v>544</v>
      </c>
      <c r="H13" s="371"/>
      <c r="I13" s="374"/>
      <c r="J13" s="371"/>
      <c r="K13" s="371" t="s">
        <v>369</v>
      </c>
      <c r="L13" s="375" t="s">
        <v>545</v>
      </c>
      <c r="M13" s="375" t="s">
        <v>211</v>
      </c>
      <c r="N13" s="375" t="s">
        <v>398</v>
      </c>
      <c r="O13" s="371"/>
      <c r="P13" s="371" t="s">
        <v>105</v>
      </c>
      <c r="Q13" s="371" t="s">
        <v>125</v>
      </c>
      <c r="R13" s="371"/>
      <c r="S13" s="371" t="s">
        <v>107</v>
      </c>
      <c r="T13" s="371"/>
      <c r="U13" s="371"/>
      <c r="V13" s="371"/>
    </row>
    <row r="14" ht="15.75" customHeight="1">
      <c r="A14" s="372">
        <v>0.3784722222222222</v>
      </c>
      <c r="B14" s="372">
        <v>0.5833333333333334</v>
      </c>
      <c r="C14" s="371"/>
      <c r="D14" s="371" t="s">
        <v>546</v>
      </c>
      <c r="E14" s="371"/>
      <c r="F14" s="371" t="s">
        <v>407</v>
      </c>
      <c r="G14" s="371" t="s">
        <v>240</v>
      </c>
      <c r="H14" s="371"/>
      <c r="I14" s="374"/>
      <c r="J14" s="371"/>
      <c r="K14" s="371" t="s">
        <v>160</v>
      </c>
      <c r="L14" s="375" t="s">
        <v>381</v>
      </c>
      <c r="M14" s="375" t="s">
        <v>211</v>
      </c>
      <c r="N14" s="375" t="s">
        <v>400</v>
      </c>
      <c r="O14" s="371"/>
      <c r="P14" s="371"/>
      <c r="Q14" s="371"/>
      <c r="R14" s="371"/>
      <c r="S14" s="371" t="s">
        <v>112</v>
      </c>
      <c r="T14" s="371"/>
      <c r="U14" s="371"/>
      <c r="V14" s="371"/>
    </row>
    <row r="15" ht="15.75" customHeight="1">
      <c r="A15" s="372">
        <v>0.3819444444444444</v>
      </c>
      <c r="B15" s="372">
        <v>0.6041666666666666</v>
      </c>
      <c r="C15" s="371"/>
      <c r="D15" s="371" t="s">
        <v>547</v>
      </c>
      <c r="E15" s="371"/>
      <c r="F15" s="371" t="s">
        <v>407</v>
      </c>
      <c r="G15" s="371" t="s">
        <v>548</v>
      </c>
      <c r="H15" s="371"/>
      <c r="I15" s="374"/>
      <c r="J15" s="371"/>
      <c r="K15" s="371"/>
      <c r="L15" s="375" t="s">
        <v>428</v>
      </c>
      <c r="M15" s="375" t="s">
        <v>211</v>
      </c>
      <c r="N15" s="375" t="s">
        <v>402</v>
      </c>
      <c r="O15" s="371"/>
      <c r="P15" s="371"/>
      <c r="Q15" s="371"/>
      <c r="R15" s="371"/>
      <c r="S15" s="371" t="s">
        <v>115</v>
      </c>
      <c r="T15" s="371"/>
      <c r="U15" s="371"/>
      <c r="V15" s="371"/>
    </row>
    <row r="16" ht="15.75" customHeight="1">
      <c r="A16" s="372">
        <v>0.3854166666666667</v>
      </c>
      <c r="B16" s="372">
        <v>0.625</v>
      </c>
      <c r="C16" s="371"/>
      <c r="D16" s="371" t="s">
        <v>549</v>
      </c>
      <c r="E16" s="371"/>
      <c r="F16" s="371" t="s">
        <v>211</v>
      </c>
      <c r="G16" s="371" t="s">
        <v>550</v>
      </c>
      <c r="H16" s="371"/>
      <c r="I16" s="374"/>
      <c r="J16" s="371"/>
      <c r="K16" s="371"/>
      <c r="L16" s="375" t="s">
        <v>406</v>
      </c>
      <c r="M16" s="375" t="s">
        <v>377</v>
      </c>
      <c r="N16" s="375" t="s">
        <v>378</v>
      </c>
      <c r="O16" s="371"/>
      <c r="P16" s="371"/>
      <c r="Q16" s="371"/>
      <c r="R16" s="371"/>
      <c r="S16" s="371" t="s">
        <v>131</v>
      </c>
      <c r="T16" s="371"/>
      <c r="U16" s="371"/>
      <c r="V16" s="371"/>
    </row>
    <row r="17" ht="15.75" customHeight="1">
      <c r="A17" s="372">
        <v>0.3888888888888889</v>
      </c>
      <c r="B17" s="372">
        <v>0.6458333333333334</v>
      </c>
      <c r="C17" s="371"/>
      <c r="D17" s="371" t="s">
        <v>551</v>
      </c>
      <c r="E17" s="371"/>
      <c r="F17" s="371" t="s">
        <v>211</v>
      </c>
      <c r="G17" s="371" t="s">
        <v>552</v>
      </c>
      <c r="H17" s="371"/>
      <c r="I17" s="374"/>
      <c r="J17" s="371"/>
      <c r="K17" s="371"/>
      <c r="L17" s="375" t="s">
        <v>553</v>
      </c>
      <c r="M17" s="375" t="s">
        <v>379</v>
      </c>
      <c r="N17" s="375" t="s">
        <v>387</v>
      </c>
      <c r="O17" s="371"/>
      <c r="P17" s="371"/>
      <c r="Q17" s="371"/>
      <c r="R17" s="371"/>
      <c r="S17" s="371" t="s">
        <v>138</v>
      </c>
      <c r="T17" s="371"/>
      <c r="U17" s="371"/>
      <c r="V17" s="371"/>
    </row>
    <row r="18" ht="15.75" customHeight="1">
      <c r="A18" s="372">
        <v>0.3923611111111111</v>
      </c>
      <c r="B18" s="372">
        <v>0.6666666666666666</v>
      </c>
      <c r="C18" s="371"/>
      <c r="D18" s="371" t="s">
        <v>554</v>
      </c>
      <c r="E18" s="371"/>
      <c r="F18" s="371" t="s">
        <v>545</v>
      </c>
      <c r="G18" s="371" t="s">
        <v>555</v>
      </c>
      <c r="H18" s="371"/>
      <c r="I18" s="374"/>
      <c r="J18" s="371"/>
      <c r="K18" s="371"/>
      <c r="L18" s="375" t="s">
        <v>519</v>
      </c>
      <c r="M18" s="375" t="s">
        <v>379</v>
      </c>
      <c r="N18" s="375" t="s">
        <v>380</v>
      </c>
      <c r="O18" s="371"/>
      <c r="P18" s="371"/>
      <c r="Q18" s="371"/>
      <c r="R18" s="371"/>
      <c r="S18" s="371" t="s">
        <v>133</v>
      </c>
      <c r="T18" s="371"/>
      <c r="U18" s="371"/>
      <c r="V18" s="371"/>
    </row>
    <row r="19" ht="15.75" customHeight="1">
      <c r="A19" s="372">
        <v>0.3958333333333333</v>
      </c>
      <c r="B19" s="372">
        <v>0.6875</v>
      </c>
      <c r="C19" s="371"/>
      <c r="D19" s="371" t="s">
        <v>556</v>
      </c>
      <c r="E19" s="371"/>
      <c r="F19" s="371" t="s">
        <v>545</v>
      </c>
      <c r="G19" s="371" t="s">
        <v>557</v>
      </c>
      <c r="H19" s="371"/>
      <c r="I19" s="374"/>
      <c r="J19" s="371"/>
      <c r="K19" s="371"/>
      <c r="L19" s="375" t="s">
        <v>305</v>
      </c>
      <c r="M19" s="375" t="s">
        <v>545</v>
      </c>
      <c r="N19" s="375" t="s">
        <v>371</v>
      </c>
      <c r="O19" s="371"/>
      <c r="P19" s="371"/>
      <c r="Q19" s="371"/>
      <c r="R19" s="371"/>
      <c r="S19" s="371" t="s">
        <v>95</v>
      </c>
      <c r="T19" s="371"/>
      <c r="U19" s="371"/>
      <c r="V19" s="371"/>
    </row>
    <row r="20" ht="15.75" customHeight="1">
      <c r="A20" s="372">
        <v>0.3993055555555556</v>
      </c>
      <c r="B20" s="372">
        <v>0.7083333333333334</v>
      </c>
      <c r="C20" s="371"/>
      <c r="D20" s="371" t="s">
        <v>558</v>
      </c>
      <c r="E20" s="371"/>
      <c r="F20" s="371" t="s">
        <v>381</v>
      </c>
      <c r="G20" s="371" t="s">
        <v>559</v>
      </c>
      <c r="H20" s="371"/>
      <c r="I20" s="374"/>
      <c r="J20" s="371"/>
      <c r="K20" s="371"/>
      <c r="L20" s="375" t="s">
        <v>431</v>
      </c>
      <c r="M20" s="375" t="s">
        <v>381</v>
      </c>
      <c r="N20" s="375" t="s">
        <v>382</v>
      </c>
      <c r="O20" s="371"/>
      <c r="P20" s="371"/>
      <c r="Q20" s="371"/>
      <c r="R20" s="371"/>
      <c r="S20" s="371" t="s">
        <v>126</v>
      </c>
      <c r="T20" s="371"/>
      <c r="U20" s="371"/>
      <c r="V20" s="371"/>
    </row>
    <row r="21" ht="15.75" customHeight="1">
      <c r="A21" s="372">
        <v>0.4027777777777778</v>
      </c>
      <c r="B21" s="372">
        <v>0.7291666666666666</v>
      </c>
      <c r="C21" s="371"/>
      <c r="D21" s="371" t="s">
        <v>560</v>
      </c>
      <c r="E21" s="371"/>
      <c r="F21" s="371" t="s">
        <v>305</v>
      </c>
      <c r="G21" s="371" t="s">
        <v>561</v>
      </c>
      <c r="H21" s="371"/>
      <c r="I21" s="374"/>
      <c r="J21" s="371"/>
      <c r="K21" s="371"/>
      <c r="L21" s="375" t="s">
        <v>437</v>
      </c>
      <c r="M21" s="375" t="s">
        <v>381</v>
      </c>
      <c r="N21" s="375" t="s">
        <v>562</v>
      </c>
      <c r="O21" s="371"/>
      <c r="P21" s="371"/>
      <c r="Q21" s="371"/>
      <c r="R21" s="371"/>
      <c r="S21" s="371" t="s">
        <v>129</v>
      </c>
      <c r="T21" s="371"/>
      <c r="U21" s="371"/>
      <c r="V21" s="371"/>
    </row>
    <row r="22" ht="15.75" customHeight="1">
      <c r="A22" s="372">
        <v>0.40625</v>
      </c>
      <c r="B22" s="372">
        <v>0.7256944444444444</v>
      </c>
      <c r="C22" s="371"/>
      <c r="D22" s="371"/>
      <c r="E22" s="371"/>
      <c r="F22" s="371" t="s">
        <v>305</v>
      </c>
      <c r="G22" s="371" t="s">
        <v>563</v>
      </c>
      <c r="H22" s="371"/>
      <c r="I22" s="374"/>
      <c r="J22" s="371"/>
      <c r="K22" s="371"/>
      <c r="L22" s="375" t="s">
        <v>564</v>
      </c>
      <c r="M22" s="375" t="s">
        <v>428</v>
      </c>
      <c r="N22" s="375" t="s">
        <v>565</v>
      </c>
      <c r="O22" s="371"/>
      <c r="P22" s="371"/>
      <c r="Q22" s="371"/>
      <c r="R22" s="371"/>
      <c r="S22" s="371"/>
      <c r="T22" s="371"/>
      <c r="U22" s="371"/>
      <c r="V22" s="371"/>
    </row>
    <row r="23" ht="15.75" customHeight="1">
      <c r="A23" s="372">
        <v>0.4097222222222222</v>
      </c>
      <c r="B23" s="372">
        <v>0.7222222222222222</v>
      </c>
      <c r="C23" s="371"/>
      <c r="D23" s="371"/>
      <c r="E23" s="371"/>
      <c r="F23" s="371" t="s">
        <v>305</v>
      </c>
      <c r="G23" s="371" t="s">
        <v>566</v>
      </c>
      <c r="H23" s="371"/>
      <c r="I23" s="374"/>
      <c r="J23" s="371"/>
      <c r="K23" s="371"/>
      <c r="L23" s="375" t="s">
        <v>440</v>
      </c>
      <c r="M23" s="375" t="s">
        <v>406</v>
      </c>
      <c r="N23" s="375" t="s">
        <v>406</v>
      </c>
      <c r="O23" s="371"/>
      <c r="P23" s="371"/>
      <c r="Q23" s="371"/>
      <c r="R23" s="371"/>
      <c r="S23" s="371"/>
      <c r="T23" s="371"/>
      <c r="U23" s="371"/>
      <c r="V23" s="371"/>
    </row>
    <row r="24" ht="15.75" customHeight="1">
      <c r="A24" s="372">
        <v>0.4131944444444444</v>
      </c>
      <c r="B24" s="372">
        <v>0.71875</v>
      </c>
      <c r="C24" s="371"/>
      <c r="D24" s="371"/>
      <c r="E24" s="371"/>
      <c r="F24" s="371" t="s">
        <v>431</v>
      </c>
      <c r="G24" s="371" t="s">
        <v>567</v>
      </c>
      <c r="H24" s="371"/>
      <c r="I24" s="374"/>
      <c r="J24" s="371"/>
      <c r="K24" s="371"/>
      <c r="L24" s="375" t="s">
        <v>568</v>
      </c>
      <c r="M24" s="375" t="s">
        <v>406</v>
      </c>
      <c r="N24" s="375" t="s">
        <v>406</v>
      </c>
      <c r="O24" s="371"/>
      <c r="P24" s="371"/>
      <c r="Q24" s="371"/>
      <c r="R24" s="371"/>
      <c r="S24" s="371"/>
      <c r="T24" s="371"/>
      <c r="U24" s="371"/>
      <c r="V24" s="371"/>
    </row>
    <row r="25" ht="15.75" customHeight="1">
      <c r="A25" s="372">
        <v>0.4166666666666667</v>
      </c>
      <c r="B25" s="371"/>
      <c r="C25" s="371"/>
      <c r="D25" s="371"/>
      <c r="E25" s="371"/>
      <c r="F25" s="371" t="s">
        <v>431</v>
      </c>
      <c r="G25" s="371" t="s">
        <v>569</v>
      </c>
      <c r="H25" s="371"/>
      <c r="I25" s="374"/>
      <c r="J25" s="371"/>
      <c r="K25" s="371"/>
      <c r="L25" s="375" t="s">
        <v>442</v>
      </c>
      <c r="M25" s="375" t="s">
        <v>305</v>
      </c>
      <c r="N25" s="375" t="s">
        <v>411</v>
      </c>
      <c r="O25" s="371"/>
      <c r="P25" s="371"/>
      <c r="Q25" s="371"/>
      <c r="R25" s="371"/>
      <c r="S25" s="371"/>
      <c r="T25" s="371"/>
      <c r="U25" s="371"/>
      <c r="V25" s="371"/>
    </row>
    <row r="26" ht="15.75" customHeight="1">
      <c r="A26" s="372">
        <v>0.4201388888888889</v>
      </c>
      <c r="B26" s="371"/>
      <c r="C26" s="371"/>
      <c r="D26" s="371"/>
      <c r="E26" s="371"/>
      <c r="F26" s="371" t="s">
        <v>431</v>
      </c>
      <c r="G26" s="371" t="s">
        <v>570</v>
      </c>
      <c r="H26" s="371"/>
      <c r="I26" s="374"/>
      <c r="J26" s="371"/>
      <c r="K26" s="371"/>
      <c r="L26" s="375" t="s">
        <v>391</v>
      </c>
      <c r="M26" s="375" t="s">
        <v>431</v>
      </c>
      <c r="N26" s="375" t="s">
        <v>432</v>
      </c>
      <c r="O26" s="371"/>
      <c r="P26" s="371"/>
      <c r="Q26" s="371"/>
      <c r="R26" s="371"/>
      <c r="S26" s="371"/>
      <c r="T26" s="371"/>
      <c r="U26" s="371"/>
      <c r="V26" s="371"/>
    </row>
    <row r="27" ht="15.75" customHeight="1">
      <c r="A27" s="372">
        <v>0.4236111111111111</v>
      </c>
      <c r="B27" s="372"/>
      <c r="C27" s="371"/>
      <c r="D27" s="371"/>
      <c r="E27" s="371"/>
      <c r="F27" s="371" t="s">
        <v>431</v>
      </c>
      <c r="G27" s="371" t="s">
        <v>571</v>
      </c>
      <c r="H27" s="371"/>
      <c r="I27" s="374"/>
      <c r="J27" s="371"/>
      <c r="K27" s="371"/>
      <c r="L27" s="375" t="s">
        <v>447</v>
      </c>
      <c r="M27" s="375" t="s">
        <v>431</v>
      </c>
      <c r="N27" s="375" t="s">
        <v>434</v>
      </c>
      <c r="O27" s="371"/>
      <c r="P27" s="371"/>
      <c r="Q27" s="371"/>
      <c r="R27" s="371"/>
      <c r="S27" s="371"/>
      <c r="T27" s="371"/>
      <c r="U27" s="371"/>
      <c r="V27" s="371"/>
    </row>
    <row r="28" ht="15.75" customHeight="1">
      <c r="A28" s="372">
        <v>0.4270833333333333</v>
      </c>
      <c r="B28" s="372"/>
      <c r="C28" s="371"/>
      <c r="D28" s="371"/>
      <c r="E28" s="371"/>
      <c r="F28" s="371" t="s">
        <v>431</v>
      </c>
      <c r="G28" s="371" t="s">
        <v>572</v>
      </c>
      <c r="H28" s="371"/>
      <c r="I28" s="374"/>
      <c r="J28" s="371"/>
      <c r="K28" s="371"/>
      <c r="L28" s="375" t="s">
        <v>450</v>
      </c>
      <c r="M28" s="375" t="s">
        <v>431</v>
      </c>
      <c r="N28" s="375" t="s">
        <v>435</v>
      </c>
      <c r="O28" s="371"/>
      <c r="P28" s="371"/>
      <c r="Q28" s="371"/>
      <c r="R28" s="371"/>
      <c r="S28" s="371"/>
      <c r="T28" s="371"/>
      <c r="U28" s="371"/>
      <c r="V28" s="371"/>
    </row>
    <row r="29" ht="15.75" customHeight="1">
      <c r="A29" s="372">
        <v>0.4305555555555556</v>
      </c>
      <c r="B29" s="372"/>
      <c r="C29" s="371"/>
      <c r="D29" s="371"/>
      <c r="E29" s="371"/>
      <c r="F29" s="371" t="s">
        <v>437</v>
      </c>
      <c r="G29" s="371" t="s">
        <v>573</v>
      </c>
      <c r="H29" s="371"/>
      <c r="I29" s="374"/>
      <c r="J29" s="371"/>
      <c r="K29" s="371"/>
      <c r="L29" s="375" t="s">
        <v>574</v>
      </c>
      <c r="M29" s="375" t="s">
        <v>431</v>
      </c>
      <c r="N29" s="375" t="s">
        <v>436</v>
      </c>
      <c r="O29" s="371"/>
      <c r="P29" s="371"/>
      <c r="Q29" s="371"/>
      <c r="R29" s="371"/>
      <c r="S29" s="371"/>
      <c r="T29" s="371"/>
      <c r="U29" s="371"/>
      <c r="V29" s="371"/>
    </row>
    <row r="30" ht="15.75" customHeight="1">
      <c r="A30" s="372">
        <v>0.4340277777777778</v>
      </c>
      <c r="B30" s="372"/>
      <c r="C30" s="371"/>
      <c r="D30" s="371"/>
      <c r="E30" s="371"/>
      <c r="F30" s="371" t="s">
        <v>437</v>
      </c>
      <c r="G30" s="371" t="s">
        <v>575</v>
      </c>
      <c r="H30" s="371"/>
      <c r="I30" s="374"/>
      <c r="J30" s="371"/>
      <c r="K30" s="371"/>
      <c r="L30" s="375" t="s">
        <v>524</v>
      </c>
      <c r="M30" s="375" t="s">
        <v>437</v>
      </c>
      <c r="N30" s="375" t="s">
        <v>438</v>
      </c>
      <c r="O30" s="371"/>
      <c r="P30" s="371"/>
      <c r="Q30" s="371"/>
      <c r="R30" s="371"/>
      <c r="S30" s="371"/>
      <c r="T30" s="371"/>
      <c r="U30" s="371"/>
      <c r="V30" s="371"/>
    </row>
    <row r="31" ht="15.75" customHeight="1">
      <c r="A31" s="372">
        <v>0.4375</v>
      </c>
      <c r="B31" s="372"/>
      <c r="C31" s="371"/>
      <c r="D31" s="371"/>
      <c r="E31" s="371"/>
      <c r="F31" s="371" t="s">
        <v>568</v>
      </c>
      <c r="G31" s="371" t="s">
        <v>576</v>
      </c>
      <c r="H31" s="371"/>
      <c r="I31" s="374"/>
      <c r="J31" s="371"/>
      <c r="K31" s="371"/>
      <c r="L31" s="375" t="s">
        <v>453</v>
      </c>
      <c r="M31" s="375" t="s">
        <v>440</v>
      </c>
      <c r="N31" s="375" t="s">
        <v>441</v>
      </c>
      <c r="O31" s="371"/>
      <c r="P31" s="371"/>
      <c r="Q31" s="371"/>
      <c r="R31" s="371"/>
      <c r="S31" s="371"/>
      <c r="T31" s="371"/>
      <c r="U31" s="371"/>
      <c r="V31" s="371"/>
    </row>
    <row r="32" ht="15.75" customHeight="1">
      <c r="A32" s="372">
        <v>0.4409722222222222</v>
      </c>
      <c r="B32" s="372"/>
      <c r="C32" s="371"/>
      <c r="D32" s="371"/>
      <c r="E32" s="371"/>
      <c r="F32" s="371" t="s">
        <v>442</v>
      </c>
      <c r="G32" s="371" t="s">
        <v>577</v>
      </c>
      <c r="H32" s="371"/>
      <c r="I32" s="374"/>
      <c r="J32" s="371"/>
      <c r="K32" s="371"/>
      <c r="L32" s="375" t="s">
        <v>457</v>
      </c>
      <c r="M32" s="375" t="s">
        <v>568</v>
      </c>
      <c r="N32" s="375" t="s">
        <v>578</v>
      </c>
      <c r="O32" s="371"/>
      <c r="P32" s="371"/>
      <c r="Q32" s="371"/>
      <c r="R32" s="371"/>
      <c r="S32" s="371"/>
      <c r="T32" s="371"/>
      <c r="U32" s="371"/>
      <c r="V32" s="371"/>
    </row>
    <row r="33" ht="15.75" customHeight="1">
      <c r="A33" s="372">
        <v>0.4444444444444444</v>
      </c>
      <c r="B33" s="372"/>
      <c r="C33" s="371"/>
      <c r="D33" s="371"/>
      <c r="E33" s="371"/>
      <c r="F33" s="371" t="s">
        <v>442</v>
      </c>
      <c r="G33" s="371" t="s">
        <v>579</v>
      </c>
      <c r="H33" s="371"/>
      <c r="I33" s="374"/>
      <c r="J33" s="371"/>
      <c r="K33" s="371"/>
      <c r="L33" s="375" t="s">
        <v>462</v>
      </c>
      <c r="M33" s="375" t="s">
        <v>442</v>
      </c>
      <c r="N33" s="375" t="s">
        <v>443</v>
      </c>
      <c r="O33" s="371"/>
      <c r="P33" s="371"/>
      <c r="Q33" s="371"/>
      <c r="R33" s="371"/>
      <c r="S33" s="371"/>
      <c r="T33" s="371"/>
      <c r="U33" s="371"/>
      <c r="V33" s="371"/>
    </row>
    <row r="34" ht="15.75" customHeight="1">
      <c r="A34" s="372">
        <v>0.4479166666666667</v>
      </c>
      <c r="B34" s="372"/>
      <c r="C34" s="371"/>
      <c r="D34" s="371"/>
      <c r="E34" s="371"/>
      <c r="F34" s="371" t="s">
        <v>442</v>
      </c>
      <c r="G34" s="371" t="s">
        <v>580</v>
      </c>
      <c r="H34" s="371"/>
      <c r="I34" s="374"/>
      <c r="J34" s="371"/>
      <c r="K34" s="371"/>
      <c r="L34" s="375" t="s">
        <v>383</v>
      </c>
      <c r="M34" s="375" t="s">
        <v>442</v>
      </c>
      <c r="N34" s="375" t="s">
        <v>445</v>
      </c>
      <c r="O34" s="371"/>
      <c r="P34" s="371"/>
      <c r="Q34" s="371"/>
      <c r="R34" s="371"/>
      <c r="S34" s="371"/>
      <c r="T34" s="371"/>
      <c r="U34" s="371"/>
      <c r="V34" s="371"/>
    </row>
    <row r="35" ht="15.75" customHeight="1">
      <c r="A35" s="372">
        <v>0.4513888888888889</v>
      </c>
      <c r="B35" s="372"/>
      <c r="C35" s="371"/>
      <c r="D35" s="371"/>
      <c r="E35" s="371"/>
      <c r="F35" s="371" t="s">
        <v>391</v>
      </c>
      <c r="G35" s="371" t="s">
        <v>237</v>
      </c>
      <c r="H35" s="371"/>
      <c r="I35" s="374"/>
      <c r="J35" s="371"/>
      <c r="K35" s="371"/>
      <c r="L35" s="375" t="s">
        <v>466</v>
      </c>
      <c r="M35" s="375" t="s">
        <v>391</v>
      </c>
      <c r="N35" s="375" t="s">
        <v>392</v>
      </c>
      <c r="O35" s="371"/>
      <c r="P35" s="371"/>
      <c r="Q35" s="371"/>
      <c r="R35" s="371"/>
      <c r="S35" s="371"/>
      <c r="T35" s="371"/>
      <c r="U35" s="371"/>
      <c r="V35" s="371"/>
    </row>
    <row r="36" ht="15.75" customHeight="1">
      <c r="A36" s="372">
        <v>0.4548611111111111</v>
      </c>
      <c r="B36" s="371"/>
      <c r="C36" s="371"/>
      <c r="D36" s="371"/>
      <c r="E36" s="371"/>
      <c r="F36" s="371" t="s">
        <v>391</v>
      </c>
      <c r="G36" s="371" t="s">
        <v>581</v>
      </c>
      <c r="H36" s="371"/>
      <c r="I36" s="374"/>
      <c r="J36" s="371"/>
      <c r="K36" s="371"/>
      <c r="L36" s="375" t="s">
        <v>167</v>
      </c>
      <c r="M36" s="375" t="s">
        <v>391</v>
      </c>
      <c r="N36" s="375" t="s">
        <v>582</v>
      </c>
      <c r="O36" s="371"/>
      <c r="P36" s="371"/>
      <c r="Q36" s="371"/>
      <c r="R36" s="371"/>
      <c r="S36" s="371"/>
      <c r="T36" s="371"/>
      <c r="U36" s="371"/>
      <c r="V36" s="371"/>
    </row>
    <row r="37" ht="15.75" customHeight="1">
      <c r="A37" s="372">
        <v>0.4583333333333333</v>
      </c>
      <c r="B37" s="371"/>
      <c r="C37" s="371"/>
      <c r="D37" s="371"/>
      <c r="E37" s="371"/>
      <c r="F37" s="371" t="s">
        <v>391</v>
      </c>
      <c r="G37" s="371" t="s">
        <v>583</v>
      </c>
      <c r="H37" s="371"/>
      <c r="I37" s="374"/>
      <c r="J37" s="371"/>
      <c r="K37" s="371"/>
      <c r="L37" s="375" t="s">
        <v>469</v>
      </c>
      <c r="M37" s="375" t="s">
        <v>447</v>
      </c>
      <c r="N37" s="375" t="s">
        <v>448</v>
      </c>
      <c r="O37" s="371"/>
      <c r="P37" s="371"/>
      <c r="Q37" s="371"/>
      <c r="R37" s="371"/>
      <c r="S37" s="371"/>
      <c r="T37" s="371"/>
      <c r="U37" s="371"/>
      <c r="V37" s="371"/>
    </row>
    <row r="38" ht="15.75" customHeight="1">
      <c r="A38" s="372">
        <v>0.4618055555555556</v>
      </c>
      <c r="B38" s="371"/>
      <c r="C38" s="371"/>
      <c r="D38" s="371"/>
      <c r="E38" s="371"/>
      <c r="F38" s="371" t="s">
        <v>391</v>
      </c>
      <c r="G38" s="371" t="s">
        <v>584</v>
      </c>
      <c r="H38" s="371"/>
      <c r="I38" s="374"/>
      <c r="J38" s="371"/>
      <c r="K38" s="371"/>
      <c r="L38" s="375" t="s">
        <v>585</v>
      </c>
      <c r="M38" s="375" t="s">
        <v>450</v>
      </c>
      <c r="N38" s="375" t="s">
        <v>451</v>
      </c>
      <c r="O38" s="371"/>
      <c r="P38" s="371"/>
      <c r="Q38" s="371"/>
      <c r="R38" s="371"/>
      <c r="S38" s="371"/>
      <c r="T38" s="371"/>
      <c r="U38" s="371"/>
      <c r="V38" s="371"/>
    </row>
    <row r="39" ht="15.75" customHeight="1">
      <c r="A39" s="372">
        <v>0.4652777777777778</v>
      </c>
      <c r="B39" s="371"/>
      <c r="C39" s="371"/>
      <c r="D39" s="371"/>
      <c r="E39" s="371"/>
      <c r="F39" s="371" t="s">
        <v>447</v>
      </c>
      <c r="G39" s="371" t="s">
        <v>586</v>
      </c>
      <c r="H39" s="371"/>
      <c r="I39" s="374"/>
      <c r="J39" s="371"/>
      <c r="K39" s="371"/>
      <c r="L39" s="375" t="s">
        <v>386</v>
      </c>
      <c r="M39" s="375" t="s">
        <v>453</v>
      </c>
      <c r="N39" s="375" t="s">
        <v>454</v>
      </c>
      <c r="O39" s="371"/>
      <c r="P39" s="371"/>
      <c r="Q39" s="371"/>
      <c r="R39" s="371"/>
      <c r="S39" s="371"/>
      <c r="T39" s="371"/>
      <c r="U39" s="371"/>
      <c r="V39" s="371"/>
    </row>
    <row r="40" ht="15.75" customHeight="1">
      <c r="A40" s="372">
        <v>0.46875</v>
      </c>
      <c r="B40" s="371"/>
      <c r="C40" s="371"/>
      <c r="D40" s="371"/>
      <c r="E40" s="371"/>
      <c r="F40" s="371" t="s">
        <v>453</v>
      </c>
      <c r="G40" s="371" t="s">
        <v>587</v>
      </c>
      <c r="H40" s="371"/>
      <c r="I40" s="374"/>
      <c r="J40" s="371"/>
      <c r="K40" s="371"/>
      <c r="L40" s="375" t="s">
        <v>380</v>
      </c>
      <c r="M40" s="375" t="s">
        <v>453</v>
      </c>
      <c r="N40" s="375" t="s">
        <v>456</v>
      </c>
      <c r="O40" s="371"/>
      <c r="P40" s="371"/>
      <c r="Q40" s="371"/>
      <c r="R40" s="371"/>
      <c r="S40" s="371"/>
      <c r="T40" s="371"/>
      <c r="U40" s="371"/>
      <c r="V40" s="371"/>
    </row>
    <row r="41" ht="15.75" customHeight="1">
      <c r="A41" s="372">
        <v>0.4722222222222222</v>
      </c>
      <c r="B41" s="371"/>
      <c r="C41" s="371"/>
      <c r="D41" s="371"/>
      <c r="E41" s="371"/>
      <c r="F41" s="371" t="s">
        <v>462</v>
      </c>
      <c r="G41" s="371" t="s">
        <v>588</v>
      </c>
      <c r="H41" s="371"/>
      <c r="I41" s="374"/>
      <c r="J41" s="371"/>
      <c r="K41" s="371"/>
      <c r="L41" s="375" t="s">
        <v>589</v>
      </c>
      <c r="M41" s="375" t="s">
        <v>457</v>
      </c>
      <c r="N41" s="375" t="s">
        <v>590</v>
      </c>
      <c r="O41" s="371"/>
      <c r="P41" s="371"/>
      <c r="Q41" s="371"/>
      <c r="R41" s="371"/>
      <c r="S41" s="371"/>
      <c r="T41" s="371"/>
      <c r="U41" s="371"/>
      <c r="V41" s="371"/>
    </row>
    <row r="42" ht="15.75" customHeight="1">
      <c r="A42" s="372">
        <v>0.4756944444444444</v>
      </c>
      <c r="B42" s="371"/>
      <c r="C42" s="371"/>
      <c r="D42" s="371"/>
      <c r="E42" s="371"/>
      <c r="F42" s="371" t="s">
        <v>462</v>
      </c>
      <c r="G42" s="371" t="s">
        <v>591</v>
      </c>
      <c r="H42" s="371"/>
      <c r="I42" s="374"/>
      <c r="J42" s="371"/>
      <c r="K42" s="371"/>
      <c r="L42" s="375" t="s">
        <v>568</v>
      </c>
      <c r="M42" s="375" t="s">
        <v>457</v>
      </c>
      <c r="N42" s="375" t="s">
        <v>461</v>
      </c>
      <c r="O42" s="371"/>
      <c r="P42" s="371"/>
      <c r="Q42" s="371"/>
      <c r="R42" s="371"/>
      <c r="S42" s="371"/>
      <c r="T42" s="371"/>
      <c r="U42" s="371"/>
      <c r="V42" s="371"/>
    </row>
    <row r="43" ht="15.75" customHeight="1">
      <c r="A43" s="372">
        <v>0.4791666666666667</v>
      </c>
      <c r="B43" s="371"/>
      <c r="C43" s="371"/>
      <c r="D43" s="371"/>
      <c r="E43" s="371"/>
      <c r="F43" s="371" t="s">
        <v>383</v>
      </c>
      <c r="G43" s="371" t="s">
        <v>242</v>
      </c>
      <c r="H43" s="371"/>
      <c r="I43" s="374"/>
      <c r="J43" s="371"/>
      <c r="K43" s="371"/>
      <c r="L43" s="375"/>
      <c r="M43" s="375" t="s">
        <v>462</v>
      </c>
      <c r="N43" s="375" t="s">
        <v>463</v>
      </c>
      <c r="O43" s="371"/>
      <c r="P43" s="371"/>
      <c r="Q43" s="371"/>
      <c r="R43" s="371"/>
      <c r="S43" s="371"/>
      <c r="T43" s="371"/>
      <c r="U43" s="371"/>
      <c r="V43" s="371"/>
    </row>
    <row r="44" ht="15.75" customHeight="1">
      <c r="A44" s="372">
        <v>0.4826388888888889</v>
      </c>
      <c r="B44" s="371"/>
      <c r="C44" s="371"/>
      <c r="D44" s="371"/>
      <c r="E44" s="371"/>
      <c r="F44" s="371" t="s">
        <v>383</v>
      </c>
      <c r="G44" s="371" t="s">
        <v>592</v>
      </c>
      <c r="H44" s="371"/>
      <c r="I44" s="374"/>
      <c r="J44" s="371"/>
      <c r="K44" s="371"/>
      <c r="L44" s="375"/>
      <c r="M44" s="375" t="s">
        <v>462</v>
      </c>
      <c r="N44" s="375" t="s">
        <v>464</v>
      </c>
      <c r="O44" s="371"/>
      <c r="P44" s="371"/>
      <c r="Q44" s="371"/>
      <c r="R44" s="371"/>
      <c r="S44" s="371"/>
      <c r="T44" s="371"/>
      <c r="U44" s="371"/>
      <c r="V44" s="371"/>
    </row>
    <row r="45" ht="15.75" customHeight="1">
      <c r="A45" s="372">
        <v>0.4861111111111111</v>
      </c>
      <c r="B45" s="371"/>
      <c r="C45" s="371"/>
      <c r="D45" s="371"/>
      <c r="E45" s="371"/>
      <c r="F45" s="371" t="s">
        <v>383</v>
      </c>
      <c r="G45" s="371" t="s">
        <v>593</v>
      </c>
      <c r="H45" s="371"/>
      <c r="I45" s="374"/>
      <c r="J45" s="371"/>
      <c r="K45" s="371"/>
      <c r="L45" s="375"/>
      <c r="M45" s="375" t="s">
        <v>383</v>
      </c>
      <c r="N45" s="375" t="s">
        <v>465</v>
      </c>
      <c r="O45" s="371"/>
      <c r="P45" s="371"/>
      <c r="Q45" s="371"/>
      <c r="R45" s="371"/>
      <c r="S45" s="371"/>
      <c r="T45" s="371"/>
      <c r="U45" s="371"/>
      <c r="V45" s="371"/>
    </row>
    <row r="46" ht="15.75" customHeight="1">
      <c r="A46" s="372">
        <v>0.4895833333333333</v>
      </c>
      <c r="B46" s="371"/>
      <c r="C46" s="371"/>
      <c r="D46" s="371"/>
      <c r="E46" s="371"/>
      <c r="F46" s="371" t="s">
        <v>383</v>
      </c>
      <c r="G46" s="371" t="s">
        <v>594</v>
      </c>
      <c r="H46" s="371"/>
      <c r="I46" s="374"/>
      <c r="J46" s="371"/>
      <c r="K46" s="371"/>
      <c r="L46" s="375"/>
      <c r="M46" s="375" t="s">
        <v>383</v>
      </c>
      <c r="N46" s="375" t="s">
        <v>151</v>
      </c>
      <c r="O46" s="371"/>
      <c r="P46" s="371"/>
      <c r="Q46" s="371"/>
      <c r="R46" s="371"/>
      <c r="S46" s="371"/>
      <c r="T46" s="371"/>
      <c r="U46" s="371"/>
      <c r="V46" s="371"/>
    </row>
    <row r="47" ht="15.75" customHeight="1">
      <c r="A47" s="372">
        <v>0.4930555555555556</v>
      </c>
      <c r="B47" s="371"/>
      <c r="C47" s="371"/>
      <c r="D47" s="371"/>
      <c r="E47" s="371"/>
      <c r="F47" s="371" t="s">
        <v>383</v>
      </c>
      <c r="G47" s="371" t="s">
        <v>595</v>
      </c>
      <c r="H47" s="371"/>
      <c r="I47" s="374"/>
      <c r="J47" s="371"/>
      <c r="K47" s="371"/>
      <c r="L47" s="375"/>
      <c r="M47" s="375" t="s">
        <v>383</v>
      </c>
      <c r="N47" s="375" t="s">
        <v>384</v>
      </c>
      <c r="O47" s="371"/>
      <c r="P47" s="371"/>
      <c r="Q47" s="371"/>
      <c r="R47" s="371"/>
      <c r="S47" s="371"/>
      <c r="T47" s="371"/>
      <c r="U47" s="371"/>
      <c r="V47" s="371"/>
    </row>
    <row r="48" ht="15.75" customHeight="1">
      <c r="A48" s="372">
        <v>0.4965277777777778</v>
      </c>
      <c r="B48" s="371"/>
      <c r="C48" s="371"/>
      <c r="D48" s="371"/>
      <c r="E48" s="371"/>
      <c r="F48" s="371" t="s">
        <v>383</v>
      </c>
      <c r="G48" s="371" t="s">
        <v>596</v>
      </c>
      <c r="H48" s="371"/>
      <c r="I48" s="374"/>
      <c r="J48" s="371"/>
      <c r="K48" s="371"/>
      <c r="L48" s="375"/>
      <c r="M48" s="375" t="s">
        <v>383</v>
      </c>
      <c r="N48" s="375" t="s">
        <v>385</v>
      </c>
      <c r="O48" s="371"/>
      <c r="P48" s="371"/>
      <c r="Q48" s="371"/>
      <c r="R48" s="371"/>
      <c r="S48" s="371"/>
      <c r="T48" s="371"/>
      <c r="U48" s="371"/>
      <c r="V48" s="371"/>
    </row>
    <row r="49" ht="15.75" customHeight="1">
      <c r="A49" s="372">
        <v>0.5</v>
      </c>
      <c r="B49" s="371"/>
      <c r="C49" s="371"/>
      <c r="D49" s="371"/>
      <c r="E49" s="371"/>
      <c r="F49" s="371" t="s">
        <v>383</v>
      </c>
      <c r="G49" s="371" t="s">
        <v>597</v>
      </c>
      <c r="H49" s="371"/>
      <c r="I49" s="374"/>
      <c r="J49" s="371"/>
      <c r="K49" s="371"/>
      <c r="L49" s="375"/>
      <c r="M49" s="375" t="s">
        <v>466</v>
      </c>
      <c r="N49" s="375" t="s">
        <v>467</v>
      </c>
      <c r="O49" s="371"/>
      <c r="P49" s="371"/>
      <c r="Q49" s="371"/>
      <c r="R49" s="371"/>
      <c r="S49" s="371"/>
      <c r="T49" s="371"/>
      <c r="U49" s="371"/>
      <c r="V49" s="371"/>
    </row>
    <row r="50" ht="15.75" customHeight="1">
      <c r="A50" s="372">
        <v>0.5034722222222222</v>
      </c>
      <c r="B50" s="371"/>
      <c r="C50" s="371"/>
      <c r="D50" s="371"/>
      <c r="E50" s="371"/>
      <c r="F50" s="371" t="s">
        <v>383</v>
      </c>
      <c r="G50" s="371" t="s">
        <v>598</v>
      </c>
      <c r="H50" s="371"/>
      <c r="I50" s="374"/>
      <c r="J50" s="371"/>
      <c r="K50" s="371"/>
      <c r="L50" s="375"/>
      <c r="M50" s="375" t="s">
        <v>466</v>
      </c>
      <c r="N50" s="375" t="s">
        <v>468</v>
      </c>
      <c r="O50" s="371"/>
      <c r="P50" s="371"/>
      <c r="Q50" s="371"/>
      <c r="R50" s="371"/>
      <c r="S50" s="371"/>
      <c r="T50" s="371"/>
      <c r="U50" s="371"/>
      <c r="V50" s="371"/>
    </row>
    <row r="51" ht="15.75" customHeight="1">
      <c r="A51" s="372">
        <v>0.5069444444444444</v>
      </c>
      <c r="B51" s="371"/>
      <c r="C51" s="371"/>
      <c r="D51" s="371"/>
      <c r="E51" s="371"/>
      <c r="F51" s="371" t="s">
        <v>383</v>
      </c>
      <c r="G51" s="371" t="s">
        <v>599</v>
      </c>
      <c r="H51" s="371"/>
      <c r="I51" s="374"/>
      <c r="J51" s="371"/>
      <c r="K51" s="371"/>
      <c r="L51" s="375"/>
      <c r="M51" s="375" t="s">
        <v>167</v>
      </c>
      <c r="N51" s="375" t="s">
        <v>480</v>
      </c>
      <c r="O51" s="371"/>
      <c r="P51" s="371"/>
      <c r="Q51" s="371"/>
      <c r="R51" s="371"/>
      <c r="S51" s="371"/>
      <c r="T51" s="371"/>
      <c r="U51" s="371"/>
      <c r="V51" s="371"/>
    </row>
    <row r="52" ht="15.75" customHeight="1">
      <c r="A52" s="372">
        <v>0.5104166666666666</v>
      </c>
      <c r="B52" s="371"/>
      <c r="C52" s="371"/>
      <c r="D52" s="371"/>
      <c r="E52" s="371"/>
      <c r="F52" s="371" t="s">
        <v>383</v>
      </c>
      <c r="G52" s="371" t="s">
        <v>600</v>
      </c>
      <c r="H52" s="371"/>
      <c r="I52" s="374"/>
      <c r="J52" s="371"/>
      <c r="K52" s="371"/>
      <c r="L52" s="375"/>
      <c r="M52" s="375" t="s">
        <v>167</v>
      </c>
      <c r="N52" s="375" t="s">
        <v>483</v>
      </c>
      <c r="O52" s="371"/>
      <c r="P52" s="371"/>
      <c r="Q52" s="371"/>
      <c r="R52" s="371"/>
      <c r="S52" s="371"/>
      <c r="T52" s="371"/>
      <c r="U52" s="371"/>
      <c r="V52" s="371"/>
    </row>
    <row r="53" ht="15.75" customHeight="1">
      <c r="A53" s="372">
        <v>0.5138888888888888</v>
      </c>
      <c r="B53" s="371"/>
      <c r="C53" s="371"/>
      <c r="D53" s="371"/>
      <c r="E53" s="371"/>
      <c r="F53" s="371" t="s">
        <v>383</v>
      </c>
      <c r="G53" s="371" t="s">
        <v>601</v>
      </c>
      <c r="H53" s="371"/>
      <c r="I53" s="374"/>
      <c r="J53" s="371"/>
      <c r="K53" s="371"/>
      <c r="L53" s="375"/>
      <c r="M53" s="375" t="s">
        <v>167</v>
      </c>
      <c r="N53" s="375" t="s">
        <v>487</v>
      </c>
      <c r="O53" s="371"/>
      <c r="P53" s="371"/>
      <c r="Q53" s="371"/>
      <c r="R53" s="371"/>
      <c r="S53" s="371"/>
      <c r="T53" s="371"/>
      <c r="U53" s="371"/>
      <c r="V53" s="371"/>
    </row>
    <row r="54" ht="15.75" customHeight="1">
      <c r="A54" s="372">
        <v>0.5173611111111112</v>
      </c>
      <c r="B54" s="371"/>
      <c r="C54" s="371"/>
      <c r="D54" s="371"/>
      <c r="E54" s="371"/>
      <c r="F54" s="371" t="s">
        <v>466</v>
      </c>
      <c r="G54" s="371" t="s">
        <v>602</v>
      </c>
      <c r="H54" s="371"/>
      <c r="I54" s="374"/>
      <c r="J54" s="371"/>
      <c r="K54" s="371"/>
      <c r="L54" s="375"/>
      <c r="M54" s="375" t="s">
        <v>167</v>
      </c>
      <c r="N54" s="375" t="s">
        <v>477</v>
      </c>
      <c r="O54" s="371"/>
      <c r="P54" s="371"/>
      <c r="Q54" s="371"/>
      <c r="R54" s="371"/>
      <c r="S54" s="371"/>
      <c r="T54" s="371"/>
      <c r="U54" s="371"/>
      <c r="V54" s="371"/>
    </row>
    <row r="55" ht="15.75" customHeight="1">
      <c r="A55" s="372">
        <v>0.5208333333333334</v>
      </c>
      <c r="B55" s="371"/>
      <c r="C55" s="371"/>
      <c r="D55" s="371"/>
      <c r="E55" s="371"/>
      <c r="F55" s="371" t="s">
        <v>466</v>
      </c>
      <c r="G55" s="371" t="s">
        <v>603</v>
      </c>
      <c r="H55" s="371"/>
      <c r="I55" s="374"/>
      <c r="J55" s="371"/>
      <c r="K55" s="371"/>
      <c r="L55" s="375"/>
      <c r="M55" s="375" t="s">
        <v>469</v>
      </c>
      <c r="N55" s="375" t="s">
        <v>470</v>
      </c>
      <c r="O55" s="371"/>
      <c r="P55" s="371"/>
      <c r="Q55" s="371"/>
      <c r="R55" s="371"/>
      <c r="S55" s="371"/>
      <c r="T55" s="371"/>
      <c r="U55" s="371"/>
      <c r="V55" s="371"/>
    </row>
    <row r="56" ht="15.75" customHeight="1">
      <c r="A56" s="372">
        <v>0.5243055555555556</v>
      </c>
      <c r="B56" s="371"/>
      <c r="C56" s="371"/>
      <c r="D56" s="371"/>
      <c r="E56" s="371"/>
      <c r="F56" s="371" t="s">
        <v>466</v>
      </c>
      <c r="G56" s="371" t="s">
        <v>604</v>
      </c>
      <c r="H56" s="371"/>
      <c r="I56" s="374"/>
      <c r="J56" s="371"/>
      <c r="K56" s="371"/>
      <c r="L56" s="375"/>
      <c r="M56" s="375" t="s">
        <v>469</v>
      </c>
      <c r="N56" s="375" t="s">
        <v>472</v>
      </c>
      <c r="O56" s="371"/>
      <c r="P56" s="371"/>
      <c r="Q56" s="371"/>
      <c r="R56" s="371"/>
      <c r="S56" s="371"/>
      <c r="T56" s="371"/>
      <c r="U56" s="371"/>
      <c r="V56" s="371"/>
    </row>
    <row r="57" ht="15.75" customHeight="1">
      <c r="A57" s="372">
        <v>0.5277777777777778</v>
      </c>
      <c r="B57" s="371"/>
      <c r="C57" s="371"/>
      <c r="D57" s="371"/>
      <c r="E57" s="371"/>
      <c r="F57" s="371" t="s">
        <v>466</v>
      </c>
      <c r="G57" s="371" t="s">
        <v>605</v>
      </c>
      <c r="H57" s="371"/>
      <c r="I57" s="374"/>
      <c r="J57" s="371"/>
      <c r="K57" s="371"/>
      <c r="L57" s="377"/>
      <c r="M57" s="375" t="s">
        <v>469</v>
      </c>
      <c r="N57" s="375" t="s">
        <v>473</v>
      </c>
      <c r="O57" s="371"/>
      <c r="P57" s="371"/>
      <c r="Q57" s="371"/>
      <c r="R57" s="371"/>
      <c r="S57" s="371"/>
      <c r="T57" s="371"/>
      <c r="U57" s="371"/>
      <c r="V57" s="371"/>
    </row>
    <row r="58" ht="15.75" customHeight="1">
      <c r="A58" s="372">
        <v>0.53125</v>
      </c>
      <c r="B58" s="371"/>
      <c r="C58" s="371"/>
      <c r="D58" s="371"/>
      <c r="E58" s="371"/>
      <c r="F58" s="371" t="s">
        <v>466</v>
      </c>
      <c r="G58" s="371" t="s">
        <v>606</v>
      </c>
      <c r="H58" s="371"/>
      <c r="I58" s="374"/>
      <c r="J58" s="371"/>
      <c r="K58" s="371"/>
      <c r="L58" s="375"/>
      <c r="M58" s="375" t="s">
        <v>469</v>
      </c>
      <c r="N58" s="375" t="s">
        <v>607</v>
      </c>
      <c r="O58" s="371"/>
      <c r="P58" s="371"/>
      <c r="Q58" s="371"/>
      <c r="R58" s="371"/>
      <c r="S58" s="371"/>
      <c r="T58" s="371"/>
      <c r="U58" s="371"/>
      <c r="V58" s="371"/>
    </row>
    <row r="59" ht="15.75" customHeight="1">
      <c r="A59" s="372">
        <v>0.5347222222222222</v>
      </c>
      <c r="B59" s="371"/>
      <c r="C59" s="371"/>
      <c r="D59" s="371"/>
      <c r="E59" s="371"/>
      <c r="F59" s="371" t="s">
        <v>466</v>
      </c>
      <c r="G59" s="371" t="s">
        <v>608</v>
      </c>
      <c r="H59" s="371"/>
      <c r="I59" s="374"/>
      <c r="J59" s="371"/>
      <c r="K59" s="371"/>
      <c r="L59" s="375"/>
      <c r="M59" s="375" t="s">
        <v>589</v>
      </c>
      <c r="N59" s="375" t="s">
        <v>609</v>
      </c>
      <c r="O59" s="371"/>
      <c r="P59" s="371"/>
      <c r="Q59" s="371"/>
      <c r="R59" s="371"/>
      <c r="S59" s="371"/>
      <c r="T59" s="371"/>
      <c r="U59" s="371"/>
      <c r="V59" s="371"/>
    </row>
    <row r="60" ht="15.75" customHeight="1">
      <c r="A60" s="372">
        <v>0.5381944444444444</v>
      </c>
      <c r="B60" s="371"/>
      <c r="C60" s="371"/>
      <c r="D60" s="371"/>
      <c r="E60" s="371"/>
      <c r="F60" s="371" t="s">
        <v>466</v>
      </c>
      <c r="G60" s="371" t="s">
        <v>610</v>
      </c>
      <c r="H60" s="371"/>
      <c r="I60" s="374"/>
      <c r="J60" s="371"/>
      <c r="K60" s="371"/>
      <c r="L60" s="375"/>
      <c r="M60" s="375"/>
      <c r="N60" s="375"/>
      <c r="O60" s="371"/>
      <c r="P60" s="371"/>
      <c r="Q60" s="371"/>
      <c r="R60" s="371"/>
      <c r="S60" s="371"/>
      <c r="T60" s="371"/>
      <c r="U60" s="371"/>
      <c r="V60" s="371"/>
    </row>
    <row r="61" ht="15.75" customHeight="1">
      <c r="A61" s="372">
        <v>0.5416666666666666</v>
      </c>
      <c r="B61" s="371"/>
      <c r="C61" s="371"/>
      <c r="D61" s="371"/>
      <c r="E61" s="371"/>
      <c r="F61" s="371" t="s">
        <v>466</v>
      </c>
      <c r="G61" s="371" t="s">
        <v>611</v>
      </c>
      <c r="H61" s="371"/>
      <c r="I61" s="374"/>
      <c r="J61" s="371"/>
      <c r="K61" s="371"/>
      <c r="L61" s="375"/>
      <c r="M61" s="375"/>
      <c r="N61" s="378"/>
      <c r="O61" s="371"/>
      <c r="P61" s="371"/>
      <c r="Q61" s="371"/>
      <c r="R61" s="371"/>
      <c r="S61" s="371"/>
      <c r="T61" s="371"/>
      <c r="U61" s="371"/>
      <c r="V61" s="371"/>
    </row>
    <row r="62" ht="15.75" customHeight="1">
      <c r="A62" s="372">
        <v>0.5451388888888888</v>
      </c>
      <c r="B62" s="371"/>
      <c r="C62" s="371"/>
      <c r="D62" s="371"/>
      <c r="E62" s="371"/>
      <c r="F62" s="371" t="s">
        <v>167</v>
      </c>
      <c r="G62" s="371" t="s">
        <v>612</v>
      </c>
      <c r="H62" s="371"/>
      <c r="I62" s="374"/>
      <c r="J62" s="371"/>
      <c r="K62" s="371"/>
      <c r="L62" s="375"/>
      <c r="M62" s="375"/>
      <c r="N62" s="375"/>
      <c r="O62" s="371"/>
      <c r="P62" s="371"/>
      <c r="Q62" s="371"/>
      <c r="R62" s="371"/>
      <c r="S62" s="371"/>
      <c r="T62" s="371"/>
      <c r="U62" s="371"/>
      <c r="V62" s="371"/>
    </row>
    <row r="63" ht="15.75" customHeight="1">
      <c r="A63" s="372">
        <v>0.5486111111111112</v>
      </c>
      <c r="B63" s="371"/>
      <c r="C63" s="371"/>
      <c r="D63" s="371"/>
      <c r="E63" s="371"/>
      <c r="F63" s="371" t="s">
        <v>167</v>
      </c>
      <c r="G63" s="371" t="s">
        <v>613</v>
      </c>
      <c r="H63" s="371"/>
      <c r="I63" s="374"/>
      <c r="J63" s="371"/>
      <c r="K63" s="371"/>
      <c r="L63" s="375"/>
      <c r="M63" s="375"/>
      <c r="N63" s="375"/>
      <c r="O63" s="371"/>
      <c r="P63" s="371"/>
      <c r="Q63" s="371"/>
      <c r="R63" s="371"/>
      <c r="S63" s="371"/>
      <c r="T63" s="371"/>
      <c r="U63" s="371"/>
      <c r="V63" s="371"/>
    </row>
    <row r="64" ht="15.75" customHeight="1">
      <c r="A64" s="372">
        <v>0.5520833333333334</v>
      </c>
      <c r="B64" s="371"/>
      <c r="C64" s="371"/>
      <c r="D64" s="371"/>
      <c r="E64" s="371"/>
      <c r="F64" s="371" t="s">
        <v>167</v>
      </c>
      <c r="G64" s="371" t="s">
        <v>614</v>
      </c>
      <c r="H64" s="371"/>
      <c r="I64" s="374"/>
      <c r="J64" s="371"/>
      <c r="K64" s="371"/>
      <c r="L64" s="375"/>
      <c r="M64" s="375"/>
      <c r="N64" s="375"/>
      <c r="O64" s="371"/>
      <c r="P64" s="371"/>
      <c r="Q64" s="371"/>
      <c r="R64" s="371"/>
      <c r="S64" s="371"/>
      <c r="T64" s="371"/>
      <c r="U64" s="371"/>
      <c r="V64" s="371"/>
    </row>
    <row r="65" ht="15.75" customHeight="1">
      <c r="A65" s="372">
        <v>0.5555555555555556</v>
      </c>
      <c r="B65" s="371"/>
      <c r="C65" s="371"/>
      <c r="D65" s="371"/>
      <c r="E65" s="371"/>
      <c r="F65" s="371" t="s">
        <v>167</v>
      </c>
      <c r="G65" s="371" t="s">
        <v>615</v>
      </c>
      <c r="H65" s="371"/>
      <c r="I65" s="374"/>
      <c r="J65" s="371"/>
      <c r="K65" s="371"/>
      <c r="L65" s="375"/>
      <c r="M65" s="375"/>
      <c r="N65" s="375"/>
      <c r="O65" s="371"/>
      <c r="P65" s="371"/>
      <c r="Q65" s="371"/>
      <c r="R65" s="371"/>
      <c r="S65" s="371"/>
      <c r="T65" s="371"/>
      <c r="U65" s="371"/>
      <c r="V65" s="371"/>
    </row>
    <row r="66" ht="15.75" customHeight="1">
      <c r="A66" s="372">
        <v>0.5590277777777778</v>
      </c>
      <c r="B66" s="371"/>
      <c r="C66" s="371"/>
      <c r="D66" s="371"/>
      <c r="E66" s="371"/>
      <c r="F66" s="371" t="s">
        <v>167</v>
      </c>
      <c r="G66" s="371" t="s">
        <v>616</v>
      </c>
      <c r="H66" s="371"/>
      <c r="I66" s="374"/>
      <c r="J66" s="371"/>
      <c r="K66" s="371"/>
      <c r="L66" s="375"/>
      <c r="M66" s="375"/>
      <c r="N66" s="375"/>
      <c r="O66" s="371"/>
      <c r="P66" s="371"/>
      <c r="Q66" s="371"/>
      <c r="R66" s="371"/>
      <c r="S66" s="371"/>
      <c r="T66" s="371"/>
      <c r="U66" s="371"/>
      <c r="V66" s="371"/>
    </row>
    <row r="67" ht="15.75" customHeight="1">
      <c r="A67" s="372">
        <v>0.5625</v>
      </c>
      <c r="B67" s="371"/>
      <c r="C67" s="371"/>
      <c r="D67" s="371"/>
      <c r="E67" s="371"/>
      <c r="F67" s="371" t="s">
        <v>469</v>
      </c>
      <c r="G67" s="371" t="s">
        <v>617</v>
      </c>
      <c r="H67" s="371"/>
      <c r="I67" s="374"/>
      <c r="J67" s="371"/>
      <c r="K67" s="371"/>
      <c r="L67" s="375"/>
      <c r="M67" s="375"/>
      <c r="N67" s="375"/>
      <c r="O67" s="371"/>
      <c r="P67" s="371"/>
      <c r="Q67" s="371"/>
      <c r="R67" s="371"/>
      <c r="S67" s="371"/>
      <c r="T67" s="371"/>
      <c r="U67" s="371"/>
      <c r="V67" s="371"/>
    </row>
    <row r="68" ht="15.75" customHeight="1">
      <c r="A68" s="372">
        <v>0.5659722222222222</v>
      </c>
      <c r="B68" s="371"/>
      <c r="C68" s="371"/>
      <c r="D68" s="371"/>
      <c r="E68" s="371"/>
      <c r="F68" s="371" t="s">
        <v>469</v>
      </c>
      <c r="G68" s="371" t="s">
        <v>618</v>
      </c>
      <c r="H68" s="371"/>
      <c r="I68" s="374"/>
      <c r="J68" s="371"/>
      <c r="K68" s="371"/>
      <c r="L68" s="375"/>
      <c r="M68" s="375"/>
      <c r="N68" s="375"/>
      <c r="O68" s="371"/>
      <c r="P68" s="371"/>
      <c r="Q68" s="371"/>
      <c r="R68" s="371"/>
      <c r="S68" s="371"/>
      <c r="T68" s="371"/>
      <c r="U68" s="371"/>
      <c r="V68" s="371"/>
    </row>
    <row r="69" ht="15.75" customHeight="1">
      <c r="A69" s="372">
        <v>0.5694444444444444</v>
      </c>
      <c r="B69" s="371"/>
      <c r="C69" s="371"/>
      <c r="D69" s="371"/>
      <c r="E69" s="371"/>
      <c r="F69" s="371" t="s">
        <v>386</v>
      </c>
      <c r="G69" s="371" t="s">
        <v>619</v>
      </c>
      <c r="H69" s="371"/>
      <c r="I69" s="374"/>
      <c r="J69" s="371"/>
      <c r="K69" s="371"/>
      <c r="L69" s="375"/>
      <c r="M69" s="375"/>
      <c r="N69" s="375"/>
      <c r="O69" s="371"/>
      <c r="P69" s="371"/>
      <c r="Q69" s="371"/>
      <c r="R69" s="371"/>
      <c r="S69" s="371"/>
      <c r="T69" s="371"/>
      <c r="U69" s="371"/>
      <c r="V69" s="371"/>
    </row>
    <row r="70" ht="15.75" customHeight="1">
      <c r="A70" s="372">
        <v>0.5729166666666666</v>
      </c>
      <c r="B70" s="371"/>
      <c r="C70" s="371"/>
      <c r="D70" s="371"/>
      <c r="E70" s="371"/>
      <c r="F70" s="371" t="s">
        <v>386</v>
      </c>
      <c r="G70" s="371" t="s">
        <v>620</v>
      </c>
      <c r="H70" s="371"/>
      <c r="I70" s="374"/>
      <c r="J70" s="371"/>
      <c r="K70" s="371"/>
      <c r="L70" s="375"/>
      <c r="M70" s="375"/>
      <c r="N70" s="375"/>
      <c r="O70" s="371"/>
      <c r="P70" s="371"/>
      <c r="Q70" s="371"/>
      <c r="R70" s="371"/>
      <c r="S70" s="371"/>
      <c r="T70" s="371"/>
      <c r="U70" s="371"/>
      <c r="V70" s="371"/>
    </row>
    <row r="71" ht="15.75" customHeight="1">
      <c r="A71" s="372">
        <v>0.5763888888888888</v>
      </c>
      <c r="B71" s="371"/>
      <c r="C71" s="371"/>
      <c r="D71" s="371"/>
      <c r="E71" s="371"/>
      <c r="F71" s="371" t="s">
        <v>589</v>
      </c>
      <c r="G71" s="371" t="s">
        <v>621</v>
      </c>
      <c r="H71" s="371"/>
      <c r="I71" s="374"/>
      <c r="J71" s="371"/>
      <c r="K71" s="371"/>
      <c r="L71" s="375"/>
      <c r="M71" s="375"/>
      <c r="N71" s="375"/>
      <c r="O71" s="371"/>
      <c r="P71" s="371"/>
      <c r="Q71" s="371"/>
      <c r="R71" s="371"/>
      <c r="S71" s="371"/>
      <c r="T71" s="371"/>
      <c r="U71" s="371"/>
      <c r="V71" s="371"/>
    </row>
    <row r="72" ht="15.75" customHeight="1">
      <c r="A72" s="372">
        <v>0.5798611111111112</v>
      </c>
      <c r="B72" s="371"/>
      <c r="C72" s="371"/>
      <c r="D72" s="371"/>
      <c r="E72" s="371"/>
      <c r="F72" s="371"/>
      <c r="G72" s="371"/>
      <c r="H72" s="371"/>
      <c r="I72" s="374"/>
      <c r="J72" s="371"/>
      <c r="K72" s="371"/>
      <c r="L72" s="375"/>
      <c r="M72" s="375"/>
      <c r="N72" s="375"/>
      <c r="O72" s="371"/>
      <c r="P72" s="371"/>
      <c r="Q72" s="371"/>
      <c r="R72" s="371"/>
      <c r="S72" s="371"/>
      <c r="T72" s="371"/>
      <c r="U72" s="371"/>
      <c r="V72" s="371"/>
    </row>
    <row r="73" ht="15.75" customHeight="1">
      <c r="A73" s="372">
        <v>0.5833333333333334</v>
      </c>
      <c r="B73" s="371"/>
      <c r="C73" s="371"/>
      <c r="D73" s="371"/>
      <c r="E73" s="371"/>
      <c r="F73" s="371"/>
      <c r="G73" s="371"/>
      <c r="H73" s="371"/>
      <c r="I73" s="374"/>
      <c r="J73" s="371"/>
      <c r="K73" s="371"/>
      <c r="L73" s="375"/>
      <c r="M73" s="375"/>
      <c r="N73" s="375"/>
      <c r="O73" s="371"/>
      <c r="P73" s="371"/>
      <c r="Q73" s="371"/>
      <c r="R73" s="371"/>
      <c r="S73" s="371"/>
      <c r="T73" s="371"/>
      <c r="U73" s="371"/>
      <c r="V73" s="371"/>
    </row>
    <row r="74" ht="15.75" customHeight="1">
      <c r="A74" s="372">
        <v>0.5868055555555556</v>
      </c>
      <c r="B74" s="371"/>
      <c r="C74" s="371"/>
      <c r="D74" s="371"/>
      <c r="E74" s="371"/>
      <c r="F74" s="371"/>
      <c r="G74" s="371"/>
      <c r="H74" s="371"/>
      <c r="I74" s="374"/>
      <c r="J74" s="371"/>
      <c r="K74" s="371"/>
      <c r="L74" s="375"/>
      <c r="M74" s="375"/>
      <c r="N74" s="375"/>
      <c r="O74" s="371"/>
      <c r="P74" s="371"/>
      <c r="Q74" s="371"/>
      <c r="R74" s="371"/>
      <c r="S74" s="371"/>
      <c r="T74" s="371"/>
      <c r="U74" s="371"/>
      <c r="V74" s="371"/>
    </row>
    <row r="75" ht="15.75" customHeight="1">
      <c r="A75" s="372">
        <v>0.5902777777777778</v>
      </c>
      <c r="B75" s="371"/>
      <c r="C75" s="371"/>
      <c r="D75" s="371"/>
      <c r="E75" s="371"/>
      <c r="F75" s="371"/>
      <c r="G75" s="371"/>
      <c r="H75" s="371"/>
      <c r="I75" s="374"/>
      <c r="J75" s="371"/>
      <c r="K75" s="371"/>
      <c r="L75" s="375"/>
      <c r="M75" s="375"/>
      <c r="N75" s="375"/>
      <c r="O75" s="371"/>
      <c r="P75" s="371"/>
      <c r="Q75" s="371"/>
      <c r="R75" s="371"/>
      <c r="S75" s="371"/>
      <c r="T75" s="371"/>
      <c r="U75" s="371"/>
      <c r="V75" s="371"/>
    </row>
    <row r="76" ht="15.75" customHeight="1">
      <c r="A76" s="372">
        <v>0.59375</v>
      </c>
      <c r="B76" s="371"/>
      <c r="C76" s="371"/>
      <c r="D76" s="371"/>
      <c r="E76" s="371"/>
      <c r="F76" s="371"/>
      <c r="G76" s="371"/>
      <c r="H76" s="371"/>
      <c r="I76" s="374"/>
      <c r="J76" s="371"/>
      <c r="K76" s="371"/>
      <c r="L76" s="375"/>
      <c r="M76" s="375"/>
      <c r="N76" s="375"/>
      <c r="O76" s="371"/>
      <c r="P76" s="371"/>
      <c r="Q76" s="371"/>
      <c r="R76" s="371"/>
      <c r="S76" s="371"/>
      <c r="T76" s="371"/>
      <c r="U76" s="371"/>
      <c r="V76" s="371"/>
    </row>
    <row r="77" ht="15.75" customHeight="1">
      <c r="A77" s="372">
        <v>0.5972222222222222</v>
      </c>
      <c r="B77" s="371"/>
      <c r="C77" s="371"/>
      <c r="D77" s="371"/>
      <c r="E77" s="371"/>
      <c r="F77" s="371"/>
      <c r="G77" s="371"/>
      <c r="H77" s="371"/>
      <c r="I77" s="374"/>
      <c r="J77" s="371"/>
      <c r="K77" s="371"/>
      <c r="L77" s="375"/>
      <c r="M77" s="375"/>
      <c r="N77" s="375"/>
      <c r="O77" s="371"/>
      <c r="P77" s="371"/>
      <c r="Q77" s="371"/>
      <c r="R77" s="371"/>
      <c r="S77" s="371"/>
      <c r="T77" s="371"/>
      <c r="U77" s="371"/>
      <c r="V77" s="371"/>
    </row>
    <row r="78" ht="15.75" customHeight="1">
      <c r="A78" s="372">
        <v>0.6006944444444444</v>
      </c>
      <c r="B78" s="371"/>
      <c r="C78" s="371"/>
      <c r="D78" s="371"/>
      <c r="E78" s="371"/>
      <c r="F78" s="371"/>
      <c r="G78" s="371"/>
      <c r="H78" s="371"/>
      <c r="I78" s="374"/>
      <c r="J78" s="371"/>
      <c r="K78" s="371"/>
      <c r="L78" s="375"/>
      <c r="M78" s="375"/>
      <c r="N78" s="375"/>
      <c r="O78" s="371"/>
      <c r="P78" s="371"/>
      <c r="Q78" s="371"/>
      <c r="R78" s="371"/>
      <c r="S78" s="371"/>
      <c r="T78" s="371"/>
      <c r="U78" s="371"/>
      <c r="V78" s="371"/>
    </row>
    <row r="79" ht="15.75" customHeight="1">
      <c r="A79" s="372">
        <v>0.6041666666666666</v>
      </c>
      <c r="B79" s="371"/>
      <c r="C79" s="371"/>
      <c r="D79" s="371"/>
      <c r="E79" s="371"/>
      <c r="F79" s="371"/>
      <c r="G79" s="371"/>
      <c r="H79" s="371"/>
      <c r="I79" s="374"/>
      <c r="J79" s="371"/>
      <c r="K79" s="371"/>
      <c r="L79" s="375"/>
      <c r="M79" s="375"/>
      <c r="N79" s="375"/>
      <c r="O79" s="371"/>
      <c r="P79" s="371"/>
      <c r="Q79" s="371"/>
      <c r="R79" s="371"/>
      <c r="S79" s="371"/>
      <c r="T79" s="371"/>
      <c r="U79" s="371"/>
      <c r="V79" s="371"/>
    </row>
    <row r="80" ht="15.75" customHeight="1">
      <c r="A80" s="372">
        <v>0.6076388888888888</v>
      </c>
      <c r="B80" s="371"/>
      <c r="C80" s="371"/>
      <c r="D80" s="371"/>
      <c r="E80" s="371"/>
      <c r="F80" s="371"/>
      <c r="G80" s="371"/>
      <c r="H80" s="371"/>
      <c r="I80" s="374"/>
      <c r="J80" s="371"/>
      <c r="K80" s="371"/>
      <c r="L80" s="375"/>
      <c r="M80" s="375"/>
      <c r="N80" s="375"/>
      <c r="O80" s="371"/>
      <c r="P80" s="371"/>
      <c r="Q80" s="371"/>
      <c r="R80" s="371"/>
      <c r="S80" s="371"/>
      <c r="T80" s="371"/>
      <c r="U80" s="371"/>
      <c r="V80" s="371"/>
    </row>
    <row r="81" ht="15.75" customHeight="1">
      <c r="A81" s="372">
        <v>0.6111111111111112</v>
      </c>
      <c r="B81" s="371"/>
      <c r="C81" s="371"/>
      <c r="D81" s="371"/>
      <c r="E81" s="371"/>
      <c r="F81" s="371"/>
      <c r="G81" s="371"/>
      <c r="H81" s="371"/>
      <c r="I81" s="374"/>
      <c r="J81" s="371"/>
      <c r="K81" s="371"/>
      <c r="L81" s="375"/>
      <c r="M81" s="375"/>
      <c r="N81" s="375"/>
      <c r="O81" s="371"/>
      <c r="P81" s="371"/>
      <c r="Q81" s="371"/>
      <c r="R81" s="371"/>
      <c r="S81" s="371"/>
      <c r="T81" s="371"/>
      <c r="U81" s="371"/>
      <c r="V81" s="371"/>
    </row>
    <row r="82" ht="15.75" customHeight="1">
      <c r="A82" s="372">
        <v>0.6145833333333334</v>
      </c>
      <c r="B82" s="371"/>
      <c r="C82" s="371"/>
      <c r="D82" s="371"/>
      <c r="E82" s="371"/>
      <c r="F82" s="371"/>
      <c r="G82" s="371"/>
      <c r="H82" s="371"/>
      <c r="I82" s="374"/>
      <c r="J82" s="371"/>
      <c r="K82" s="371"/>
      <c r="L82" s="375"/>
      <c r="M82" s="375"/>
      <c r="N82" s="375"/>
      <c r="O82" s="371"/>
      <c r="P82" s="371"/>
      <c r="Q82" s="371"/>
      <c r="R82" s="371"/>
      <c r="S82" s="371"/>
      <c r="T82" s="371"/>
      <c r="U82" s="371"/>
      <c r="V82" s="371"/>
    </row>
    <row r="83" ht="15.75" customHeight="1">
      <c r="A83" s="372">
        <v>0.6180555555555556</v>
      </c>
      <c r="B83" s="371"/>
      <c r="C83" s="371"/>
      <c r="D83" s="371"/>
      <c r="E83" s="371"/>
      <c r="F83" s="371"/>
      <c r="G83" s="371"/>
      <c r="H83" s="371"/>
      <c r="I83" s="374"/>
      <c r="J83" s="371"/>
      <c r="K83" s="371"/>
      <c r="L83" s="375"/>
      <c r="M83" s="375"/>
      <c r="N83" s="375"/>
      <c r="O83" s="371"/>
      <c r="P83" s="371"/>
      <c r="Q83" s="371"/>
      <c r="R83" s="371"/>
      <c r="S83" s="371"/>
      <c r="T83" s="371"/>
      <c r="U83" s="371"/>
      <c r="V83" s="371"/>
    </row>
    <row r="84" ht="15.75" customHeight="1">
      <c r="A84" s="372">
        <v>0.6215277777777778</v>
      </c>
      <c r="B84" s="371"/>
      <c r="C84" s="371"/>
      <c r="D84" s="371"/>
      <c r="E84" s="371"/>
      <c r="F84" s="371"/>
      <c r="G84" s="371"/>
      <c r="H84" s="371"/>
      <c r="I84" s="374"/>
      <c r="J84" s="371"/>
      <c r="K84" s="371"/>
      <c r="L84" s="375"/>
      <c r="M84" s="375"/>
      <c r="N84" s="375"/>
      <c r="O84" s="371"/>
      <c r="P84" s="371"/>
      <c r="Q84" s="371"/>
      <c r="R84" s="371"/>
      <c r="S84" s="371"/>
      <c r="T84" s="371"/>
      <c r="U84" s="371"/>
      <c r="V84" s="371"/>
    </row>
    <row r="85" ht="15.75" customHeight="1">
      <c r="A85" s="372">
        <v>0.625</v>
      </c>
      <c r="B85" s="371"/>
      <c r="C85" s="371"/>
      <c r="D85" s="371"/>
      <c r="E85" s="371"/>
      <c r="F85" s="371"/>
      <c r="G85" s="371"/>
      <c r="H85" s="371"/>
      <c r="I85" s="374"/>
      <c r="J85" s="371"/>
      <c r="K85" s="371"/>
      <c r="L85" s="375"/>
      <c r="M85" s="375"/>
      <c r="N85" s="375"/>
      <c r="O85" s="371"/>
      <c r="P85" s="371"/>
      <c r="Q85" s="371"/>
      <c r="R85" s="371"/>
      <c r="S85" s="371"/>
      <c r="T85" s="371"/>
      <c r="U85" s="371"/>
      <c r="V85" s="371"/>
    </row>
    <row r="86" ht="15.75" customHeight="1">
      <c r="A86" s="372">
        <v>0.6284722222222222</v>
      </c>
      <c r="B86" s="371"/>
      <c r="C86" s="371"/>
      <c r="D86" s="371"/>
      <c r="E86" s="371"/>
      <c r="F86" s="371"/>
      <c r="G86" s="371"/>
      <c r="H86" s="371"/>
      <c r="I86" s="374"/>
      <c r="J86" s="371"/>
      <c r="K86" s="371"/>
      <c r="L86" s="375"/>
      <c r="M86" s="375"/>
      <c r="N86" s="375"/>
      <c r="O86" s="371"/>
      <c r="P86" s="371"/>
      <c r="Q86" s="371"/>
      <c r="R86" s="371"/>
      <c r="S86" s="371"/>
      <c r="T86" s="371"/>
      <c r="U86" s="371"/>
      <c r="V86" s="371"/>
    </row>
    <row r="87" ht="15.75" customHeight="1">
      <c r="A87" s="372">
        <v>0.6319444444444444</v>
      </c>
      <c r="B87" s="371"/>
      <c r="C87" s="371"/>
      <c r="D87" s="371"/>
      <c r="E87" s="371"/>
      <c r="F87" s="371"/>
      <c r="G87" s="371"/>
      <c r="H87" s="371"/>
      <c r="I87" s="374"/>
      <c r="J87" s="371"/>
      <c r="K87" s="371"/>
      <c r="L87" s="375"/>
      <c r="M87" s="375"/>
      <c r="N87" s="375"/>
      <c r="O87" s="371"/>
      <c r="P87" s="371"/>
      <c r="Q87" s="371"/>
      <c r="R87" s="371"/>
      <c r="S87" s="371"/>
      <c r="T87" s="371"/>
      <c r="U87" s="371"/>
      <c r="V87" s="371"/>
    </row>
    <row r="88" ht="15.75" customHeight="1">
      <c r="A88" s="372">
        <v>0.6354166666666666</v>
      </c>
      <c r="B88" s="371"/>
      <c r="C88" s="371"/>
      <c r="D88" s="371"/>
      <c r="E88" s="371"/>
      <c r="F88" s="371"/>
      <c r="G88" s="371"/>
      <c r="H88" s="371"/>
      <c r="I88" s="374"/>
      <c r="J88" s="371"/>
      <c r="K88" s="371"/>
      <c r="L88" s="375"/>
      <c r="M88" s="375"/>
      <c r="N88" s="375"/>
      <c r="O88" s="371"/>
      <c r="P88" s="371"/>
      <c r="Q88" s="371"/>
      <c r="R88" s="371"/>
      <c r="S88" s="371"/>
      <c r="T88" s="371"/>
      <c r="U88" s="371"/>
      <c r="V88" s="371"/>
    </row>
    <row r="89" ht="15.75" customHeight="1">
      <c r="A89" s="372">
        <v>0.6388888888888888</v>
      </c>
      <c r="B89" s="371"/>
      <c r="C89" s="371"/>
      <c r="D89" s="371"/>
      <c r="E89" s="371"/>
      <c r="F89" s="371"/>
      <c r="G89" s="371"/>
      <c r="H89" s="371"/>
      <c r="I89" s="374"/>
      <c r="J89" s="371"/>
      <c r="K89" s="371"/>
      <c r="L89" s="375"/>
      <c r="M89" s="375"/>
      <c r="N89" s="375"/>
      <c r="O89" s="371"/>
      <c r="P89" s="371"/>
      <c r="Q89" s="371"/>
      <c r="R89" s="371"/>
      <c r="S89" s="371"/>
      <c r="T89" s="371"/>
      <c r="U89" s="371"/>
      <c r="V89" s="371"/>
    </row>
    <row r="90" ht="15.75" customHeight="1">
      <c r="A90" s="372">
        <v>0.6423611111111112</v>
      </c>
      <c r="B90" s="371"/>
      <c r="C90" s="371"/>
      <c r="D90" s="371"/>
      <c r="E90" s="371"/>
      <c r="F90" s="371"/>
      <c r="G90" s="371"/>
      <c r="H90" s="371"/>
      <c r="I90" s="374"/>
      <c r="J90" s="371"/>
      <c r="K90" s="371"/>
      <c r="L90" s="375"/>
      <c r="M90" s="375"/>
      <c r="N90" s="375"/>
      <c r="O90" s="371"/>
      <c r="P90" s="371"/>
      <c r="Q90" s="371"/>
      <c r="R90" s="371"/>
      <c r="S90" s="371"/>
      <c r="T90" s="371"/>
      <c r="U90" s="371"/>
      <c r="V90" s="371"/>
    </row>
    <row r="91" ht="15.75" customHeight="1">
      <c r="A91" s="372">
        <v>0.6458333333333334</v>
      </c>
      <c r="B91" s="371"/>
      <c r="C91" s="371"/>
      <c r="D91" s="371"/>
      <c r="E91" s="371"/>
      <c r="F91" s="371"/>
      <c r="G91" s="371"/>
      <c r="H91" s="371"/>
      <c r="I91" s="374"/>
      <c r="J91" s="371"/>
      <c r="K91" s="371"/>
      <c r="L91" s="375"/>
      <c r="M91" s="375"/>
      <c r="N91" s="375"/>
      <c r="O91" s="371"/>
      <c r="P91" s="371"/>
      <c r="Q91" s="371"/>
      <c r="R91" s="371"/>
      <c r="S91" s="371"/>
      <c r="T91" s="371"/>
      <c r="U91" s="371"/>
      <c r="V91" s="371"/>
    </row>
    <row r="92" ht="15.75" customHeight="1">
      <c r="A92" s="372">
        <v>0.6493055555555556</v>
      </c>
      <c r="B92" s="371"/>
      <c r="C92" s="371"/>
      <c r="D92" s="371"/>
      <c r="E92" s="371"/>
      <c r="F92" s="371"/>
      <c r="G92" s="371"/>
      <c r="H92" s="371"/>
      <c r="I92" s="374"/>
      <c r="J92" s="371"/>
      <c r="K92" s="371"/>
      <c r="L92" s="375"/>
      <c r="M92" s="375"/>
      <c r="N92" s="375"/>
      <c r="O92" s="371"/>
      <c r="P92" s="371"/>
      <c r="Q92" s="371"/>
      <c r="R92" s="371"/>
      <c r="S92" s="371"/>
      <c r="T92" s="371"/>
      <c r="U92" s="371"/>
      <c r="V92" s="371"/>
    </row>
    <row r="93" ht="15.75" customHeight="1">
      <c r="A93" s="372">
        <v>0.6527777777777778</v>
      </c>
      <c r="B93" s="371"/>
      <c r="C93" s="371"/>
      <c r="D93" s="371"/>
      <c r="E93" s="371"/>
      <c r="F93" s="371"/>
      <c r="G93" s="371"/>
      <c r="H93" s="371"/>
      <c r="I93" s="374"/>
      <c r="J93" s="371"/>
      <c r="K93" s="371"/>
      <c r="L93" s="375"/>
      <c r="M93" s="375"/>
      <c r="N93" s="375"/>
      <c r="O93" s="371"/>
      <c r="P93" s="371"/>
      <c r="Q93" s="371"/>
      <c r="R93" s="371"/>
      <c r="S93" s="371"/>
      <c r="T93" s="371"/>
      <c r="U93" s="371"/>
      <c r="V93" s="371"/>
    </row>
    <row r="94" ht="15.75" customHeight="1">
      <c r="A94" s="372">
        <v>0.65625</v>
      </c>
      <c r="B94" s="371"/>
      <c r="C94" s="371"/>
      <c r="D94" s="371"/>
      <c r="E94" s="371"/>
      <c r="F94" s="371"/>
      <c r="G94" s="371"/>
      <c r="H94" s="371"/>
      <c r="I94" s="374"/>
      <c r="J94" s="371"/>
      <c r="K94" s="371"/>
      <c r="L94" s="375"/>
      <c r="M94" s="375"/>
      <c r="N94" s="375"/>
      <c r="O94" s="371"/>
      <c r="P94" s="371"/>
      <c r="Q94" s="371"/>
      <c r="R94" s="371"/>
      <c r="S94" s="371"/>
      <c r="T94" s="371"/>
      <c r="U94" s="371"/>
      <c r="V94" s="371"/>
    </row>
    <row r="95" ht="15.75" customHeight="1">
      <c r="A95" s="372">
        <v>0.6597222222222222</v>
      </c>
      <c r="B95" s="371"/>
      <c r="C95" s="371"/>
      <c r="D95" s="371"/>
      <c r="E95" s="371"/>
      <c r="F95" s="371"/>
      <c r="G95" s="371"/>
      <c r="H95" s="371"/>
      <c r="I95" s="374"/>
      <c r="J95" s="371"/>
      <c r="K95" s="371"/>
      <c r="L95" s="375"/>
      <c r="M95" s="375"/>
      <c r="N95" s="375"/>
      <c r="O95" s="371"/>
      <c r="P95" s="371"/>
      <c r="Q95" s="371"/>
      <c r="R95" s="371"/>
      <c r="S95" s="371"/>
      <c r="T95" s="371"/>
      <c r="U95" s="371"/>
      <c r="V95" s="371"/>
    </row>
    <row r="96" ht="15.75" customHeight="1">
      <c r="A96" s="372">
        <v>0.6631944444444444</v>
      </c>
      <c r="B96" s="371"/>
      <c r="C96" s="371"/>
      <c r="D96" s="371"/>
      <c r="E96" s="371"/>
      <c r="F96" s="371"/>
      <c r="G96" s="371"/>
      <c r="H96" s="371"/>
      <c r="I96" s="374"/>
      <c r="J96" s="371"/>
      <c r="K96" s="371"/>
      <c r="L96" s="375"/>
      <c r="M96" s="375"/>
      <c r="N96" s="375"/>
      <c r="O96" s="371"/>
      <c r="P96" s="371"/>
      <c r="Q96" s="371"/>
      <c r="R96" s="371"/>
      <c r="S96" s="371"/>
      <c r="T96" s="371"/>
      <c r="U96" s="371"/>
      <c r="V96" s="371"/>
    </row>
    <row r="97" ht="15.75" customHeight="1">
      <c r="A97" s="372">
        <v>0.6666666666666666</v>
      </c>
      <c r="B97" s="371"/>
      <c r="C97" s="371"/>
      <c r="D97" s="371"/>
      <c r="E97" s="371"/>
      <c r="F97" s="371"/>
      <c r="G97" s="371"/>
      <c r="H97" s="371"/>
      <c r="I97" s="374"/>
      <c r="J97" s="371"/>
      <c r="K97" s="371"/>
      <c r="L97" s="375"/>
      <c r="M97" s="375"/>
      <c r="N97" s="375"/>
      <c r="O97" s="371"/>
      <c r="P97" s="371"/>
      <c r="Q97" s="371"/>
      <c r="R97" s="371"/>
      <c r="S97" s="371"/>
      <c r="T97" s="371"/>
      <c r="U97" s="371"/>
      <c r="V97" s="371"/>
    </row>
    <row r="98" ht="15.75" customHeight="1">
      <c r="A98" s="372">
        <v>0.6701388888888888</v>
      </c>
      <c r="B98" s="371"/>
      <c r="C98" s="371"/>
      <c r="D98" s="371"/>
      <c r="E98" s="371"/>
      <c r="F98" s="371"/>
      <c r="G98" s="371"/>
      <c r="H98" s="371"/>
      <c r="I98" s="374"/>
      <c r="J98" s="371"/>
      <c r="K98" s="371"/>
      <c r="L98" s="371"/>
      <c r="M98" s="375"/>
      <c r="N98" s="375"/>
      <c r="O98" s="371"/>
      <c r="P98" s="371"/>
      <c r="Q98" s="371"/>
      <c r="R98" s="371"/>
      <c r="S98" s="371"/>
      <c r="T98" s="371"/>
      <c r="U98" s="371"/>
      <c r="V98" s="371"/>
    </row>
    <row r="99" ht="15.75" customHeight="1">
      <c r="A99" s="372">
        <v>0.6736111111111112</v>
      </c>
      <c r="B99" s="371"/>
      <c r="C99" s="371"/>
      <c r="D99" s="371"/>
      <c r="E99" s="371"/>
      <c r="F99" s="371"/>
      <c r="G99" s="371"/>
      <c r="H99" s="371"/>
      <c r="I99" s="374"/>
      <c r="J99" s="371"/>
      <c r="K99" s="371"/>
      <c r="L99" s="371"/>
      <c r="M99" s="371"/>
      <c r="N99" s="371"/>
      <c r="O99" s="371"/>
      <c r="P99" s="371"/>
      <c r="Q99" s="371"/>
      <c r="R99" s="371"/>
      <c r="S99" s="371"/>
      <c r="T99" s="371"/>
      <c r="U99" s="371"/>
      <c r="V99" s="371"/>
    </row>
    <row r="100" ht="15.75" customHeight="1">
      <c r="A100" s="372">
        <v>0.6770833333333334</v>
      </c>
      <c r="B100" s="371"/>
      <c r="C100" s="371"/>
      <c r="D100" s="371"/>
      <c r="E100" s="371"/>
      <c r="F100" s="371"/>
      <c r="G100" s="371"/>
      <c r="H100" s="371"/>
      <c r="I100" s="374"/>
      <c r="J100" s="371"/>
      <c r="K100" s="371"/>
      <c r="L100" s="371"/>
      <c r="M100" s="371"/>
      <c r="N100" s="371"/>
      <c r="O100" s="371"/>
      <c r="P100" s="371"/>
      <c r="Q100" s="371"/>
      <c r="R100" s="371"/>
      <c r="S100" s="371"/>
      <c r="T100" s="371"/>
      <c r="U100" s="371"/>
      <c r="V100" s="371"/>
    </row>
    <row r="101" ht="15.75" customHeight="1">
      <c r="A101" s="372">
        <v>0.6805555555555556</v>
      </c>
      <c r="B101" s="371"/>
      <c r="C101" s="371"/>
      <c r="D101" s="371"/>
      <c r="E101" s="371"/>
      <c r="F101" s="371"/>
      <c r="G101" s="371"/>
      <c r="H101" s="371"/>
      <c r="I101" s="374"/>
      <c r="J101" s="371"/>
      <c r="K101" s="371"/>
      <c r="L101" s="371"/>
      <c r="M101" s="371"/>
      <c r="N101" s="371"/>
      <c r="O101" s="371"/>
      <c r="P101" s="371"/>
      <c r="Q101" s="371"/>
      <c r="R101" s="371"/>
      <c r="S101" s="371"/>
      <c r="T101" s="371"/>
      <c r="U101" s="371"/>
      <c r="V101" s="371"/>
    </row>
    <row r="102" ht="15.75" customHeight="1">
      <c r="A102" s="372">
        <v>0.6840277777777778</v>
      </c>
      <c r="B102" s="371"/>
      <c r="C102" s="371"/>
      <c r="D102" s="371"/>
      <c r="E102" s="371"/>
      <c r="F102" s="371"/>
      <c r="G102" s="371"/>
      <c r="H102" s="371"/>
      <c r="I102" s="374"/>
      <c r="J102" s="371"/>
      <c r="K102" s="371"/>
      <c r="L102" s="371"/>
      <c r="M102" s="371"/>
      <c r="N102" s="371"/>
      <c r="O102" s="371"/>
      <c r="P102" s="371"/>
      <c r="Q102" s="371"/>
      <c r="R102" s="371"/>
      <c r="S102" s="371"/>
      <c r="T102" s="371"/>
      <c r="U102" s="371"/>
      <c r="V102" s="371"/>
    </row>
    <row r="103" ht="15.75" customHeight="1">
      <c r="A103" s="372">
        <v>0.6875</v>
      </c>
      <c r="B103" s="371"/>
      <c r="C103" s="371"/>
      <c r="D103" s="371"/>
      <c r="E103" s="371"/>
      <c r="F103" s="371"/>
      <c r="G103" s="371"/>
      <c r="H103" s="371"/>
      <c r="I103" s="374"/>
      <c r="J103" s="371"/>
      <c r="K103" s="371"/>
      <c r="L103" s="371"/>
      <c r="M103" s="371"/>
      <c r="N103" s="371"/>
      <c r="O103" s="371"/>
      <c r="P103" s="371"/>
      <c r="Q103" s="371"/>
      <c r="R103" s="371"/>
      <c r="S103" s="371"/>
      <c r="T103" s="371"/>
      <c r="U103" s="371"/>
      <c r="V103" s="371"/>
    </row>
    <row r="104" ht="15.75" customHeight="1">
      <c r="A104" s="372">
        <v>0.6909722222222222</v>
      </c>
      <c r="B104" s="371"/>
      <c r="C104" s="371"/>
      <c r="D104" s="371"/>
      <c r="E104" s="371"/>
      <c r="F104" s="371"/>
      <c r="G104" s="371"/>
      <c r="H104" s="371"/>
      <c r="I104" s="374"/>
      <c r="J104" s="371"/>
      <c r="K104" s="371"/>
      <c r="L104" s="371"/>
      <c r="M104" s="371"/>
      <c r="N104" s="371"/>
      <c r="O104" s="371"/>
      <c r="P104" s="371"/>
      <c r="Q104" s="371"/>
      <c r="R104" s="371"/>
      <c r="S104" s="371"/>
      <c r="T104" s="371"/>
      <c r="U104" s="371"/>
      <c r="V104" s="371"/>
    </row>
    <row r="105" ht="15.75" customHeight="1">
      <c r="A105" s="372">
        <v>0.6944444444444444</v>
      </c>
      <c r="B105" s="371"/>
      <c r="C105" s="371"/>
      <c r="D105" s="371"/>
      <c r="E105" s="371"/>
      <c r="F105" s="371"/>
      <c r="G105" s="371"/>
      <c r="H105" s="371"/>
      <c r="I105" s="374"/>
      <c r="J105" s="371"/>
      <c r="K105" s="371"/>
      <c r="L105" s="371"/>
      <c r="M105" s="371"/>
      <c r="N105" s="371"/>
      <c r="O105" s="371"/>
      <c r="P105" s="371"/>
      <c r="Q105" s="371"/>
      <c r="R105" s="371"/>
      <c r="S105" s="371"/>
      <c r="T105" s="371"/>
      <c r="U105" s="371"/>
      <c r="V105" s="371"/>
    </row>
    <row r="106" ht="15.75" customHeight="1">
      <c r="A106" s="372">
        <v>0.6979166666666666</v>
      </c>
      <c r="B106" s="371"/>
      <c r="C106" s="371"/>
      <c r="D106" s="371"/>
      <c r="E106" s="371"/>
      <c r="F106" s="371"/>
      <c r="G106" s="371"/>
      <c r="H106" s="371"/>
      <c r="I106" s="374"/>
      <c r="J106" s="371"/>
      <c r="K106" s="371"/>
      <c r="L106" s="371"/>
      <c r="M106" s="371"/>
      <c r="N106" s="371"/>
      <c r="O106" s="371"/>
      <c r="P106" s="371"/>
      <c r="Q106" s="371"/>
      <c r="R106" s="371"/>
      <c r="S106" s="371"/>
      <c r="T106" s="371"/>
      <c r="U106" s="371"/>
      <c r="V106" s="371"/>
    </row>
    <row r="107" ht="15.75" customHeight="1">
      <c r="A107" s="372">
        <v>0.7013888888888888</v>
      </c>
      <c r="B107" s="371"/>
      <c r="C107" s="371"/>
      <c r="D107" s="371"/>
      <c r="E107" s="371"/>
      <c r="F107" s="371"/>
      <c r="G107" s="371"/>
      <c r="H107" s="371"/>
      <c r="I107" s="374"/>
      <c r="J107" s="371"/>
      <c r="K107" s="371"/>
      <c r="L107" s="371"/>
      <c r="M107" s="371"/>
      <c r="N107" s="371"/>
      <c r="O107" s="371"/>
      <c r="P107" s="371"/>
      <c r="Q107" s="371"/>
      <c r="R107" s="371"/>
      <c r="S107" s="371"/>
      <c r="T107" s="371"/>
      <c r="U107" s="371"/>
      <c r="V107" s="371"/>
    </row>
    <row r="108" ht="15.75" customHeight="1">
      <c r="A108" s="372">
        <v>0.7048611111111112</v>
      </c>
      <c r="B108" s="371"/>
      <c r="C108" s="371"/>
      <c r="D108" s="371"/>
      <c r="E108" s="371"/>
      <c r="F108" s="371"/>
      <c r="G108" s="371"/>
      <c r="H108" s="371"/>
      <c r="I108" s="374"/>
      <c r="J108" s="371"/>
      <c r="K108" s="371"/>
      <c r="L108" s="371"/>
      <c r="M108" s="371"/>
      <c r="N108" s="371"/>
      <c r="O108" s="371"/>
      <c r="P108" s="371"/>
      <c r="Q108" s="371"/>
      <c r="R108" s="371"/>
      <c r="S108" s="371"/>
      <c r="T108" s="371"/>
      <c r="U108" s="371"/>
      <c r="V108" s="371"/>
    </row>
    <row r="109" ht="15.75" customHeight="1">
      <c r="A109" s="372">
        <v>0.7083333333333334</v>
      </c>
      <c r="B109" s="371"/>
      <c r="C109" s="371"/>
      <c r="D109" s="371"/>
      <c r="E109" s="371"/>
      <c r="F109" s="371"/>
      <c r="G109" s="371"/>
      <c r="H109" s="371"/>
      <c r="I109" s="371"/>
      <c r="J109" s="371"/>
      <c r="K109" s="371"/>
      <c r="L109" s="371"/>
      <c r="M109" s="371"/>
      <c r="N109" s="371"/>
      <c r="O109" s="371"/>
      <c r="P109" s="371"/>
      <c r="Q109" s="371"/>
      <c r="R109" s="371"/>
      <c r="S109" s="371"/>
      <c r="T109" s="371"/>
      <c r="U109" s="371"/>
      <c r="V109" s="371"/>
    </row>
    <row r="110" ht="15.75" customHeight="1">
      <c r="A110" s="372">
        <v>0.7118055555555556</v>
      </c>
      <c r="B110" s="371"/>
      <c r="C110" s="371"/>
      <c r="D110" s="371"/>
      <c r="E110" s="371"/>
      <c r="F110" s="371"/>
      <c r="G110" s="371"/>
      <c r="H110" s="371"/>
      <c r="I110" s="371"/>
      <c r="J110" s="371"/>
      <c r="K110" s="371"/>
      <c r="L110" s="371"/>
      <c r="M110" s="371"/>
      <c r="N110" s="371"/>
      <c r="O110" s="371"/>
      <c r="P110" s="371"/>
      <c r="Q110" s="371"/>
      <c r="R110" s="371"/>
      <c r="S110" s="371"/>
      <c r="T110" s="371"/>
      <c r="U110" s="371"/>
      <c r="V110" s="371"/>
    </row>
    <row r="111" ht="15.75" customHeight="1">
      <c r="A111" s="372">
        <v>0.7152777777777778</v>
      </c>
      <c r="B111" s="371"/>
      <c r="C111" s="371"/>
      <c r="D111" s="371"/>
      <c r="E111" s="371"/>
      <c r="F111" s="371"/>
      <c r="G111" s="371"/>
      <c r="H111" s="371"/>
      <c r="I111" s="371"/>
      <c r="J111" s="371"/>
      <c r="K111" s="371"/>
      <c r="L111" s="371"/>
      <c r="M111" s="371"/>
      <c r="N111" s="371"/>
      <c r="O111" s="371"/>
      <c r="P111" s="371"/>
      <c r="Q111" s="371"/>
      <c r="R111" s="371"/>
      <c r="S111" s="371"/>
      <c r="T111" s="371"/>
      <c r="U111" s="371"/>
      <c r="V111" s="371"/>
    </row>
    <row r="112" ht="15.75" customHeight="1">
      <c r="A112" s="372">
        <v>0.71875</v>
      </c>
      <c r="B112" s="371"/>
      <c r="C112" s="371"/>
      <c r="D112" s="371"/>
      <c r="E112" s="371"/>
      <c r="F112" s="371"/>
      <c r="G112" s="371"/>
      <c r="H112" s="371"/>
      <c r="I112" s="371"/>
      <c r="J112" s="371"/>
      <c r="K112" s="371"/>
      <c r="L112" s="371"/>
      <c r="M112" s="371"/>
      <c r="N112" s="371"/>
      <c r="O112" s="371"/>
      <c r="P112" s="371"/>
      <c r="Q112" s="371"/>
      <c r="R112" s="371"/>
      <c r="S112" s="371"/>
      <c r="T112" s="371"/>
      <c r="U112" s="371"/>
      <c r="V112" s="371"/>
    </row>
    <row r="113" ht="15.75" customHeight="1">
      <c r="A113" s="372">
        <v>0.7222222222222222</v>
      </c>
      <c r="B113" s="371"/>
      <c r="C113" s="371"/>
      <c r="D113" s="371"/>
      <c r="E113" s="371"/>
      <c r="F113" s="371"/>
      <c r="G113" s="371"/>
      <c r="H113" s="371"/>
      <c r="I113" s="371"/>
      <c r="J113" s="371"/>
      <c r="K113" s="371"/>
      <c r="L113" s="371"/>
      <c r="M113" s="371"/>
      <c r="N113" s="371"/>
      <c r="O113" s="371"/>
      <c r="P113" s="371"/>
      <c r="Q113" s="371"/>
      <c r="R113" s="371"/>
      <c r="S113" s="371"/>
      <c r="T113" s="371"/>
      <c r="U113" s="371"/>
      <c r="V113" s="371"/>
    </row>
    <row r="114" ht="15.75" customHeight="1">
      <c r="A114" s="372">
        <v>0.7256944444444444</v>
      </c>
      <c r="B114" s="371"/>
      <c r="C114" s="371"/>
      <c r="D114" s="371"/>
      <c r="E114" s="371"/>
      <c r="F114" s="371"/>
      <c r="G114" s="371"/>
      <c r="H114" s="371"/>
      <c r="I114" s="371"/>
      <c r="J114" s="371"/>
      <c r="K114" s="371"/>
      <c r="L114" s="371"/>
      <c r="M114" s="371"/>
      <c r="N114" s="371"/>
      <c r="O114" s="371"/>
      <c r="P114" s="371"/>
      <c r="Q114" s="371"/>
      <c r="R114" s="371"/>
      <c r="S114" s="371"/>
      <c r="T114" s="371"/>
      <c r="U114" s="371"/>
      <c r="V114" s="371"/>
    </row>
    <row r="115" ht="15.75" customHeight="1">
      <c r="A115" s="372">
        <v>0.7291666666666666</v>
      </c>
      <c r="B115" s="371"/>
      <c r="C115" s="371"/>
      <c r="D115" s="371"/>
      <c r="E115" s="371"/>
      <c r="F115" s="371"/>
      <c r="G115" s="371"/>
      <c r="H115" s="371"/>
      <c r="I115" s="371"/>
      <c r="J115" s="371"/>
      <c r="K115" s="371"/>
      <c r="L115" s="371"/>
      <c r="M115" s="371"/>
      <c r="N115" s="371"/>
      <c r="O115" s="371"/>
      <c r="P115" s="371"/>
      <c r="Q115" s="371"/>
      <c r="R115" s="371"/>
      <c r="S115" s="371"/>
      <c r="T115" s="371"/>
      <c r="U115" s="371"/>
      <c r="V115" s="371"/>
    </row>
    <row r="116" ht="15.75" customHeight="1">
      <c r="A116" s="372">
        <v>0.7326388888888888</v>
      </c>
      <c r="B116" s="371"/>
      <c r="C116" s="371"/>
      <c r="D116" s="371"/>
      <c r="E116" s="371"/>
      <c r="F116" s="371"/>
      <c r="G116" s="371"/>
      <c r="H116" s="371"/>
      <c r="I116" s="371"/>
      <c r="J116" s="371"/>
      <c r="K116" s="371"/>
      <c r="L116" s="371"/>
      <c r="M116" s="371"/>
      <c r="N116" s="371"/>
      <c r="O116" s="371"/>
      <c r="P116" s="371"/>
      <c r="Q116" s="371"/>
      <c r="R116" s="371"/>
      <c r="S116" s="371"/>
      <c r="T116" s="371"/>
      <c r="U116" s="371"/>
      <c r="V116" s="371"/>
    </row>
    <row r="117" ht="15.75" customHeight="1">
      <c r="A117" s="372">
        <v>0.7361111111111112</v>
      </c>
      <c r="B117" s="371"/>
      <c r="C117" s="371"/>
      <c r="D117" s="371"/>
      <c r="E117" s="371"/>
      <c r="F117" s="371"/>
      <c r="G117" s="371"/>
      <c r="H117" s="371"/>
      <c r="I117" s="371"/>
      <c r="J117" s="371"/>
      <c r="K117" s="371"/>
      <c r="L117" s="371"/>
      <c r="M117" s="371"/>
      <c r="N117" s="371"/>
      <c r="O117" s="371"/>
      <c r="P117" s="371"/>
      <c r="Q117" s="371"/>
      <c r="R117" s="371"/>
      <c r="S117" s="371"/>
      <c r="T117" s="371"/>
      <c r="U117" s="371"/>
      <c r="V117" s="371"/>
    </row>
    <row r="118" ht="15.75" customHeight="1">
      <c r="A118" s="372">
        <v>0.7395833333333334</v>
      </c>
      <c r="B118" s="371"/>
      <c r="C118" s="371"/>
      <c r="D118" s="371"/>
      <c r="E118" s="371"/>
      <c r="F118" s="371"/>
      <c r="G118" s="371"/>
      <c r="H118" s="371"/>
      <c r="I118" s="371"/>
      <c r="J118" s="371"/>
      <c r="K118" s="371"/>
      <c r="L118" s="371"/>
      <c r="M118" s="371"/>
      <c r="N118" s="371"/>
      <c r="O118" s="371"/>
      <c r="P118" s="371"/>
      <c r="Q118" s="371"/>
      <c r="R118" s="371"/>
      <c r="S118" s="371"/>
      <c r="T118" s="371"/>
      <c r="U118" s="371"/>
      <c r="V118" s="371"/>
    </row>
    <row r="119" ht="15.75" customHeight="1">
      <c r="A119" s="372">
        <v>0.7430555555555556</v>
      </c>
      <c r="B119" s="371"/>
      <c r="C119" s="371"/>
      <c r="D119" s="371"/>
      <c r="E119" s="371"/>
      <c r="F119" s="371"/>
      <c r="G119" s="371"/>
      <c r="H119" s="371"/>
      <c r="I119" s="371"/>
      <c r="J119" s="371"/>
      <c r="K119" s="371"/>
      <c r="L119" s="371"/>
      <c r="M119" s="371"/>
      <c r="N119" s="371"/>
      <c r="O119" s="371"/>
      <c r="P119" s="371"/>
      <c r="Q119" s="371"/>
      <c r="R119" s="371"/>
      <c r="S119" s="371"/>
      <c r="T119" s="371"/>
      <c r="U119" s="371"/>
      <c r="V119" s="371"/>
    </row>
    <row r="120" ht="15.75" customHeight="1">
      <c r="A120" s="372">
        <v>0.7465277777777778</v>
      </c>
      <c r="B120" s="371"/>
      <c r="C120" s="371"/>
      <c r="D120" s="371"/>
      <c r="E120" s="371"/>
      <c r="F120" s="371"/>
      <c r="G120" s="371"/>
      <c r="H120" s="371"/>
      <c r="I120" s="371"/>
      <c r="J120" s="371"/>
      <c r="K120" s="371"/>
      <c r="L120" s="371"/>
      <c r="M120" s="371"/>
      <c r="N120" s="371"/>
      <c r="O120" s="371"/>
      <c r="P120" s="371"/>
      <c r="Q120" s="371"/>
      <c r="R120" s="371"/>
      <c r="S120" s="371"/>
      <c r="T120" s="371"/>
      <c r="U120" s="371"/>
      <c r="V120" s="371"/>
    </row>
    <row r="121" ht="15.75" customHeight="1">
      <c r="A121" s="372">
        <v>0.75</v>
      </c>
      <c r="B121" s="371"/>
      <c r="C121" s="371"/>
      <c r="D121" s="371"/>
      <c r="E121" s="371"/>
      <c r="F121" s="371"/>
      <c r="G121" s="371"/>
      <c r="H121" s="371"/>
      <c r="I121" s="371"/>
      <c r="J121" s="371"/>
      <c r="K121" s="371"/>
      <c r="L121" s="371"/>
      <c r="M121" s="371"/>
      <c r="N121" s="371"/>
      <c r="O121" s="371"/>
      <c r="P121" s="371"/>
      <c r="Q121" s="371"/>
      <c r="R121" s="371"/>
      <c r="S121" s="371"/>
      <c r="T121" s="371"/>
      <c r="U121" s="371"/>
      <c r="V121" s="371"/>
    </row>
    <row r="122" ht="15.75" customHeight="1">
      <c r="A122" s="372">
        <v>0.7534722222222222</v>
      </c>
      <c r="B122" s="371"/>
      <c r="C122" s="371"/>
      <c r="D122" s="371"/>
      <c r="E122" s="371"/>
      <c r="F122" s="371"/>
      <c r="G122" s="371"/>
      <c r="H122" s="371"/>
      <c r="I122" s="371"/>
      <c r="J122" s="371"/>
      <c r="K122" s="371"/>
      <c r="L122" s="371"/>
      <c r="M122" s="371"/>
      <c r="N122" s="371"/>
      <c r="O122" s="371"/>
      <c r="P122" s="371"/>
      <c r="Q122" s="371"/>
      <c r="R122" s="371"/>
      <c r="S122" s="371"/>
      <c r="T122" s="371"/>
      <c r="U122" s="371"/>
      <c r="V122" s="371"/>
    </row>
    <row r="123" ht="15.75" customHeight="1">
      <c r="A123" s="372">
        <v>0.7569444444444444</v>
      </c>
      <c r="B123" s="371"/>
      <c r="C123" s="371"/>
      <c r="D123" s="371"/>
      <c r="E123" s="371"/>
      <c r="F123" s="371"/>
      <c r="G123" s="371"/>
      <c r="H123" s="371"/>
      <c r="I123" s="371"/>
      <c r="J123" s="371"/>
      <c r="K123" s="371"/>
      <c r="L123" s="371"/>
      <c r="M123" s="371"/>
      <c r="N123" s="371"/>
      <c r="O123" s="371"/>
      <c r="P123" s="371"/>
      <c r="Q123" s="371"/>
      <c r="R123" s="371"/>
      <c r="S123" s="371"/>
      <c r="T123" s="371"/>
      <c r="U123" s="371"/>
      <c r="V123" s="371"/>
    </row>
    <row r="124" ht="15.75" customHeight="1">
      <c r="A124" s="372">
        <v>0.7604166666666666</v>
      </c>
      <c r="B124" s="371"/>
      <c r="C124" s="371"/>
      <c r="D124" s="371"/>
      <c r="E124" s="371"/>
      <c r="F124" s="371"/>
      <c r="G124" s="371"/>
      <c r="H124" s="371"/>
      <c r="I124" s="371"/>
      <c r="J124" s="371"/>
      <c r="K124" s="371"/>
      <c r="L124" s="371"/>
      <c r="M124" s="371"/>
      <c r="N124" s="371"/>
      <c r="O124" s="371"/>
      <c r="P124" s="371"/>
      <c r="Q124" s="371"/>
      <c r="R124" s="371"/>
      <c r="S124" s="371"/>
      <c r="T124" s="371"/>
      <c r="U124" s="371"/>
      <c r="V124" s="371"/>
    </row>
    <row r="125" ht="15.75" customHeight="1">
      <c r="A125" s="372">
        <v>0.7638888888888888</v>
      </c>
      <c r="B125" s="371"/>
      <c r="C125" s="371"/>
      <c r="D125" s="371"/>
      <c r="E125" s="371"/>
      <c r="F125" s="371"/>
      <c r="G125" s="371"/>
      <c r="H125" s="371"/>
      <c r="I125" s="371"/>
      <c r="J125" s="371"/>
      <c r="K125" s="371"/>
      <c r="L125" s="371"/>
      <c r="M125" s="371"/>
      <c r="N125" s="371"/>
      <c r="O125" s="371"/>
      <c r="P125" s="371"/>
      <c r="Q125" s="371"/>
      <c r="R125" s="371"/>
      <c r="S125" s="371"/>
      <c r="T125" s="371"/>
      <c r="U125" s="371"/>
      <c r="V125" s="371"/>
    </row>
    <row r="126" ht="15.75" customHeight="1">
      <c r="A126" s="372">
        <v>0.7673611111111112</v>
      </c>
      <c r="B126" s="371"/>
      <c r="C126" s="371"/>
      <c r="D126" s="371"/>
      <c r="E126" s="371"/>
      <c r="F126" s="371"/>
      <c r="G126" s="371"/>
      <c r="H126" s="371"/>
      <c r="I126" s="371"/>
      <c r="J126" s="371"/>
      <c r="K126" s="371"/>
      <c r="L126" s="371"/>
      <c r="M126" s="371"/>
      <c r="N126" s="371"/>
      <c r="O126" s="371"/>
      <c r="P126" s="371"/>
      <c r="Q126" s="371"/>
      <c r="R126" s="371"/>
      <c r="S126" s="371"/>
      <c r="T126" s="371"/>
      <c r="U126" s="371"/>
      <c r="V126" s="371"/>
    </row>
    <row r="127" ht="15.75" customHeight="1">
      <c r="A127" s="372">
        <v>0.7708333333333334</v>
      </c>
      <c r="B127" s="371"/>
      <c r="C127" s="371"/>
      <c r="D127" s="371"/>
      <c r="E127" s="371"/>
      <c r="F127" s="371"/>
      <c r="G127" s="371"/>
      <c r="H127" s="371"/>
      <c r="I127" s="371"/>
      <c r="J127" s="371"/>
      <c r="K127" s="371"/>
      <c r="L127" s="371"/>
      <c r="M127" s="371"/>
      <c r="N127" s="371"/>
      <c r="O127" s="371"/>
      <c r="P127" s="371"/>
      <c r="Q127" s="371"/>
      <c r="R127" s="371"/>
      <c r="S127" s="371"/>
      <c r="T127" s="371"/>
      <c r="U127" s="371"/>
      <c r="V127" s="371"/>
    </row>
    <row r="128" ht="15.75" customHeight="1">
      <c r="A128" s="372">
        <v>0.7743055555555556</v>
      </c>
      <c r="B128" s="371"/>
      <c r="C128" s="371"/>
      <c r="D128" s="371"/>
      <c r="E128" s="371"/>
      <c r="F128" s="371"/>
      <c r="G128" s="371"/>
      <c r="H128" s="371"/>
      <c r="I128" s="371"/>
      <c r="J128" s="371"/>
      <c r="K128" s="371"/>
      <c r="L128" s="371"/>
      <c r="M128" s="371"/>
      <c r="N128" s="371"/>
      <c r="O128" s="371"/>
      <c r="P128" s="371"/>
      <c r="Q128" s="371"/>
      <c r="R128" s="371"/>
      <c r="S128" s="371"/>
      <c r="T128" s="371"/>
      <c r="U128" s="371"/>
      <c r="V128" s="371"/>
    </row>
    <row r="129" ht="15.75" customHeight="1">
      <c r="A129" s="372">
        <v>0.7777777777777778</v>
      </c>
      <c r="B129" s="371"/>
      <c r="C129" s="371"/>
      <c r="D129" s="371"/>
      <c r="E129" s="371"/>
      <c r="F129" s="371"/>
      <c r="G129" s="371"/>
      <c r="H129" s="371"/>
      <c r="I129" s="371"/>
      <c r="J129" s="371"/>
      <c r="K129" s="371"/>
      <c r="L129" s="371"/>
      <c r="M129" s="371"/>
      <c r="N129" s="371"/>
      <c r="O129" s="371"/>
      <c r="P129" s="371"/>
      <c r="Q129" s="371"/>
      <c r="R129" s="371"/>
      <c r="S129" s="371"/>
      <c r="T129" s="371"/>
      <c r="U129" s="371"/>
      <c r="V129" s="371"/>
    </row>
    <row r="130" ht="15.75" customHeight="1">
      <c r="A130" s="372">
        <v>0.78125</v>
      </c>
      <c r="B130" s="371"/>
      <c r="C130" s="371"/>
      <c r="D130" s="371"/>
      <c r="E130" s="371"/>
      <c r="F130" s="371"/>
      <c r="G130" s="371"/>
      <c r="H130" s="371"/>
      <c r="I130" s="371"/>
      <c r="J130" s="371"/>
      <c r="K130" s="371"/>
      <c r="L130" s="371"/>
      <c r="M130" s="371"/>
      <c r="N130" s="371"/>
      <c r="O130" s="371"/>
      <c r="P130" s="371"/>
      <c r="Q130" s="371"/>
      <c r="R130" s="371"/>
      <c r="S130" s="371"/>
      <c r="T130" s="371"/>
      <c r="U130" s="371"/>
      <c r="V130" s="371"/>
    </row>
    <row r="131" ht="15.75" customHeight="1">
      <c r="A131" s="372">
        <v>0.7847222222222222</v>
      </c>
      <c r="B131" s="371"/>
      <c r="C131" s="371"/>
      <c r="D131" s="371"/>
      <c r="E131" s="371"/>
      <c r="F131" s="371"/>
      <c r="G131" s="371"/>
      <c r="H131" s="371"/>
      <c r="I131" s="371"/>
      <c r="J131" s="371"/>
      <c r="K131" s="371"/>
      <c r="L131" s="371"/>
      <c r="M131" s="371"/>
      <c r="N131" s="371"/>
      <c r="O131" s="371"/>
      <c r="P131" s="371"/>
      <c r="Q131" s="371"/>
      <c r="R131" s="371"/>
      <c r="S131" s="371"/>
      <c r="T131" s="371"/>
      <c r="U131" s="371"/>
      <c r="V131" s="371"/>
    </row>
    <row r="132" ht="15.75" customHeight="1">
      <c r="A132" s="372">
        <v>0.7881944444444444</v>
      </c>
      <c r="B132" s="371"/>
      <c r="C132" s="371"/>
      <c r="D132" s="371"/>
      <c r="E132" s="371"/>
      <c r="F132" s="371"/>
      <c r="G132" s="371"/>
      <c r="H132" s="371"/>
      <c r="I132" s="371"/>
      <c r="J132" s="371"/>
      <c r="K132" s="371"/>
      <c r="L132" s="371"/>
      <c r="M132" s="371"/>
      <c r="N132" s="371"/>
      <c r="O132" s="371"/>
      <c r="P132" s="371"/>
      <c r="Q132" s="371"/>
      <c r="R132" s="371"/>
      <c r="S132" s="371"/>
      <c r="T132" s="371"/>
      <c r="U132" s="371"/>
      <c r="V132" s="371"/>
    </row>
    <row r="133" ht="15.75" customHeight="1">
      <c r="A133" s="372">
        <v>0.7916666666666666</v>
      </c>
      <c r="B133" s="371"/>
      <c r="C133" s="371"/>
      <c r="D133" s="371"/>
      <c r="E133" s="371"/>
      <c r="F133" s="371"/>
      <c r="G133" s="371"/>
      <c r="H133" s="371"/>
      <c r="I133" s="371"/>
      <c r="J133" s="371"/>
      <c r="K133" s="371"/>
      <c r="L133" s="371"/>
      <c r="M133" s="371"/>
      <c r="N133" s="371"/>
      <c r="O133" s="371"/>
      <c r="P133" s="371"/>
      <c r="Q133" s="371"/>
      <c r="R133" s="371"/>
      <c r="S133" s="371"/>
      <c r="T133" s="371"/>
      <c r="U133" s="371"/>
      <c r="V133" s="371"/>
    </row>
    <row r="134" ht="15.75" customHeight="1">
      <c r="A134" s="372">
        <v>0.7951388888888888</v>
      </c>
      <c r="B134" s="371"/>
      <c r="C134" s="371"/>
      <c r="D134" s="371"/>
      <c r="E134" s="371"/>
      <c r="F134" s="371"/>
      <c r="G134" s="371"/>
      <c r="H134" s="371"/>
      <c r="I134" s="371"/>
      <c r="J134" s="371"/>
      <c r="K134" s="371"/>
      <c r="L134" s="371"/>
      <c r="M134" s="371"/>
      <c r="N134" s="371"/>
      <c r="O134" s="371"/>
      <c r="P134" s="371"/>
      <c r="Q134" s="371"/>
      <c r="R134" s="371"/>
      <c r="S134" s="371"/>
      <c r="T134" s="371"/>
      <c r="U134" s="371"/>
      <c r="V134" s="371"/>
    </row>
    <row r="135" ht="15.75" customHeight="1">
      <c r="A135" s="372">
        <v>0.7986111111111112</v>
      </c>
      <c r="B135" s="371"/>
      <c r="C135" s="371"/>
      <c r="D135" s="371"/>
      <c r="E135" s="371"/>
      <c r="F135" s="371"/>
      <c r="G135" s="371"/>
      <c r="H135" s="371"/>
      <c r="I135" s="371"/>
      <c r="J135" s="371"/>
      <c r="K135" s="371"/>
      <c r="L135" s="371"/>
      <c r="M135" s="371"/>
      <c r="N135" s="371"/>
      <c r="O135" s="371"/>
      <c r="P135" s="371"/>
      <c r="Q135" s="371"/>
      <c r="R135" s="371"/>
      <c r="S135" s="371"/>
      <c r="T135" s="371"/>
      <c r="U135" s="371"/>
      <c r="V135" s="371"/>
    </row>
    <row r="136" ht="15.75" customHeight="1">
      <c r="A136" s="372">
        <v>0.8020833333333334</v>
      </c>
      <c r="B136" s="371"/>
      <c r="C136" s="371"/>
      <c r="D136" s="371"/>
      <c r="E136" s="371"/>
      <c r="F136" s="371"/>
      <c r="G136" s="371"/>
      <c r="H136" s="371"/>
      <c r="I136" s="371"/>
      <c r="J136" s="371"/>
      <c r="K136" s="371"/>
      <c r="L136" s="371"/>
      <c r="M136" s="371"/>
      <c r="N136" s="371"/>
      <c r="O136" s="371"/>
      <c r="P136" s="371"/>
      <c r="Q136" s="371"/>
      <c r="R136" s="371"/>
      <c r="S136" s="371"/>
      <c r="T136" s="371"/>
      <c r="U136" s="371"/>
      <c r="V136" s="371"/>
    </row>
    <row r="137" ht="15.75" customHeight="1">
      <c r="A137" s="372">
        <v>0.8055555555555556</v>
      </c>
      <c r="B137" s="371"/>
      <c r="C137" s="371"/>
      <c r="D137" s="371"/>
      <c r="E137" s="371"/>
      <c r="F137" s="371"/>
      <c r="G137" s="371"/>
      <c r="H137" s="371"/>
      <c r="I137" s="371"/>
      <c r="J137" s="371"/>
      <c r="K137" s="371"/>
      <c r="L137" s="371"/>
      <c r="M137" s="371"/>
      <c r="N137" s="371"/>
      <c r="O137" s="371"/>
      <c r="P137" s="371"/>
      <c r="Q137" s="371"/>
      <c r="R137" s="371"/>
      <c r="S137" s="371"/>
      <c r="T137" s="371"/>
      <c r="U137" s="371"/>
      <c r="V137" s="371"/>
    </row>
    <row r="138" ht="15.75" customHeight="1">
      <c r="A138" s="372">
        <v>0.8090277777777778</v>
      </c>
      <c r="B138" s="371"/>
      <c r="C138" s="371"/>
      <c r="D138" s="371"/>
      <c r="E138" s="371"/>
      <c r="F138" s="371"/>
      <c r="G138" s="371"/>
      <c r="H138" s="371"/>
      <c r="I138" s="371"/>
      <c r="J138" s="371"/>
      <c r="K138" s="371"/>
      <c r="L138" s="371"/>
      <c r="M138" s="371"/>
      <c r="N138" s="371"/>
      <c r="O138" s="371"/>
      <c r="P138" s="371"/>
      <c r="Q138" s="371"/>
      <c r="R138" s="371"/>
      <c r="S138" s="371"/>
      <c r="T138" s="371"/>
      <c r="U138" s="371"/>
      <c r="V138" s="371"/>
    </row>
    <row r="139" ht="15.75" customHeight="1">
      <c r="A139" s="372">
        <v>0.8125</v>
      </c>
      <c r="B139" s="371"/>
      <c r="C139" s="371"/>
      <c r="D139" s="371"/>
      <c r="E139" s="371"/>
      <c r="F139" s="371"/>
      <c r="G139" s="371"/>
      <c r="H139" s="371"/>
      <c r="I139" s="371"/>
      <c r="J139" s="371"/>
      <c r="K139" s="371"/>
      <c r="L139" s="371"/>
      <c r="M139" s="371"/>
      <c r="N139" s="371"/>
      <c r="O139" s="371"/>
      <c r="P139" s="371"/>
      <c r="Q139" s="371"/>
      <c r="R139" s="371"/>
      <c r="S139" s="371"/>
      <c r="T139" s="371"/>
      <c r="U139" s="371"/>
      <c r="V139" s="371"/>
    </row>
    <row r="140" ht="15.75" customHeight="1">
      <c r="A140" s="372">
        <v>0.8159722222222222</v>
      </c>
      <c r="B140" s="371"/>
      <c r="C140" s="371"/>
      <c r="D140" s="371"/>
      <c r="E140" s="371"/>
      <c r="F140" s="371"/>
      <c r="G140" s="371"/>
      <c r="H140" s="371"/>
      <c r="I140" s="371"/>
      <c r="J140" s="371"/>
      <c r="K140" s="371"/>
      <c r="L140" s="371"/>
      <c r="M140" s="371"/>
      <c r="N140" s="371"/>
      <c r="O140" s="371"/>
      <c r="P140" s="371"/>
      <c r="Q140" s="371"/>
      <c r="R140" s="371"/>
      <c r="S140" s="371"/>
      <c r="T140" s="371"/>
      <c r="U140" s="371"/>
      <c r="V140" s="371"/>
    </row>
    <row r="141" ht="15.75" customHeight="1">
      <c r="A141" s="372">
        <v>0.8194444444444444</v>
      </c>
      <c r="B141" s="371"/>
      <c r="C141" s="371"/>
      <c r="D141" s="371"/>
      <c r="E141" s="371"/>
      <c r="F141" s="371"/>
      <c r="G141" s="371"/>
      <c r="H141" s="371"/>
      <c r="I141" s="371"/>
      <c r="J141" s="371"/>
      <c r="K141" s="371"/>
      <c r="L141" s="371"/>
      <c r="M141" s="371"/>
      <c r="N141" s="371"/>
      <c r="O141" s="371"/>
      <c r="P141" s="371"/>
      <c r="Q141" s="371"/>
      <c r="R141" s="371"/>
      <c r="S141" s="371"/>
      <c r="T141" s="371"/>
      <c r="U141" s="371"/>
      <c r="V141" s="371"/>
    </row>
    <row r="142" ht="15.75" customHeight="1">
      <c r="A142" s="372">
        <v>0.8229166666666666</v>
      </c>
      <c r="B142" s="371"/>
      <c r="C142" s="371"/>
      <c r="D142" s="371"/>
      <c r="E142" s="371"/>
      <c r="F142" s="371"/>
      <c r="G142" s="371"/>
      <c r="H142" s="371"/>
      <c r="I142" s="371"/>
      <c r="J142" s="371"/>
      <c r="K142" s="371"/>
      <c r="L142" s="371"/>
      <c r="M142" s="371"/>
      <c r="N142" s="371"/>
      <c r="O142" s="371"/>
      <c r="P142" s="371"/>
      <c r="Q142" s="371"/>
      <c r="R142" s="371"/>
      <c r="S142" s="371"/>
      <c r="T142" s="371"/>
      <c r="U142" s="371"/>
      <c r="V142" s="371"/>
    </row>
    <row r="143" ht="15.75" customHeight="1">
      <c r="A143" s="372">
        <v>0.8263888888888888</v>
      </c>
      <c r="B143" s="371"/>
      <c r="C143" s="371"/>
      <c r="D143" s="371"/>
      <c r="E143" s="371"/>
      <c r="F143" s="371"/>
      <c r="G143" s="371"/>
      <c r="H143" s="371"/>
      <c r="I143" s="371"/>
      <c r="J143" s="371"/>
      <c r="K143" s="371"/>
      <c r="L143" s="371"/>
      <c r="M143" s="371"/>
      <c r="N143" s="371"/>
      <c r="O143" s="371"/>
      <c r="P143" s="371"/>
      <c r="Q143" s="371"/>
      <c r="R143" s="371"/>
      <c r="S143" s="371"/>
      <c r="T143" s="371"/>
      <c r="U143" s="371"/>
      <c r="V143" s="371"/>
    </row>
    <row r="144" ht="15.75" customHeight="1">
      <c r="A144" s="372">
        <v>0.8298611111111112</v>
      </c>
      <c r="B144" s="371"/>
      <c r="C144" s="371"/>
      <c r="D144" s="371"/>
      <c r="E144" s="371"/>
      <c r="F144" s="371"/>
      <c r="G144" s="371"/>
      <c r="H144" s="371"/>
      <c r="I144" s="371"/>
      <c r="J144" s="371"/>
      <c r="K144" s="371"/>
      <c r="L144" s="371"/>
      <c r="M144" s="371"/>
      <c r="N144" s="371"/>
      <c r="O144" s="371"/>
      <c r="P144" s="371"/>
      <c r="Q144" s="371"/>
      <c r="R144" s="371"/>
      <c r="S144" s="371"/>
      <c r="T144" s="371"/>
      <c r="U144" s="371"/>
      <c r="V144" s="371"/>
    </row>
    <row r="145" ht="15.75" customHeight="1">
      <c r="A145" s="372">
        <v>0.8333333333333334</v>
      </c>
      <c r="B145" s="371"/>
      <c r="C145" s="371"/>
      <c r="D145" s="371"/>
      <c r="E145" s="371"/>
      <c r="F145" s="371"/>
      <c r="G145" s="371"/>
      <c r="H145" s="371"/>
      <c r="I145" s="371"/>
      <c r="J145" s="371"/>
      <c r="K145" s="371"/>
      <c r="L145" s="371"/>
      <c r="M145" s="371"/>
      <c r="N145" s="371"/>
      <c r="O145" s="371"/>
      <c r="P145" s="371"/>
      <c r="Q145" s="371"/>
      <c r="R145" s="371"/>
      <c r="S145" s="371"/>
      <c r="T145" s="371"/>
      <c r="U145" s="371"/>
      <c r="V145" s="371"/>
    </row>
    <row r="146" ht="15.75" customHeight="1">
      <c r="A146" s="372">
        <v>0.8368055555555556</v>
      </c>
      <c r="B146" s="371"/>
      <c r="C146" s="371"/>
      <c r="D146" s="371"/>
      <c r="E146" s="371"/>
      <c r="F146" s="371"/>
      <c r="G146" s="371"/>
      <c r="H146" s="371"/>
      <c r="I146" s="371"/>
      <c r="J146" s="371"/>
      <c r="K146" s="371"/>
      <c r="L146" s="371"/>
      <c r="M146" s="371"/>
      <c r="N146" s="371"/>
      <c r="O146" s="371"/>
      <c r="P146" s="371"/>
      <c r="Q146" s="371"/>
      <c r="R146" s="371"/>
      <c r="S146" s="371"/>
      <c r="T146" s="371"/>
      <c r="U146" s="371"/>
      <c r="V146" s="371"/>
    </row>
    <row r="147" ht="15.75" customHeight="1">
      <c r="A147" s="372">
        <v>0.8402777777777778</v>
      </c>
      <c r="B147" s="371"/>
      <c r="C147" s="371"/>
      <c r="D147" s="371"/>
      <c r="E147" s="371"/>
      <c r="F147" s="371"/>
      <c r="G147" s="371"/>
      <c r="H147" s="371"/>
      <c r="I147" s="371"/>
      <c r="J147" s="371"/>
      <c r="K147" s="371"/>
      <c r="L147" s="371"/>
      <c r="M147" s="371"/>
      <c r="N147" s="371"/>
      <c r="O147" s="371"/>
      <c r="P147" s="371"/>
      <c r="Q147" s="371"/>
      <c r="R147" s="371"/>
      <c r="S147" s="371"/>
      <c r="T147" s="371"/>
      <c r="U147" s="371"/>
      <c r="V147" s="371"/>
    </row>
    <row r="148" ht="15.75" customHeight="1">
      <c r="A148" s="372">
        <v>0.84375</v>
      </c>
      <c r="B148" s="371"/>
      <c r="C148" s="371"/>
      <c r="D148" s="371"/>
      <c r="E148" s="371"/>
      <c r="F148" s="371"/>
      <c r="G148" s="371"/>
      <c r="H148" s="371"/>
      <c r="I148" s="371"/>
      <c r="J148" s="371"/>
      <c r="K148" s="371"/>
      <c r="L148" s="371"/>
      <c r="M148" s="371"/>
      <c r="N148" s="371"/>
      <c r="O148" s="371"/>
      <c r="P148" s="371"/>
      <c r="Q148" s="371"/>
      <c r="R148" s="371"/>
      <c r="S148" s="371"/>
      <c r="T148" s="371"/>
      <c r="U148" s="371"/>
      <c r="V148" s="371"/>
    </row>
    <row r="149" ht="15.75" customHeight="1">
      <c r="A149" s="372">
        <v>0.8472222222222222</v>
      </c>
      <c r="B149" s="371"/>
      <c r="C149" s="371"/>
      <c r="D149" s="371"/>
      <c r="E149" s="371"/>
      <c r="F149" s="371"/>
      <c r="G149" s="371"/>
      <c r="H149" s="371"/>
      <c r="I149" s="371"/>
      <c r="J149" s="371"/>
      <c r="K149" s="371"/>
      <c r="L149" s="371"/>
      <c r="M149" s="371"/>
      <c r="N149" s="371"/>
      <c r="O149" s="371"/>
      <c r="P149" s="371"/>
      <c r="Q149" s="371"/>
      <c r="R149" s="371"/>
      <c r="S149" s="371"/>
      <c r="T149" s="371"/>
      <c r="U149" s="371"/>
      <c r="V149" s="371"/>
    </row>
    <row r="150" ht="15.75" customHeight="1">
      <c r="A150" s="372">
        <v>0.8506944444444444</v>
      </c>
      <c r="B150" s="371"/>
      <c r="C150" s="371"/>
      <c r="D150" s="371"/>
      <c r="E150" s="371"/>
      <c r="F150" s="371"/>
      <c r="G150" s="371"/>
      <c r="H150" s="371"/>
      <c r="I150" s="371"/>
      <c r="J150" s="371"/>
      <c r="K150" s="371"/>
      <c r="L150" s="371"/>
      <c r="M150" s="371"/>
      <c r="N150" s="371"/>
      <c r="O150" s="371"/>
      <c r="P150" s="371"/>
      <c r="Q150" s="371"/>
      <c r="R150" s="371"/>
      <c r="S150" s="371"/>
      <c r="T150" s="371"/>
      <c r="U150" s="371"/>
      <c r="V150" s="371"/>
    </row>
    <row r="151" ht="15.75" customHeight="1">
      <c r="A151" s="372">
        <v>0.8541666666666666</v>
      </c>
      <c r="B151" s="371"/>
      <c r="C151" s="371"/>
      <c r="D151" s="371"/>
      <c r="E151" s="371"/>
      <c r="F151" s="371"/>
      <c r="G151" s="371"/>
      <c r="H151" s="371"/>
      <c r="I151" s="371"/>
      <c r="J151" s="371"/>
      <c r="K151" s="371"/>
      <c r="L151" s="371"/>
      <c r="M151" s="371"/>
      <c r="N151" s="371"/>
      <c r="O151" s="371"/>
      <c r="P151" s="371"/>
      <c r="Q151" s="371"/>
      <c r="R151" s="371"/>
      <c r="S151" s="371"/>
      <c r="T151" s="371"/>
      <c r="U151" s="371"/>
      <c r="V151" s="371"/>
    </row>
    <row r="152" ht="15.75" customHeight="1">
      <c r="A152" s="372">
        <v>0.8576388888888888</v>
      </c>
      <c r="B152" s="371"/>
      <c r="C152" s="371"/>
      <c r="D152" s="371"/>
      <c r="E152" s="371"/>
      <c r="F152" s="371"/>
      <c r="G152" s="371"/>
      <c r="H152" s="371"/>
      <c r="I152" s="371"/>
      <c r="J152" s="371"/>
      <c r="K152" s="371"/>
      <c r="L152" s="371"/>
      <c r="M152" s="371"/>
      <c r="N152" s="371"/>
      <c r="O152" s="371"/>
      <c r="P152" s="371"/>
      <c r="Q152" s="371"/>
      <c r="R152" s="371"/>
      <c r="S152" s="371"/>
      <c r="T152" s="371"/>
      <c r="U152" s="371"/>
      <c r="V152" s="371"/>
    </row>
    <row r="153" ht="15.75" customHeight="1">
      <c r="A153" s="372">
        <v>0.8611111111111112</v>
      </c>
      <c r="B153" s="371"/>
      <c r="C153" s="371"/>
      <c r="D153" s="371"/>
      <c r="E153" s="371"/>
      <c r="F153" s="371"/>
      <c r="G153" s="371"/>
      <c r="H153" s="371"/>
      <c r="I153" s="371"/>
      <c r="J153" s="371"/>
      <c r="K153" s="371"/>
      <c r="L153" s="371"/>
      <c r="M153" s="371"/>
      <c r="N153" s="371"/>
      <c r="O153" s="371"/>
      <c r="P153" s="371"/>
      <c r="Q153" s="371"/>
      <c r="R153" s="371"/>
      <c r="S153" s="371"/>
      <c r="T153" s="371"/>
      <c r="U153" s="371"/>
      <c r="V153" s="371"/>
    </row>
    <row r="154" ht="15.75" customHeight="1">
      <c r="A154" s="372">
        <v>0.8645833333333334</v>
      </c>
      <c r="B154" s="371"/>
      <c r="C154" s="371"/>
      <c r="D154" s="371"/>
      <c r="E154" s="371"/>
      <c r="F154" s="371"/>
      <c r="G154" s="371"/>
      <c r="H154" s="371"/>
      <c r="I154" s="371"/>
      <c r="J154" s="371"/>
      <c r="K154" s="371"/>
      <c r="L154" s="371"/>
      <c r="M154" s="371"/>
      <c r="N154" s="371"/>
      <c r="O154" s="371"/>
      <c r="P154" s="371"/>
      <c r="Q154" s="371"/>
      <c r="R154" s="371"/>
      <c r="S154" s="371"/>
      <c r="T154" s="371"/>
      <c r="U154" s="371"/>
      <c r="V154" s="371"/>
    </row>
    <row r="155" ht="15.75" customHeight="1">
      <c r="A155" s="372">
        <v>0.8680555555555556</v>
      </c>
      <c r="B155" s="371"/>
      <c r="C155" s="371"/>
      <c r="D155" s="371"/>
      <c r="E155" s="371"/>
      <c r="F155" s="371"/>
      <c r="G155" s="371"/>
      <c r="H155" s="371"/>
      <c r="I155" s="371"/>
      <c r="J155" s="371"/>
      <c r="K155" s="371"/>
      <c r="L155" s="371"/>
      <c r="M155" s="371"/>
      <c r="N155" s="371"/>
      <c r="O155" s="371"/>
      <c r="P155" s="371"/>
      <c r="Q155" s="371"/>
      <c r="R155" s="371"/>
      <c r="S155" s="371"/>
      <c r="T155" s="371"/>
      <c r="U155" s="371"/>
      <c r="V155" s="371"/>
    </row>
    <row r="156" ht="15.75" customHeight="1">
      <c r="A156" s="372">
        <v>0.8715277777777778</v>
      </c>
      <c r="B156" s="371"/>
      <c r="C156" s="371"/>
      <c r="D156" s="371"/>
      <c r="E156" s="371"/>
      <c r="F156" s="371"/>
      <c r="G156" s="371"/>
      <c r="H156" s="371"/>
      <c r="I156" s="371"/>
      <c r="J156" s="371"/>
      <c r="K156" s="371"/>
      <c r="L156" s="371"/>
      <c r="M156" s="371"/>
      <c r="N156" s="371"/>
      <c r="O156" s="371"/>
      <c r="P156" s="371"/>
      <c r="Q156" s="371"/>
      <c r="R156" s="371"/>
      <c r="S156" s="371"/>
      <c r="T156" s="371"/>
      <c r="U156" s="371"/>
      <c r="V156" s="371"/>
    </row>
    <row r="157" ht="15.75" customHeight="1">
      <c r="A157" s="372">
        <v>0.875</v>
      </c>
      <c r="B157" s="371"/>
      <c r="C157" s="371"/>
      <c r="D157" s="371"/>
      <c r="E157" s="371"/>
      <c r="F157" s="371"/>
      <c r="G157" s="371"/>
      <c r="H157" s="371"/>
      <c r="I157" s="371"/>
      <c r="J157" s="371"/>
      <c r="K157" s="371"/>
      <c r="L157" s="371"/>
      <c r="M157" s="371"/>
      <c r="N157" s="371"/>
      <c r="O157" s="371"/>
      <c r="P157" s="371"/>
      <c r="Q157" s="371"/>
      <c r="R157" s="371"/>
      <c r="S157" s="371"/>
      <c r="T157" s="371"/>
      <c r="U157" s="371"/>
      <c r="V157" s="371"/>
    </row>
    <row r="158" ht="15.75" customHeight="1">
      <c r="A158" s="372">
        <v>0.8784722222222222</v>
      </c>
      <c r="B158" s="371"/>
      <c r="C158" s="371"/>
      <c r="D158" s="371"/>
      <c r="E158" s="371"/>
      <c r="F158" s="371"/>
      <c r="G158" s="371"/>
      <c r="H158" s="371"/>
      <c r="I158" s="371"/>
      <c r="J158" s="371"/>
      <c r="K158" s="371"/>
      <c r="L158" s="371"/>
      <c r="M158" s="371"/>
      <c r="N158" s="371"/>
      <c r="O158" s="371"/>
      <c r="P158" s="371"/>
      <c r="Q158" s="371"/>
      <c r="R158" s="371"/>
      <c r="S158" s="371"/>
      <c r="T158" s="371"/>
      <c r="U158" s="371"/>
      <c r="V158" s="371"/>
    </row>
    <row r="159" ht="15.75" customHeight="1">
      <c r="A159" s="372">
        <v>0.8819444444444444</v>
      </c>
      <c r="B159" s="371"/>
      <c r="C159" s="371"/>
      <c r="D159" s="371"/>
      <c r="E159" s="371"/>
      <c r="F159" s="371"/>
      <c r="G159" s="371"/>
      <c r="H159" s="371"/>
      <c r="I159" s="371"/>
      <c r="J159" s="371"/>
      <c r="K159" s="371"/>
      <c r="L159" s="371"/>
      <c r="M159" s="371"/>
      <c r="N159" s="371"/>
      <c r="O159" s="371"/>
      <c r="P159" s="371"/>
      <c r="Q159" s="371"/>
      <c r="R159" s="371"/>
      <c r="S159" s="371"/>
      <c r="T159" s="371"/>
      <c r="U159" s="371"/>
      <c r="V159" s="371"/>
    </row>
    <row r="160" ht="15.75" customHeight="1">
      <c r="A160" s="372">
        <v>0.8854166666666666</v>
      </c>
      <c r="B160" s="371"/>
      <c r="C160" s="371"/>
      <c r="D160" s="371"/>
      <c r="E160" s="371"/>
      <c r="F160" s="371"/>
      <c r="G160" s="371"/>
      <c r="H160" s="371"/>
      <c r="I160" s="371"/>
      <c r="J160" s="371"/>
      <c r="K160" s="371"/>
      <c r="L160" s="371"/>
      <c r="M160" s="371"/>
      <c r="N160" s="371"/>
      <c r="O160" s="371"/>
      <c r="P160" s="371"/>
      <c r="Q160" s="371"/>
      <c r="R160" s="371"/>
      <c r="S160" s="371"/>
      <c r="T160" s="371"/>
      <c r="U160" s="371"/>
      <c r="V160" s="371"/>
    </row>
    <row r="161" ht="15.75" customHeight="1">
      <c r="A161" s="372">
        <v>0.8888888888888888</v>
      </c>
      <c r="B161" s="371"/>
      <c r="C161" s="371"/>
      <c r="D161" s="371"/>
      <c r="E161" s="371"/>
      <c r="F161" s="371"/>
      <c r="G161" s="371"/>
      <c r="H161" s="371"/>
      <c r="I161" s="371"/>
      <c r="J161" s="371"/>
      <c r="K161" s="371"/>
      <c r="L161" s="371"/>
      <c r="M161" s="371"/>
      <c r="N161" s="371"/>
      <c r="O161" s="371"/>
      <c r="P161" s="371"/>
      <c r="Q161" s="371"/>
      <c r="R161" s="371"/>
      <c r="S161" s="371"/>
      <c r="T161" s="371"/>
      <c r="U161" s="371"/>
      <c r="V161" s="371"/>
    </row>
    <row r="162" ht="15.75" customHeight="1">
      <c r="A162" s="372">
        <v>0.8923611111111112</v>
      </c>
      <c r="B162" s="371"/>
      <c r="C162" s="371"/>
      <c r="D162" s="371"/>
      <c r="E162" s="371"/>
      <c r="F162" s="371"/>
      <c r="G162" s="371"/>
      <c r="H162" s="371"/>
      <c r="I162" s="371"/>
      <c r="J162" s="371"/>
      <c r="K162" s="371"/>
      <c r="L162" s="371"/>
      <c r="M162" s="371"/>
      <c r="N162" s="371"/>
      <c r="O162" s="371"/>
      <c r="P162" s="371"/>
      <c r="Q162" s="371"/>
      <c r="R162" s="371"/>
      <c r="S162" s="371"/>
      <c r="T162" s="371"/>
      <c r="U162" s="371"/>
      <c r="V162" s="371"/>
    </row>
    <row r="163" ht="15.75" customHeight="1">
      <c r="A163" s="372">
        <v>0.8958333333333334</v>
      </c>
      <c r="B163" s="371"/>
      <c r="C163" s="371"/>
      <c r="D163" s="371"/>
      <c r="E163" s="371"/>
      <c r="F163" s="371"/>
      <c r="G163" s="371"/>
      <c r="H163" s="371"/>
      <c r="I163" s="371"/>
      <c r="J163" s="371"/>
      <c r="K163" s="371"/>
      <c r="L163" s="371"/>
      <c r="M163" s="371"/>
      <c r="N163" s="371"/>
      <c r="O163" s="371"/>
      <c r="P163" s="371"/>
      <c r="Q163" s="371"/>
      <c r="R163" s="371"/>
      <c r="S163" s="371"/>
      <c r="T163" s="371"/>
      <c r="U163" s="371"/>
      <c r="V163" s="371"/>
    </row>
    <row r="164" ht="15.75" customHeight="1">
      <c r="A164" s="372">
        <v>0.8993055555555556</v>
      </c>
      <c r="B164" s="371"/>
      <c r="C164" s="371"/>
      <c r="D164" s="371"/>
      <c r="E164" s="371"/>
      <c r="F164" s="371"/>
      <c r="G164" s="371"/>
      <c r="H164" s="371"/>
      <c r="I164" s="371"/>
      <c r="J164" s="371"/>
      <c r="K164" s="371"/>
      <c r="L164" s="371"/>
      <c r="M164" s="371"/>
      <c r="N164" s="371"/>
      <c r="O164" s="371"/>
      <c r="P164" s="371"/>
      <c r="Q164" s="371"/>
      <c r="R164" s="371"/>
      <c r="S164" s="371"/>
      <c r="T164" s="371"/>
      <c r="U164" s="371"/>
      <c r="V164" s="371"/>
    </row>
    <row r="165" ht="15.75" customHeight="1">
      <c r="A165" s="372">
        <v>0.9027777777777778</v>
      </c>
      <c r="B165" s="371"/>
      <c r="C165" s="371"/>
      <c r="D165" s="371"/>
      <c r="E165" s="371"/>
      <c r="F165" s="371"/>
      <c r="G165" s="371"/>
      <c r="H165" s="371"/>
      <c r="I165" s="371"/>
      <c r="J165" s="371"/>
      <c r="K165" s="371"/>
      <c r="L165" s="371"/>
      <c r="M165" s="371"/>
      <c r="N165" s="371"/>
      <c r="O165" s="371"/>
      <c r="P165" s="371"/>
      <c r="Q165" s="371"/>
      <c r="R165" s="371"/>
      <c r="S165" s="371"/>
      <c r="T165" s="371"/>
      <c r="U165" s="371"/>
      <c r="V165" s="371"/>
    </row>
    <row r="166" ht="15.75" customHeight="1">
      <c r="A166" s="372">
        <v>0.90625</v>
      </c>
      <c r="B166" s="371"/>
      <c r="C166" s="371"/>
      <c r="D166" s="371"/>
      <c r="E166" s="371"/>
      <c r="F166" s="371"/>
      <c r="G166" s="371"/>
      <c r="H166" s="371"/>
      <c r="I166" s="371"/>
      <c r="J166" s="371"/>
      <c r="K166" s="371"/>
      <c r="L166" s="371"/>
      <c r="M166" s="371"/>
      <c r="N166" s="371"/>
      <c r="O166" s="371"/>
      <c r="P166" s="371"/>
      <c r="Q166" s="371"/>
      <c r="R166" s="371"/>
      <c r="S166" s="371"/>
      <c r="T166" s="371"/>
      <c r="U166" s="371"/>
      <c r="V166" s="371"/>
    </row>
    <row r="167" ht="15.75" customHeight="1">
      <c r="A167" s="372">
        <v>0.9097222222222222</v>
      </c>
      <c r="B167" s="371"/>
      <c r="C167" s="371"/>
      <c r="D167" s="371"/>
      <c r="E167" s="371"/>
      <c r="F167" s="371"/>
      <c r="G167" s="371"/>
      <c r="H167" s="371"/>
      <c r="I167" s="371"/>
      <c r="J167" s="371"/>
      <c r="K167" s="371"/>
      <c r="L167" s="371"/>
      <c r="M167" s="371"/>
      <c r="N167" s="371"/>
      <c r="O167" s="371"/>
      <c r="P167" s="371"/>
      <c r="Q167" s="371"/>
      <c r="R167" s="371"/>
      <c r="S167" s="371"/>
      <c r="T167" s="371"/>
      <c r="U167" s="371"/>
      <c r="V167" s="371"/>
    </row>
    <row r="168" ht="15.75" customHeight="1">
      <c r="A168" s="372">
        <v>0.9131944444444444</v>
      </c>
      <c r="B168" s="371"/>
      <c r="C168" s="371"/>
      <c r="D168" s="371"/>
      <c r="E168" s="371"/>
      <c r="F168" s="371"/>
      <c r="G168" s="371"/>
      <c r="H168" s="371"/>
      <c r="I168" s="371"/>
      <c r="J168" s="371"/>
      <c r="K168" s="371"/>
      <c r="L168" s="371"/>
      <c r="M168" s="371"/>
      <c r="N168" s="371"/>
      <c r="O168" s="371"/>
      <c r="P168" s="371"/>
      <c r="Q168" s="371"/>
      <c r="R168" s="371"/>
      <c r="S168" s="371"/>
      <c r="T168" s="371"/>
      <c r="U168" s="371"/>
      <c r="V168" s="371"/>
    </row>
    <row r="169" ht="15.75" customHeight="1">
      <c r="A169" s="372">
        <v>0.9166666666666666</v>
      </c>
      <c r="B169" s="371"/>
      <c r="C169" s="371"/>
      <c r="D169" s="371"/>
      <c r="E169" s="371"/>
      <c r="F169" s="371"/>
      <c r="G169" s="371"/>
      <c r="H169" s="371"/>
      <c r="I169" s="371"/>
      <c r="J169" s="371"/>
      <c r="K169" s="371"/>
      <c r="L169" s="371"/>
      <c r="M169" s="371"/>
      <c r="N169" s="371"/>
      <c r="O169" s="371"/>
      <c r="P169" s="371"/>
      <c r="Q169" s="371"/>
      <c r="R169" s="371"/>
      <c r="S169" s="371"/>
      <c r="T169" s="371"/>
      <c r="U169" s="371"/>
      <c r="V169" s="371"/>
    </row>
    <row r="170" ht="15.75" customHeight="1">
      <c r="A170" s="372">
        <v>0.9201388888888888</v>
      </c>
      <c r="B170" s="371"/>
      <c r="C170" s="371"/>
      <c r="D170" s="371"/>
      <c r="E170" s="371"/>
      <c r="F170" s="371"/>
      <c r="G170" s="371"/>
      <c r="H170" s="371"/>
      <c r="I170" s="371"/>
      <c r="J170" s="371"/>
      <c r="K170" s="371"/>
      <c r="L170" s="371"/>
      <c r="M170" s="371"/>
      <c r="N170" s="371"/>
      <c r="O170" s="371"/>
      <c r="P170" s="371"/>
      <c r="Q170" s="371"/>
      <c r="R170" s="371"/>
      <c r="S170" s="371"/>
      <c r="T170" s="371"/>
      <c r="U170" s="371"/>
      <c r="V170" s="371"/>
    </row>
    <row r="171" ht="15.75" customHeight="1">
      <c r="A171" s="372">
        <v>0.9236111111111112</v>
      </c>
      <c r="B171" s="371"/>
      <c r="C171" s="371"/>
      <c r="D171" s="371"/>
      <c r="E171" s="371"/>
      <c r="F171" s="371"/>
      <c r="G171" s="371"/>
      <c r="H171" s="371"/>
      <c r="I171" s="371"/>
      <c r="J171" s="371"/>
      <c r="K171" s="371"/>
      <c r="L171" s="371"/>
      <c r="M171" s="371"/>
      <c r="N171" s="371"/>
      <c r="O171" s="371"/>
      <c r="P171" s="371"/>
      <c r="Q171" s="371"/>
      <c r="R171" s="371"/>
      <c r="S171" s="371"/>
      <c r="T171" s="371"/>
      <c r="U171" s="371"/>
      <c r="V171" s="371"/>
    </row>
    <row r="172" ht="15.75" customHeight="1">
      <c r="A172" s="372">
        <v>0.9270833333333334</v>
      </c>
      <c r="B172" s="371"/>
      <c r="C172" s="371"/>
      <c r="D172" s="371"/>
      <c r="E172" s="371"/>
      <c r="F172" s="371"/>
      <c r="G172" s="371"/>
      <c r="H172" s="371"/>
      <c r="I172" s="371"/>
      <c r="J172" s="371"/>
      <c r="K172" s="371"/>
      <c r="L172" s="371"/>
      <c r="M172" s="371"/>
      <c r="N172" s="371"/>
      <c r="O172" s="371"/>
      <c r="P172" s="371"/>
      <c r="Q172" s="371"/>
      <c r="R172" s="371"/>
      <c r="S172" s="371"/>
      <c r="T172" s="371"/>
      <c r="U172" s="371"/>
      <c r="V172" s="371"/>
    </row>
    <row r="173" ht="15.75" customHeight="1">
      <c r="A173" s="372">
        <v>0.9305555555555556</v>
      </c>
      <c r="B173" s="371"/>
      <c r="C173" s="371"/>
      <c r="D173" s="371"/>
      <c r="E173" s="371"/>
      <c r="F173" s="371"/>
      <c r="G173" s="371"/>
      <c r="H173" s="371"/>
      <c r="I173" s="371"/>
      <c r="J173" s="371"/>
      <c r="K173" s="371"/>
      <c r="L173" s="371"/>
      <c r="M173" s="371"/>
      <c r="N173" s="371"/>
      <c r="O173" s="371"/>
      <c r="P173" s="371"/>
      <c r="Q173" s="371"/>
      <c r="R173" s="371"/>
      <c r="S173" s="371"/>
      <c r="T173" s="371"/>
      <c r="U173" s="371"/>
      <c r="V173" s="371"/>
    </row>
    <row r="174" ht="15.75" customHeight="1">
      <c r="A174" s="372">
        <v>0.9340277777777778</v>
      </c>
      <c r="B174" s="371"/>
      <c r="C174" s="371"/>
      <c r="D174" s="371"/>
      <c r="E174" s="371"/>
      <c r="F174" s="371"/>
      <c r="G174" s="371"/>
      <c r="H174" s="371"/>
      <c r="I174" s="371"/>
      <c r="J174" s="371"/>
      <c r="K174" s="371"/>
      <c r="L174" s="371"/>
      <c r="M174" s="371"/>
      <c r="N174" s="371"/>
      <c r="O174" s="371"/>
      <c r="P174" s="371"/>
      <c r="Q174" s="371"/>
      <c r="R174" s="371"/>
      <c r="S174" s="371"/>
      <c r="T174" s="371"/>
      <c r="U174" s="371"/>
      <c r="V174" s="371"/>
    </row>
    <row r="175" ht="15.75" customHeight="1">
      <c r="A175" s="372">
        <v>0.9375</v>
      </c>
      <c r="B175" s="371"/>
      <c r="C175" s="371"/>
      <c r="D175" s="371"/>
      <c r="E175" s="371"/>
      <c r="F175" s="371"/>
      <c r="G175" s="371"/>
      <c r="H175" s="371"/>
      <c r="I175" s="371"/>
      <c r="J175" s="371"/>
      <c r="K175" s="371"/>
      <c r="L175" s="371"/>
      <c r="M175" s="371"/>
      <c r="N175" s="371"/>
      <c r="O175" s="371"/>
      <c r="P175" s="371"/>
      <c r="Q175" s="371"/>
      <c r="R175" s="371"/>
      <c r="S175" s="371"/>
      <c r="T175" s="371"/>
      <c r="U175" s="371"/>
      <c r="V175" s="371"/>
    </row>
    <row r="176" ht="15.75" customHeight="1">
      <c r="A176" s="372">
        <v>0.9409722222222222</v>
      </c>
      <c r="B176" s="371"/>
      <c r="C176" s="371"/>
      <c r="D176" s="371"/>
      <c r="E176" s="371"/>
      <c r="F176" s="371"/>
      <c r="G176" s="371"/>
      <c r="H176" s="371"/>
      <c r="I176" s="371"/>
      <c r="J176" s="371"/>
      <c r="K176" s="371"/>
      <c r="L176" s="371"/>
      <c r="M176" s="371"/>
      <c r="N176" s="371"/>
      <c r="O176" s="371"/>
      <c r="P176" s="371"/>
      <c r="Q176" s="371"/>
      <c r="R176" s="371"/>
      <c r="S176" s="371"/>
      <c r="T176" s="371"/>
      <c r="U176" s="371"/>
      <c r="V176" s="371"/>
    </row>
    <row r="177" ht="15.75" customHeight="1">
      <c r="A177" s="372">
        <v>0.9444444444444444</v>
      </c>
      <c r="B177" s="371"/>
      <c r="C177" s="371"/>
      <c r="D177" s="371"/>
      <c r="E177" s="371"/>
      <c r="F177" s="371"/>
      <c r="G177" s="371"/>
      <c r="H177" s="371"/>
      <c r="I177" s="371"/>
      <c r="J177" s="371"/>
      <c r="K177" s="371"/>
      <c r="L177" s="371"/>
      <c r="M177" s="371"/>
      <c r="N177" s="371"/>
      <c r="O177" s="371"/>
      <c r="P177" s="371"/>
      <c r="Q177" s="371"/>
      <c r="R177" s="371"/>
      <c r="S177" s="371"/>
      <c r="T177" s="371"/>
      <c r="U177" s="371"/>
      <c r="V177" s="371"/>
    </row>
    <row r="178" ht="15.75" customHeight="1">
      <c r="A178" s="372">
        <v>0.9479166666666666</v>
      </c>
      <c r="B178" s="371"/>
      <c r="C178" s="371"/>
      <c r="D178" s="371"/>
      <c r="E178" s="371"/>
      <c r="F178" s="371"/>
      <c r="G178" s="371"/>
      <c r="H178" s="371"/>
      <c r="I178" s="371"/>
      <c r="J178" s="371"/>
      <c r="K178" s="371"/>
      <c r="L178" s="371"/>
      <c r="M178" s="371"/>
      <c r="N178" s="371"/>
      <c r="O178" s="371"/>
      <c r="P178" s="371"/>
      <c r="Q178" s="371"/>
      <c r="R178" s="371"/>
      <c r="S178" s="371"/>
      <c r="T178" s="371"/>
      <c r="U178" s="371"/>
      <c r="V178" s="371"/>
    </row>
    <row r="179" ht="15.75" customHeight="1">
      <c r="A179" s="372">
        <v>0.9513888888888888</v>
      </c>
      <c r="B179" s="371"/>
      <c r="C179" s="371"/>
      <c r="D179" s="371"/>
      <c r="E179" s="371"/>
      <c r="F179" s="371"/>
      <c r="G179" s="371"/>
      <c r="H179" s="371"/>
      <c r="I179" s="371"/>
      <c r="J179" s="371"/>
      <c r="K179" s="371"/>
      <c r="L179" s="371"/>
      <c r="M179" s="371"/>
      <c r="N179" s="371"/>
      <c r="O179" s="371"/>
      <c r="P179" s="371"/>
      <c r="Q179" s="371"/>
      <c r="R179" s="371"/>
      <c r="S179" s="371"/>
      <c r="T179" s="371"/>
      <c r="U179" s="371"/>
      <c r="V179" s="371"/>
    </row>
    <row r="180" ht="15.75" customHeight="1">
      <c r="A180" s="372">
        <v>0.9548611111111112</v>
      </c>
      <c r="B180" s="371"/>
      <c r="C180" s="371"/>
      <c r="D180" s="371"/>
      <c r="E180" s="371"/>
      <c r="F180" s="371"/>
      <c r="G180" s="371"/>
      <c r="H180" s="371"/>
      <c r="I180" s="371"/>
      <c r="J180" s="371"/>
      <c r="K180" s="371"/>
      <c r="L180" s="371"/>
      <c r="M180" s="371"/>
      <c r="N180" s="371"/>
      <c r="O180" s="371"/>
      <c r="P180" s="371"/>
      <c r="Q180" s="371"/>
      <c r="R180" s="371"/>
      <c r="S180" s="371"/>
      <c r="T180" s="371"/>
      <c r="U180" s="371"/>
      <c r="V180" s="371"/>
    </row>
    <row r="181" ht="15.75" customHeight="1">
      <c r="A181" s="372">
        <v>0.9583333333333334</v>
      </c>
      <c r="B181" s="371"/>
      <c r="C181" s="371"/>
      <c r="D181" s="371"/>
      <c r="E181" s="371"/>
      <c r="F181" s="371"/>
      <c r="G181" s="371"/>
      <c r="H181" s="371"/>
      <c r="I181" s="371"/>
      <c r="J181" s="371"/>
      <c r="K181" s="371"/>
      <c r="L181" s="371"/>
      <c r="M181" s="371"/>
      <c r="N181" s="371"/>
      <c r="O181" s="371"/>
      <c r="P181" s="371"/>
      <c r="Q181" s="371"/>
      <c r="R181" s="371"/>
      <c r="S181" s="371"/>
      <c r="T181" s="371"/>
      <c r="U181" s="371"/>
      <c r="V181" s="371"/>
    </row>
    <row r="182" ht="15.75" customHeight="1">
      <c r="A182" s="372">
        <v>0.9618055555555556</v>
      </c>
      <c r="B182" s="371"/>
      <c r="C182" s="371"/>
      <c r="D182" s="371"/>
      <c r="E182" s="371"/>
      <c r="F182" s="371"/>
      <c r="G182" s="371"/>
      <c r="H182" s="371"/>
      <c r="I182" s="371"/>
      <c r="J182" s="371"/>
      <c r="K182" s="371"/>
      <c r="L182" s="371"/>
      <c r="M182" s="371"/>
      <c r="N182" s="371"/>
      <c r="O182" s="371"/>
      <c r="P182" s="371"/>
      <c r="Q182" s="371"/>
      <c r="R182" s="371"/>
      <c r="S182" s="371"/>
      <c r="T182" s="371"/>
      <c r="U182" s="371"/>
      <c r="V182" s="371"/>
    </row>
    <row r="183" ht="15.75" customHeight="1">
      <c r="A183" s="372">
        <v>0.9652777777777778</v>
      </c>
      <c r="B183" s="371"/>
      <c r="C183" s="371"/>
      <c r="D183" s="371"/>
      <c r="E183" s="371"/>
      <c r="F183" s="371"/>
      <c r="G183" s="371"/>
      <c r="H183" s="371"/>
      <c r="I183" s="371"/>
      <c r="J183" s="371"/>
      <c r="K183" s="371"/>
      <c r="L183" s="371"/>
      <c r="M183" s="371"/>
      <c r="N183" s="371"/>
      <c r="O183" s="371"/>
      <c r="P183" s="371"/>
      <c r="Q183" s="371"/>
      <c r="R183" s="371"/>
      <c r="S183" s="371"/>
      <c r="T183" s="371"/>
      <c r="U183" s="371"/>
      <c r="V183" s="371"/>
    </row>
    <row r="184" ht="15.75" customHeight="1">
      <c r="A184" s="372">
        <v>0.96875</v>
      </c>
      <c r="B184" s="371"/>
      <c r="C184" s="371"/>
      <c r="D184" s="371"/>
      <c r="E184" s="371"/>
      <c r="F184" s="371"/>
      <c r="G184" s="371"/>
      <c r="H184" s="371"/>
      <c r="I184" s="371"/>
      <c r="J184" s="371"/>
      <c r="K184" s="371"/>
      <c r="L184" s="371"/>
      <c r="M184" s="371"/>
      <c r="N184" s="371"/>
      <c r="O184" s="371"/>
      <c r="P184" s="371"/>
      <c r="Q184" s="371"/>
      <c r="R184" s="371"/>
      <c r="S184" s="371"/>
      <c r="T184" s="371"/>
      <c r="U184" s="371"/>
      <c r="V184" s="371"/>
    </row>
    <row r="185" ht="15.75" customHeight="1">
      <c r="A185" s="372">
        <v>0.9722222222222222</v>
      </c>
      <c r="B185" s="371"/>
      <c r="C185" s="371"/>
      <c r="D185" s="371"/>
      <c r="E185" s="371"/>
      <c r="F185" s="371"/>
      <c r="G185" s="371"/>
      <c r="H185" s="371"/>
      <c r="I185" s="371"/>
      <c r="J185" s="371"/>
      <c r="K185" s="371"/>
      <c r="L185" s="371"/>
      <c r="M185" s="371"/>
      <c r="N185" s="371"/>
      <c r="O185" s="371"/>
      <c r="P185" s="371"/>
      <c r="Q185" s="371"/>
      <c r="R185" s="371"/>
      <c r="S185" s="371"/>
      <c r="T185" s="371"/>
      <c r="U185" s="371"/>
      <c r="V185" s="371"/>
    </row>
    <row r="186" ht="15.75" customHeight="1">
      <c r="A186" s="372">
        <v>0.9756944444444444</v>
      </c>
      <c r="B186" s="371"/>
      <c r="C186" s="371"/>
      <c r="D186" s="371"/>
      <c r="E186" s="371"/>
      <c r="F186" s="371"/>
      <c r="G186" s="371"/>
      <c r="H186" s="371"/>
      <c r="I186" s="371"/>
      <c r="J186" s="371"/>
      <c r="K186" s="371"/>
      <c r="L186" s="371"/>
      <c r="M186" s="371"/>
      <c r="N186" s="371"/>
      <c r="O186" s="371"/>
      <c r="P186" s="371"/>
      <c r="Q186" s="371"/>
      <c r="R186" s="371"/>
      <c r="S186" s="371"/>
      <c r="T186" s="371"/>
      <c r="U186" s="371"/>
      <c r="V186" s="371"/>
    </row>
    <row r="187" ht="15.75" customHeight="1">
      <c r="A187" s="372">
        <v>0.9791666666666666</v>
      </c>
      <c r="B187" s="371"/>
      <c r="C187" s="371"/>
      <c r="D187" s="371"/>
      <c r="E187" s="371"/>
      <c r="F187" s="371"/>
      <c r="G187" s="371"/>
      <c r="H187" s="371"/>
      <c r="I187" s="371"/>
      <c r="J187" s="371"/>
      <c r="K187" s="371"/>
      <c r="L187" s="371"/>
      <c r="M187" s="371"/>
      <c r="N187" s="371"/>
      <c r="O187" s="371"/>
      <c r="P187" s="371"/>
      <c r="Q187" s="371"/>
      <c r="R187" s="371"/>
      <c r="S187" s="371"/>
      <c r="T187" s="371"/>
      <c r="U187" s="371"/>
      <c r="V187" s="371"/>
    </row>
    <row r="188" ht="15.75" customHeight="1">
      <c r="A188" s="372">
        <v>0.9826388888888888</v>
      </c>
      <c r="B188" s="371"/>
      <c r="C188" s="371"/>
      <c r="D188" s="371"/>
      <c r="E188" s="371"/>
      <c r="F188" s="371"/>
      <c r="G188" s="371"/>
      <c r="H188" s="371"/>
      <c r="I188" s="371"/>
      <c r="J188" s="371"/>
      <c r="K188" s="371"/>
      <c r="L188" s="371"/>
      <c r="M188" s="371"/>
      <c r="N188" s="371"/>
      <c r="O188" s="371"/>
      <c r="P188" s="371"/>
      <c r="Q188" s="371"/>
      <c r="R188" s="371"/>
      <c r="S188" s="371"/>
      <c r="T188" s="371"/>
      <c r="U188" s="371"/>
      <c r="V188" s="371"/>
    </row>
    <row r="189" ht="15.75" customHeight="1">
      <c r="A189" s="372">
        <v>0.9861111111111112</v>
      </c>
      <c r="B189" s="371"/>
      <c r="C189" s="371"/>
      <c r="D189" s="371"/>
      <c r="E189" s="371"/>
      <c r="F189" s="371"/>
      <c r="G189" s="371"/>
      <c r="H189" s="371"/>
      <c r="I189" s="371"/>
      <c r="J189" s="371"/>
      <c r="K189" s="371"/>
      <c r="L189" s="371"/>
      <c r="M189" s="371"/>
      <c r="N189" s="371"/>
      <c r="O189" s="371"/>
      <c r="P189" s="371"/>
      <c r="Q189" s="371"/>
      <c r="R189" s="371"/>
      <c r="S189" s="371"/>
      <c r="T189" s="371"/>
      <c r="U189" s="371"/>
      <c r="V189" s="371"/>
    </row>
    <row r="190" ht="15.75" customHeight="1">
      <c r="A190" s="372">
        <v>0.9895833333333334</v>
      </c>
      <c r="B190" s="371"/>
      <c r="C190" s="371"/>
      <c r="D190" s="371"/>
      <c r="E190" s="371"/>
      <c r="F190" s="371"/>
      <c r="G190" s="371"/>
      <c r="H190" s="371"/>
      <c r="I190" s="371"/>
      <c r="J190" s="371"/>
      <c r="K190" s="371"/>
      <c r="L190" s="371"/>
      <c r="M190" s="371"/>
      <c r="N190" s="371"/>
      <c r="O190" s="371"/>
      <c r="P190" s="371"/>
      <c r="Q190" s="371"/>
      <c r="R190" s="371"/>
      <c r="S190" s="371"/>
      <c r="T190" s="371"/>
      <c r="U190" s="371"/>
      <c r="V190" s="371"/>
    </row>
    <row r="191" ht="15.75" customHeight="1">
      <c r="A191" s="372">
        <v>0.9930555555555556</v>
      </c>
      <c r="B191" s="371"/>
      <c r="C191" s="371"/>
      <c r="D191" s="371"/>
      <c r="E191" s="371"/>
      <c r="F191" s="371"/>
      <c r="G191" s="371"/>
      <c r="H191" s="371"/>
      <c r="I191" s="371"/>
      <c r="J191" s="371"/>
      <c r="K191" s="371"/>
      <c r="L191" s="371"/>
      <c r="M191" s="371"/>
      <c r="N191" s="371"/>
      <c r="O191" s="371"/>
      <c r="P191" s="371"/>
      <c r="Q191" s="371"/>
      <c r="R191" s="371"/>
      <c r="S191" s="371"/>
      <c r="T191" s="371"/>
      <c r="U191" s="371"/>
      <c r="V191" s="371"/>
    </row>
    <row r="192" ht="15.75" customHeight="1">
      <c r="A192" s="372">
        <v>0.9965277777777778</v>
      </c>
      <c r="B192" s="371"/>
      <c r="C192" s="371"/>
      <c r="D192" s="371"/>
      <c r="E192" s="371"/>
      <c r="F192" s="371"/>
      <c r="G192" s="371"/>
      <c r="H192" s="371"/>
      <c r="I192" s="371"/>
      <c r="J192" s="371"/>
      <c r="K192" s="371"/>
      <c r="L192" s="371"/>
      <c r="M192" s="371"/>
      <c r="N192" s="371"/>
      <c r="O192" s="371"/>
      <c r="P192" s="371"/>
      <c r="Q192" s="371"/>
      <c r="R192" s="371"/>
      <c r="S192" s="371"/>
      <c r="T192" s="371"/>
      <c r="U192" s="371"/>
      <c r="V192" s="371"/>
    </row>
    <row r="193" ht="15.75" customHeight="1">
      <c r="A193" s="372">
        <v>1.0</v>
      </c>
      <c r="B193" s="371"/>
      <c r="C193" s="371"/>
      <c r="D193" s="371"/>
      <c r="E193" s="371"/>
      <c r="F193" s="371"/>
      <c r="G193" s="371"/>
      <c r="H193" s="371"/>
      <c r="I193" s="371"/>
      <c r="J193" s="371"/>
      <c r="K193" s="371"/>
      <c r="L193" s="371"/>
      <c r="M193" s="371"/>
      <c r="N193" s="371"/>
      <c r="O193" s="371"/>
      <c r="P193" s="371"/>
      <c r="Q193" s="371"/>
      <c r="R193" s="371"/>
      <c r="S193" s="371"/>
      <c r="T193" s="371"/>
      <c r="U193" s="371"/>
      <c r="V193" s="371"/>
    </row>
    <row r="194" ht="15.75" customHeight="1">
      <c r="A194" s="372">
        <v>1.0034722222222223</v>
      </c>
      <c r="B194" s="371"/>
      <c r="C194" s="371"/>
      <c r="D194" s="371"/>
      <c r="E194" s="371"/>
      <c r="F194" s="371"/>
      <c r="G194" s="371"/>
      <c r="H194" s="371"/>
      <c r="I194" s="371"/>
      <c r="J194" s="371"/>
      <c r="K194" s="371"/>
      <c r="L194" s="371"/>
      <c r="M194" s="371"/>
      <c r="N194" s="371"/>
      <c r="O194" s="371"/>
      <c r="P194" s="371"/>
      <c r="Q194" s="371"/>
      <c r="R194" s="371"/>
      <c r="S194" s="371"/>
      <c r="T194" s="371"/>
      <c r="U194" s="371"/>
      <c r="V194" s="371"/>
    </row>
    <row r="195" ht="15.75" customHeight="1">
      <c r="A195" s="372">
        <v>1.0069444444444444</v>
      </c>
      <c r="B195" s="371"/>
      <c r="C195" s="371"/>
      <c r="D195" s="371"/>
      <c r="E195" s="371"/>
      <c r="F195" s="371"/>
      <c r="G195" s="371"/>
      <c r="H195" s="371"/>
      <c r="I195" s="371"/>
      <c r="J195" s="371"/>
      <c r="K195" s="371"/>
      <c r="L195" s="371"/>
      <c r="M195" s="371"/>
      <c r="N195" s="371"/>
      <c r="O195" s="371"/>
      <c r="P195" s="371"/>
      <c r="Q195" s="371"/>
      <c r="R195" s="371"/>
      <c r="S195" s="371"/>
      <c r="T195" s="371"/>
      <c r="U195" s="371"/>
      <c r="V195" s="371"/>
    </row>
    <row r="196" ht="15.75" customHeight="1">
      <c r="A196" s="372">
        <v>1.0104166666666667</v>
      </c>
      <c r="B196" s="371"/>
      <c r="C196" s="371"/>
      <c r="D196" s="371"/>
      <c r="E196" s="371"/>
      <c r="F196" s="371"/>
      <c r="G196" s="371"/>
      <c r="H196" s="371"/>
      <c r="I196" s="371"/>
      <c r="J196" s="371"/>
      <c r="K196" s="371"/>
      <c r="L196" s="371"/>
      <c r="M196" s="371"/>
      <c r="N196" s="371"/>
      <c r="O196" s="371"/>
      <c r="P196" s="371"/>
      <c r="Q196" s="371"/>
      <c r="R196" s="371"/>
      <c r="S196" s="371"/>
      <c r="T196" s="371"/>
      <c r="U196" s="371"/>
      <c r="V196" s="371"/>
    </row>
    <row r="197" ht="15.75" customHeight="1">
      <c r="A197" s="372">
        <v>1.0138888888888888</v>
      </c>
      <c r="B197" s="371"/>
      <c r="C197" s="371"/>
      <c r="D197" s="371"/>
      <c r="E197" s="371"/>
      <c r="F197" s="371"/>
      <c r="G197" s="371"/>
      <c r="H197" s="371"/>
      <c r="I197" s="371"/>
      <c r="J197" s="371"/>
      <c r="K197" s="371"/>
      <c r="L197" s="371"/>
      <c r="M197" s="371"/>
      <c r="N197" s="371"/>
      <c r="O197" s="371"/>
      <c r="P197" s="371"/>
      <c r="Q197" s="371"/>
      <c r="R197" s="371"/>
      <c r="S197" s="371"/>
      <c r="T197" s="371"/>
      <c r="U197" s="371"/>
      <c r="V197" s="371"/>
    </row>
    <row r="198" ht="15.75" customHeight="1">
      <c r="A198" s="372">
        <v>1.0173611111111112</v>
      </c>
      <c r="B198" s="371"/>
      <c r="C198" s="371"/>
      <c r="D198" s="371"/>
      <c r="E198" s="371"/>
      <c r="F198" s="371"/>
      <c r="G198" s="371"/>
      <c r="H198" s="371"/>
      <c r="I198" s="371"/>
      <c r="J198" s="371"/>
      <c r="K198" s="371"/>
      <c r="L198" s="371"/>
      <c r="M198" s="371"/>
      <c r="N198" s="371"/>
      <c r="O198" s="371"/>
      <c r="P198" s="371"/>
      <c r="Q198" s="371"/>
      <c r="R198" s="371"/>
      <c r="S198" s="371"/>
      <c r="T198" s="371"/>
      <c r="U198" s="371"/>
      <c r="V198" s="371"/>
    </row>
    <row r="199" ht="15.75" customHeight="1">
      <c r="A199" s="372">
        <v>1.0208333333333333</v>
      </c>
      <c r="B199" s="371"/>
      <c r="C199" s="371"/>
      <c r="D199" s="371"/>
      <c r="E199" s="371"/>
      <c r="F199" s="371"/>
      <c r="G199" s="371"/>
      <c r="H199" s="371"/>
      <c r="I199" s="371"/>
      <c r="J199" s="371"/>
      <c r="K199" s="371"/>
      <c r="L199" s="371"/>
      <c r="M199" s="371"/>
      <c r="N199" s="371"/>
      <c r="O199" s="371"/>
      <c r="P199" s="371"/>
      <c r="Q199" s="371"/>
      <c r="R199" s="371"/>
      <c r="S199" s="371"/>
      <c r="T199" s="371"/>
      <c r="U199" s="371"/>
      <c r="V199" s="371"/>
    </row>
    <row r="200" ht="15.75" customHeight="1">
      <c r="A200" s="372">
        <v>1.0243055555555556</v>
      </c>
      <c r="B200" s="371"/>
      <c r="C200" s="371"/>
      <c r="D200" s="371"/>
      <c r="E200" s="371"/>
      <c r="F200" s="371"/>
      <c r="G200" s="371"/>
      <c r="H200" s="371"/>
      <c r="I200" s="371"/>
      <c r="J200" s="371"/>
      <c r="K200" s="371"/>
      <c r="L200" s="371"/>
      <c r="M200" s="371"/>
      <c r="N200" s="371"/>
      <c r="O200" s="371"/>
      <c r="P200" s="371"/>
      <c r="Q200" s="371"/>
      <c r="R200" s="371"/>
      <c r="S200" s="371"/>
      <c r="T200" s="371"/>
      <c r="U200" s="371"/>
      <c r="V200" s="371"/>
    </row>
    <row r="201" ht="15.75" customHeight="1">
      <c r="A201" s="372">
        <v>1.0277777777777777</v>
      </c>
      <c r="B201" s="371"/>
      <c r="C201" s="371"/>
      <c r="D201" s="371"/>
      <c r="E201" s="371"/>
      <c r="F201" s="371"/>
      <c r="G201" s="371"/>
      <c r="H201" s="371"/>
      <c r="I201" s="371"/>
      <c r="J201" s="371"/>
      <c r="K201" s="371"/>
      <c r="L201" s="371"/>
      <c r="M201" s="371"/>
      <c r="N201" s="371"/>
      <c r="O201" s="371"/>
      <c r="P201" s="371"/>
      <c r="Q201" s="371"/>
      <c r="R201" s="371"/>
      <c r="S201" s="371"/>
      <c r="T201" s="371"/>
      <c r="U201" s="371"/>
      <c r="V201" s="371"/>
    </row>
    <row r="202" ht="15.75" customHeight="1">
      <c r="A202" s="372">
        <v>1.03125</v>
      </c>
      <c r="B202" s="371"/>
      <c r="C202" s="371"/>
      <c r="D202" s="371"/>
      <c r="E202" s="371"/>
      <c r="F202" s="371"/>
      <c r="G202" s="371"/>
      <c r="H202" s="371"/>
      <c r="I202" s="371"/>
      <c r="J202" s="371"/>
      <c r="K202" s="371"/>
      <c r="L202" s="371"/>
      <c r="M202" s="371"/>
      <c r="N202" s="371"/>
      <c r="O202" s="371"/>
      <c r="P202" s="371"/>
      <c r="Q202" s="371"/>
      <c r="R202" s="371"/>
      <c r="S202" s="371"/>
      <c r="T202" s="371"/>
      <c r="U202" s="371"/>
      <c r="V202" s="371"/>
    </row>
    <row r="203" ht="15.75" customHeight="1">
      <c r="A203" s="372">
        <v>1.0347222222222223</v>
      </c>
      <c r="B203" s="371"/>
      <c r="C203" s="371"/>
      <c r="D203" s="371"/>
      <c r="E203" s="371"/>
      <c r="F203" s="371"/>
      <c r="G203" s="371"/>
      <c r="H203" s="371"/>
      <c r="I203" s="371"/>
      <c r="J203" s="371"/>
      <c r="K203" s="371"/>
      <c r="L203" s="371"/>
      <c r="M203" s="371"/>
      <c r="N203" s="371"/>
      <c r="O203" s="371"/>
      <c r="P203" s="371"/>
      <c r="Q203" s="371"/>
      <c r="R203" s="371"/>
      <c r="S203" s="371"/>
      <c r="T203" s="371"/>
      <c r="U203" s="371"/>
      <c r="V203" s="371"/>
    </row>
    <row r="204" ht="15.75" customHeight="1">
      <c r="A204" s="372">
        <v>1.0381944444444444</v>
      </c>
      <c r="B204" s="371"/>
      <c r="C204" s="371"/>
      <c r="D204" s="371"/>
      <c r="E204" s="371"/>
      <c r="F204" s="371"/>
      <c r="G204" s="371"/>
      <c r="H204" s="371"/>
      <c r="I204" s="371"/>
      <c r="J204" s="371"/>
      <c r="K204" s="371"/>
      <c r="L204" s="371"/>
      <c r="M204" s="371"/>
      <c r="N204" s="371"/>
      <c r="O204" s="371"/>
      <c r="P204" s="371"/>
      <c r="Q204" s="371"/>
      <c r="R204" s="371"/>
      <c r="S204" s="371"/>
      <c r="T204" s="371"/>
      <c r="U204" s="371"/>
      <c r="V204" s="371"/>
    </row>
    <row r="205" ht="15.75" customHeight="1">
      <c r="A205" s="372">
        <v>1.0416666666666667</v>
      </c>
      <c r="B205" s="371"/>
      <c r="C205" s="371"/>
      <c r="D205" s="371"/>
      <c r="E205" s="371"/>
      <c r="F205" s="371"/>
      <c r="G205" s="371"/>
      <c r="H205" s="371"/>
      <c r="I205" s="371"/>
      <c r="J205" s="371"/>
      <c r="K205" s="371"/>
      <c r="L205" s="371"/>
      <c r="M205" s="371"/>
      <c r="N205" s="371"/>
      <c r="O205" s="371"/>
      <c r="P205" s="371"/>
      <c r="Q205" s="371"/>
      <c r="R205" s="371"/>
      <c r="S205" s="371"/>
      <c r="T205" s="371"/>
      <c r="U205" s="371"/>
      <c r="V205" s="371"/>
    </row>
    <row r="206" ht="15.75" customHeight="1">
      <c r="A206" s="372">
        <v>1.0451388888888888</v>
      </c>
      <c r="B206" s="371"/>
      <c r="C206" s="371"/>
      <c r="D206" s="371"/>
      <c r="E206" s="371"/>
      <c r="F206" s="371"/>
      <c r="G206" s="371"/>
      <c r="H206" s="371"/>
      <c r="I206" s="371"/>
      <c r="J206" s="371"/>
      <c r="K206" s="371"/>
      <c r="L206" s="371"/>
      <c r="M206" s="371"/>
      <c r="N206" s="371"/>
      <c r="O206" s="371"/>
      <c r="P206" s="371"/>
      <c r="Q206" s="371"/>
      <c r="R206" s="371"/>
      <c r="S206" s="371"/>
      <c r="T206" s="371"/>
      <c r="U206" s="371"/>
      <c r="V206" s="371"/>
    </row>
    <row r="207" ht="15.75" customHeight="1">
      <c r="A207" s="372">
        <v>1.0486111111111112</v>
      </c>
      <c r="B207" s="371"/>
      <c r="C207" s="371"/>
      <c r="D207" s="371"/>
      <c r="E207" s="371"/>
      <c r="F207" s="371"/>
      <c r="G207" s="371"/>
      <c r="H207" s="371"/>
      <c r="I207" s="371"/>
      <c r="J207" s="371"/>
      <c r="K207" s="371"/>
      <c r="L207" s="371"/>
      <c r="M207" s="371"/>
      <c r="N207" s="371"/>
      <c r="O207" s="371"/>
      <c r="P207" s="371"/>
      <c r="Q207" s="371"/>
      <c r="R207" s="371"/>
      <c r="S207" s="371"/>
      <c r="T207" s="371"/>
      <c r="U207" s="371"/>
      <c r="V207" s="371"/>
    </row>
    <row r="208" ht="15.75" customHeight="1">
      <c r="A208" s="372">
        <v>1.0520833333333333</v>
      </c>
      <c r="B208" s="371"/>
      <c r="C208" s="371"/>
      <c r="D208" s="371"/>
      <c r="E208" s="371"/>
      <c r="F208" s="371"/>
      <c r="G208" s="371"/>
      <c r="H208" s="371"/>
      <c r="I208" s="371"/>
      <c r="J208" s="371"/>
      <c r="K208" s="371"/>
      <c r="L208" s="371"/>
      <c r="M208" s="371"/>
      <c r="N208" s="371"/>
      <c r="O208" s="371"/>
      <c r="P208" s="371"/>
      <c r="Q208" s="371"/>
      <c r="R208" s="371"/>
      <c r="S208" s="371"/>
      <c r="T208" s="371"/>
      <c r="U208" s="371"/>
      <c r="V208" s="371"/>
    </row>
    <row r="209" ht="15.75" customHeight="1">
      <c r="A209" s="372">
        <v>1.0555555555555556</v>
      </c>
      <c r="B209" s="371"/>
      <c r="C209" s="371"/>
      <c r="D209" s="371"/>
      <c r="E209" s="371"/>
      <c r="F209" s="371"/>
      <c r="G209" s="371"/>
      <c r="H209" s="371"/>
      <c r="I209" s="371"/>
      <c r="J209" s="371"/>
      <c r="K209" s="371"/>
      <c r="L209" s="371"/>
      <c r="M209" s="371"/>
      <c r="N209" s="371"/>
      <c r="O209" s="371"/>
      <c r="P209" s="371"/>
      <c r="Q209" s="371"/>
      <c r="R209" s="371"/>
      <c r="S209" s="371"/>
      <c r="T209" s="371"/>
      <c r="U209" s="371"/>
      <c r="V209" s="371"/>
    </row>
    <row r="210" ht="15.75" customHeight="1">
      <c r="A210" s="372">
        <v>1.0590277777777777</v>
      </c>
      <c r="B210" s="371"/>
      <c r="C210" s="371"/>
      <c r="D210" s="371"/>
      <c r="E210" s="371"/>
      <c r="F210" s="371"/>
      <c r="G210" s="371"/>
      <c r="H210" s="371"/>
      <c r="I210" s="371"/>
      <c r="J210" s="371"/>
      <c r="K210" s="371"/>
      <c r="L210" s="371"/>
      <c r="M210" s="371"/>
      <c r="N210" s="371"/>
      <c r="O210" s="371"/>
      <c r="P210" s="371"/>
      <c r="Q210" s="371"/>
      <c r="R210" s="371"/>
      <c r="S210" s="371"/>
      <c r="T210" s="371"/>
      <c r="U210" s="371"/>
      <c r="V210" s="371"/>
    </row>
    <row r="211" ht="15.75" customHeight="1">
      <c r="A211" s="372">
        <v>1.0625</v>
      </c>
      <c r="B211" s="371"/>
      <c r="C211" s="371"/>
      <c r="D211" s="371"/>
      <c r="E211" s="371"/>
      <c r="F211" s="371"/>
      <c r="G211" s="371"/>
      <c r="H211" s="371"/>
      <c r="I211" s="371"/>
      <c r="J211" s="371"/>
      <c r="K211" s="371"/>
      <c r="L211" s="371"/>
      <c r="M211" s="371"/>
      <c r="N211" s="371"/>
      <c r="O211" s="371"/>
      <c r="P211" s="371"/>
      <c r="Q211" s="371"/>
      <c r="R211" s="371"/>
      <c r="S211" s="371"/>
      <c r="T211" s="371"/>
      <c r="U211" s="371"/>
      <c r="V211" s="371"/>
    </row>
    <row r="212" ht="15.75" customHeight="1">
      <c r="A212" s="372">
        <v>1.0659722222222223</v>
      </c>
      <c r="B212" s="371"/>
      <c r="C212" s="371"/>
      <c r="D212" s="371"/>
      <c r="E212" s="371"/>
      <c r="F212" s="371"/>
      <c r="G212" s="371"/>
      <c r="H212" s="371"/>
      <c r="I212" s="371"/>
      <c r="J212" s="371"/>
      <c r="K212" s="371"/>
      <c r="L212" s="371"/>
      <c r="M212" s="371"/>
      <c r="N212" s="371"/>
      <c r="O212" s="371"/>
      <c r="P212" s="371"/>
      <c r="Q212" s="371"/>
      <c r="R212" s="371"/>
      <c r="S212" s="371"/>
      <c r="T212" s="371"/>
      <c r="U212" s="371"/>
      <c r="V212" s="371"/>
    </row>
    <row r="213" ht="15.75" customHeight="1">
      <c r="A213" s="372">
        <v>1.0694444444444444</v>
      </c>
      <c r="B213" s="371"/>
      <c r="C213" s="371"/>
      <c r="D213" s="371"/>
      <c r="E213" s="371"/>
      <c r="F213" s="371"/>
      <c r="G213" s="371"/>
      <c r="H213" s="371"/>
      <c r="I213" s="371"/>
      <c r="J213" s="371"/>
      <c r="K213" s="371"/>
      <c r="L213" s="371"/>
      <c r="M213" s="371"/>
      <c r="N213" s="371"/>
      <c r="O213" s="371"/>
      <c r="P213" s="371"/>
      <c r="Q213" s="371"/>
      <c r="R213" s="371"/>
      <c r="S213" s="371"/>
      <c r="T213" s="371"/>
      <c r="U213" s="371"/>
      <c r="V213" s="371"/>
    </row>
    <row r="214" ht="15.75" customHeight="1">
      <c r="A214" s="372">
        <v>1.0729166666666667</v>
      </c>
      <c r="B214" s="371"/>
      <c r="C214" s="371"/>
      <c r="D214" s="371"/>
      <c r="E214" s="371"/>
      <c r="F214" s="371"/>
      <c r="G214" s="371"/>
      <c r="H214" s="371"/>
      <c r="I214" s="371"/>
      <c r="J214" s="371"/>
      <c r="K214" s="371"/>
      <c r="L214" s="371"/>
      <c r="M214" s="371"/>
      <c r="N214" s="371"/>
      <c r="O214" s="371"/>
      <c r="P214" s="371"/>
      <c r="Q214" s="371"/>
      <c r="R214" s="371"/>
      <c r="S214" s="371"/>
      <c r="T214" s="371"/>
      <c r="U214" s="371"/>
      <c r="V214" s="371"/>
    </row>
    <row r="215" ht="15.75" customHeight="1">
      <c r="A215" s="372">
        <v>1.0763888888888888</v>
      </c>
      <c r="B215" s="371"/>
      <c r="C215" s="371"/>
      <c r="D215" s="371"/>
      <c r="E215" s="371"/>
      <c r="F215" s="371"/>
      <c r="G215" s="371"/>
      <c r="H215" s="371"/>
      <c r="I215" s="371"/>
      <c r="J215" s="371"/>
      <c r="K215" s="371"/>
      <c r="L215" s="371"/>
      <c r="M215" s="371"/>
      <c r="N215" s="371"/>
      <c r="O215" s="371"/>
      <c r="P215" s="371"/>
      <c r="Q215" s="371"/>
      <c r="R215" s="371"/>
      <c r="S215" s="371"/>
      <c r="T215" s="371"/>
      <c r="U215" s="371"/>
      <c r="V215" s="371"/>
    </row>
    <row r="216" ht="15.75" customHeight="1">
      <c r="A216" s="372">
        <v>1.0798611111111112</v>
      </c>
      <c r="B216" s="371"/>
      <c r="C216" s="371"/>
      <c r="D216" s="371"/>
      <c r="E216" s="371"/>
      <c r="F216" s="371"/>
      <c r="G216" s="371"/>
      <c r="H216" s="371"/>
      <c r="I216" s="371"/>
      <c r="J216" s="371"/>
      <c r="K216" s="371"/>
      <c r="L216" s="371"/>
      <c r="M216" s="371"/>
      <c r="N216" s="371"/>
      <c r="O216" s="371"/>
      <c r="P216" s="371"/>
      <c r="Q216" s="371"/>
      <c r="R216" s="371"/>
      <c r="S216" s="371"/>
      <c r="T216" s="371"/>
      <c r="U216" s="371"/>
      <c r="V216" s="371"/>
    </row>
    <row r="217" ht="15.75" customHeight="1">
      <c r="A217" s="372">
        <v>1.0833333333333333</v>
      </c>
      <c r="B217" s="371"/>
      <c r="C217" s="371"/>
      <c r="D217" s="371"/>
      <c r="E217" s="371"/>
      <c r="F217" s="371"/>
      <c r="G217" s="371"/>
      <c r="H217" s="371"/>
      <c r="I217" s="371"/>
      <c r="J217" s="371"/>
      <c r="K217" s="371"/>
      <c r="L217" s="371"/>
      <c r="M217" s="371"/>
      <c r="N217" s="371"/>
      <c r="O217" s="371"/>
      <c r="P217" s="371"/>
      <c r="Q217" s="371"/>
      <c r="R217" s="371"/>
      <c r="S217" s="371"/>
      <c r="T217" s="371"/>
      <c r="U217" s="371"/>
      <c r="V217" s="371"/>
    </row>
    <row r="218" ht="15.75" customHeight="1">
      <c r="A218" s="372">
        <v>1.0868055555555556</v>
      </c>
      <c r="B218" s="371"/>
      <c r="C218" s="371"/>
      <c r="D218" s="371"/>
      <c r="E218" s="371"/>
      <c r="F218" s="371"/>
      <c r="G218" s="371"/>
      <c r="H218" s="371"/>
      <c r="I218" s="371"/>
      <c r="J218" s="371"/>
      <c r="K218" s="371"/>
      <c r="L218" s="371"/>
      <c r="M218" s="371"/>
      <c r="N218" s="371"/>
      <c r="O218" s="371"/>
      <c r="P218" s="371"/>
      <c r="Q218" s="371"/>
      <c r="R218" s="371"/>
      <c r="S218" s="371"/>
      <c r="T218" s="371"/>
      <c r="U218" s="371"/>
      <c r="V218" s="371"/>
    </row>
    <row r="219" ht="15.75" customHeight="1">
      <c r="A219" s="372">
        <v>1.0902777777777777</v>
      </c>
      <c r="B219" s="371"/>
      <c r="C219" s="371"/>
      <c r="D219" s="371"/>
      <c r="E219" s="371"/>
      <c r="F219" s="371"/>
      <c r="G219" s="371"/>
      <c r="H219" s="371"/>
      <c r="I219" s="371"/>
      <c r="J219" s="371"/>
      <c r="K219" s="371"/>
      <c r="L219" s="371"/>
      <c r="M219" s="371"/>
      <c r="N219" s="371"/>
      <c r="O219" s="371"/>
      <c r="P219" s="371"/>
      <c r="Q219" s="371"/>
      <c r="R219" s="371"/>
      <c r="S219" s="371"/>
      <c r="T219" s="371"/>
      <c r="U219" s="371"/>
      <c r="V219" s="371"/>
    </row>
    <row r="220" ht="15.75" customHeight="1">
      <c r="A220" s="372">
        <v>1.09375</v>
      </c>
      <c r="B220" s="371"/>
      <c r="C220" s="371"/>
      <c r="D220" s="371"/>
      <c r="E220" s="371"/>
      <c r="F220" s="371"/>
      <c r="G220" s="371"/>
      <c r="H220" s="371"/>
      <c r="I220" s="371"/>
      <c r="J220" s="371"/>
      <c r="K220" s="371"/>
      <c r="L220" s="371"/>
      <c r="M220" s="371"/>
      <c r="N220" s="371"/>
      <c r="O220" s="371"/>
      <c r="P220" s="371"/>
      <c r="Q220" s="371"/>
      <c r="R220" s="371"/>
      <c r="S220" s="371"/>
      <c r="T220" s="371"/>
      <c r="U220" s="371"/>
      <c r="V220" s="371"/>
    </row>
    <row r="221" ht="15.75" customHeight="1">
      <c r="A221" s="372">
        <v>1.0972222222222223</v>
      </c>
      <c r="B221" s="371"/>
      <c r="C221" s="371"/>
      <c r="D221" s="371"/>
      <c r="E221" s="371"/>
      <c r="F221" s="371"/>
      <c r="G221" s="371"/>
      <c r="H221" s="371"/>
      <c r="I221" s="371"/>
      <c r="J221" s="371"/>
      <c r="K221" s="371"/>
      <c r="L221" s="371"/>
      <c r="M221" s="371"/>
      <c r="N221" s="371"/>
      <c r="O221" s="371"/>
      <c r="P221" s="371"/>
      <c r="Q221" s="371"/>
      <c r="R221" s="371"/>
      <c r="S221" s="371"/>
      <c r="T221" s="371"/>
      <c r="U221" s="371"/>
      <c r="V221" s="371"/>
    </row>
    <row r="222" ht="15.75" customHeight="1">
      <c r="A222" s="372">
        <v>1.1006944444444444</v>
      </c>
      <c r="B222" s="371"/>
      <c r="C222" s="371"/>
      <c r="D222" s="371"/>
      <c r="E222" s="371"/>
      <c r="F222" s="371"/>
      <c r="G222" s="371"/>
      <c r="H222" s="371"/>
      <c r="I222" s="371"/>
      <c r="J222" s="371"/>
      <c r="K222" s="371"/>
      <c r="L222" s="371"/>
      <c r="M222" s="371"/>
      <c r="N222" s="371"/>
      <c r="O222" s="371"/>
      <c r="P222" s="371"/>
      <c r="Q222" s="371"/>
      <c r="R222" s="371"/>
      <c r="S222" s="371"/>
      <c r="T222" s="371"/>
      <c r="U222" s="371"/>
      <c r="V222" s="371"/>
    </row>
    <row r="223" ht="15.75" customHeight="1">
      <c r="A223" s="372">
        <v>1.1041666666666667</v>
      </c>
      <c r="B223" s="371"/>
      <c r="C223" s="371"/>
      <c r="D223" s="371"/>
      <c r="E223" s="371"/>
      <c r="F223" s="371"/>
      <c r="G223" s="371"/>
      <c r="H223" s="371"/>
      <c r="I223" s="371"/>
      <c r="J223" s="371"/>
      <c r="K223" s="371"/>
      <c r="L223" s="371"/>
      <c r="M223" s="371"/>
      <c r="N223" s="371"/>
      <c r="O223" s="371"/>
      <c r="P223" s="371"/>
      <c r="Q223" s="371"/>
      <c r="R223" s="371"/>
      <c r="S223" s="371"/>
      <c r="T223" s="371"/>
      <c r="U223" s="371"/>
      <c r="V223" s="371"/>
    </row>
    <row r="224" ht="15.75" customHeight="1">
      <c r="A224" s="372">
        <v>1.1076388888888888</v>
      </c>
      <c r="B224" s="371"/>
      <c r="C224" s="371"/>
      <c r="D224" s="371"/>
      <c r="E224" s="371"/>
      <c r="F224" s="371"/>
      <c r="G224" s="371"/>
      <c r="H224" s="371"/>
      <c r="I224" s="371"/>
      <c r="J224" s="371"/>
      <c r="K224" s="371"/>
      <c r="L224" s="371"/>
      <c r="M224" s="371"/>
      <c r="N224" s="371"/>
      <c r="O224" s="371"/>
      <c r="P224" s="371"/>
      <c r="Q224" s="371"/>
      <c r="R224" s="371"/>
      <c r="S224" s="371"/>
      <c r="T224" s="371"/>
      <c r="U224" s="371"/>
      <c r="V224" s="371"/>
    </row>
    <row r="225" ht="15.75" customHeight="1">
      <c r="A225" s="372">
        <v>1.1111111111111112</v>
      </c>
      <c r="B225" s="371"/>
      <c r="C225" s="371"/>
      <c r="D225" s="371"/>
      <c r="E225" s="371"/>
      <c r="F225" s="371"/>
      <c r="G225" s="371"/>
      <c r="H225" s="371"/>
      <c r="I225" s="371"/>
      <c r="J225" s="371"/>
      <c r="K225" s="371"/>
      <c r="L225" s="371"/>
      <c r="M225" s="371"/>
      <c r="N225" s="371"/>
      <c r="O225" s="371"/>
      <c r="P225" s="371"/>
      <c r="Q225" s="371"/>
      <c r="R225" s="371"/>
      <c r="S225" s="371"/>
      <c r="T225" s="371"/>
      <c r="U225" s="371"/>
      <c r="V225" s="371"/>
    </row>
    <row r="226" ht="15.75" customHeight="1">
      <c r="A226" s="372">
        <v>1.1145833333333333</v>
      </c>
      <c r="B226" s="371"/>
      <c r="C226" s="371"/>
      <c r="D226" s="371"/>
      <c r="E226" s="371"/>
      <c r="F226" s="371"/>
      <c r="G226" s="371"/>
      <c r="H226" s="371"/>
      <c r="I226" s="371"/>
      <c r="J226" s="371"/>
      <c r="K226" s="371"/>
      <c r="L226" s="371"/>
      <c r="M226" s="371"/>
      <c r="N226" s="371"/>
      <c r="O226" s="371"/>
      <c r="P226" s="371"/>
      <c r="Q226" s="371"/>
      <c r="R226" s="371"/>
      <c r="S226" s="371"/>
      <c r="T226" s="371"/>
      <c r="U226" s="371"/>
      <c r="V226" s="371"/>
    </row>
    <row r="227" ht="15.75" customHeight="1">
      <c r="A227" s="372">
        <v>1.1180555555555556</v>
      </c>
      <c r="B227" s="371"/>
      <c r="C227" s="371"/>
      <c r="D227" s="371"/>
      <c r="E227" s="371"/>
      <c r="F227" s="371"/>
      <c r="G227" s="371"/>
      <c r="H227" s="371"/>
      <c r="I227" s="371"/>
      <c r="J227" s="371"/>
      <c r="K227" s="371"/>
      <c r="L227" s="371"/>
      <c r="M227" s="371"/>
      <c r="N227" s="371"/>
      <c r="O227" s="371"/>
      <c r="P227" s="371"/>
      <c r="Q227" s="371"/>
      <c r="R227" s="371"/>
      <c r="S227" s="371"/>
      <c r="T227" s="371"/>
      <c r="U227" s="371"/>
      <c r="V227" s="371"/>
    </row>
    <row r="228" ht="15.75" customHeight="1">
      <c r="A228" s="372">
        <v>1.1215277777777777</v>
      </c>
      <c r="B228" s="371"/>
      <c r="C228" s="371"/>
      <c r="D228" s="371"/>
      <c r="E228" s="371"/>
      <c r="F228" s="371"/>
      <c r="G228" s="371"/>
      <c r="H228" s="371"/>
      <c r="I228" s="371"/>
      <c r="J228" s="371"/>
      <c r="K228" s="371"/>
      <c r="L228" s="371"/>
      <c r="M228" s="371"/>
      <c r="N228" s="371"/>
      <c r="O228" s="371"/>
      <c r="P228" s="371"/>
      <c r="Q228" s="371"/>
      <c r="R228" s="371"/>
      <c r="S228" s="371"/>
      <c r="T228" s="371"/>
      <c r="U228" s="371"/>
      <c r="V228" s="371"/>
    </row>
    <row r="229" ht="15.75" customHeight="1">
      <c r="A229" s="372">
        <v>1.125</v>
      </c>
      <c r="B229" s="371"/>
      <c r="C229" s="371"/>
      <c r="D229" s="371"/>
      <c r="E229" s="371"/>
      <c r="F229" s="371"/>
      <c r="G229" s="371"/>
      <c r="H229" s="371"/>
      <c r="I229" s="371"/>
      <c r="J229" s="371"/>
      <c r="K229" s="371"/>
      <c r="L229" s="371"/>
      <c r="M229" s="371"/>
      <c r="N229" s="371"/>
      <c r="O229" s="371"/>
      <c r="P229" s="371"/>
      <c r="Q229" s="371"/>
      <c r="R229" s="371"/>
      <c r="S229" s="371"/>
      <c r="T229" s="371"/>
      <c r="U229" s="371"/>
      <c r="V229" s="371"/>
    </row>
    <row r="230" ht="15.75" customHeight="1">
      <c r="A230" s="372">
        <v>1.1284722222222223</v>
      </c>
      <c r="B230" s="371"/>
      <c r="C230" s="371"/>
      <c r="D230" s="371"/>
      <c r="E230" s="371"/>
      <c r="F230" s="371"/>
      <c r="G230" s="371"/>
      <c r="H230" s="371"/>
      <c r="I230" s="371"/>
      <c r="J230" s="371"/>
      <c r="K230" s="371"/>
      <c r="L230" s="371"/>
      <c r="M230" s="371"/>
      <c r="N230" s="371"/>
      <c r="O230" s="371"/>
      <c r="P230" s="371"/>
      <c r="Q230" s="371"/>
      <c r="R230" s="371"/>
      <c r="S230" s="371"/>
      <c r="T230" s="371"/>
      <c r="U230" s="371"/>
      <c r="V230" s="371"/>
    </row>
    <row r="231" ht="15.75" customHeight="1">
      <c r="A231" s="372">
        <v>1.1319444444444444</v>
      </c>
      <c r="B231" s="371"/>
      <c r="C231" s="371"/>
      <c r="D231" s="371"/>
      <c r="E231" s="371"/>
      <c r="F231" s="371"/>
      <c r="G231" s="371"/>
      <c r="H231" s="371"/>
      <c r="I231" s="371"/>
      <c r="J231" s="371"/>
      <c r="K231" s="371"/>
      <c r="L231" s="371"/>
      <c r="M231" s="371"/>
      <c r="N231" s="371"/>
      <c r="O231" s="371"/>
      <c r="P231" s="371"/>
      <c r="Q231" s="371"/>
      <c r="R231" s="371"/>
      <c r="S231" s="371"/>
      <c r="T231" s="371"/>
      <c r="U231" s="371"/>
      <c r="V231" s="371"/>
    </row>
    <row r="232" ht="15.75" customHeight="1">
      <c r="A232" s="372">
        <v>1.1354166666666667</v>
      </c>
      <c r="B232" s="371"/>
      <c r="C232" s="371"/>
      <c r="D232" s="371"/>
      <c r="E232" s="371"/>
      <c r="F232" s="371"/>
      <c r="G232" s="371"/>
      <c r="H232" s="371"/>
      <c r="I232" s="371"/>
      <c r="J232" s="371"/>
      <c r="K232" s="371"/>
      <c r="L232" s="371"/>
      <c r="M232" s="371"/>
      <c r="N232" s="371"/>
      <c r="O232" s="371"/>
      <c r="P232" s="371"/>
      <c r="Q232" s="371"/>
      <c r="R232" s="371"/>
      <c r="S232" s="371"/>
      <c r="T232" s="371"/>
      <c r="U232" s="371"/>
      <c r="V232" s="371"/>
    </row>
    <row r="233" ht="15.75" customHeight="1">
      <c r="A233" s="372">
        <v>1.1388888888888888</v>
      </c>
      <c r="B233" s="371"/>
      <c r="C233" s="371"/>
      <c r="D233" s="371"/>
      <c r="E233" s="371"/>
      <c r="F233" s="371"/>
      <c r="G233" s="371"/>
      <c r="H233" s="371"/>
      <c r="I233" s="371"/>
      <c r="J233" s="371"/>
      <c r="K233" s="371"/>
      <c r="L233" s="371"/>
      <c r="M233" s="371"/>
      <c r="N233" s="371"/>
      <c r="O233" s="371"/>
      <c r="P233" s="371"/>
      <c r="Q233" s="371"/>
      <c r="R233" s="371"/>
      <c r="S233" s="371"/>
      <c r="T233" s="371"/>
      <c r="U233" s="371"/>
      <c r="V233" s="371"/>
    </row>
    <row r="234" ht="15.75" customHeight="1">
      <c r="A234" s="372">
        <v>1.1423611111111112</v>
      </c>
      <c r="B234" s="371"/>
      <c r="C234" s="371"/>
      <c r="D234" s="371"/>
      <c r="E234" s="371"/>
      <c r="F234" s="371"/>
      <c r="G234" s="371"/>
      <c r="H234" s="371"/>
      <c r="I234" s="371"/>
      <c r="J234" s="371"/>
      <c r="K234" s="371"/>
      <c r="L234" s="371"/>
      <c r="M234" s="371"/>
      <c r="N234" s="371"/>
      <c r="O234" s="371"/>
      <c r="P234" s="371"/>
      <c r="Q234" s="371"/>
      <c r="R234" s="371"/>
      <c r="S234" s="371"/>
      <c r="T234" s="371"/>
      <c r="U234" s="371"/>
      <c r="V234" s="371"/>
    </row>
    <row r="235" ht="15.75" customHeight="1">
      <c r="A235" s="372">
        <v>1.1458333333333333</v>
      </c>
      <c r="B235" s="371"/>
      <c r="C235" s="371"/>
      <c r="D235" s="371"/>
      <c r="E235" s="371"/>
      <c r="F235" s="371"/>
      <c r="G235" s="371"/>
      <c r="H235" s="371"/>
      <c r="I235" s="371"/>
      <c r="J235" s="371"/>
      <c r="K235" s="371"/>
      <c r="L235" s="371"/>
      <c r="M235" s="371"/>
      <c r="N235" s="371"/>
      <c r="O235" s="371"/>
      <c r="P235" s="371"/>
      <c r="Q235" s="371"/>
      <c r="R235" s="371"/>
      <c r="S235" s="371"/>
      <c r="T235" s="371"/>
      <c r="U235" s="371"/>
      <c r="V235" s="371"/>
    </row>
    <row r="236" ht="15.75" customHeight="1">
      <c r="A236" s="372">
        <v>1.1493055555555556</v>
      </c>
      <c r="B236" s="371"/>
      <c r="C236" s="371"/>
      <c r="D236" s="371"/>
      <c r="E236" s="371"/>
      <c r="F236" s="371"/>
      <c r="G236" s="371"/>
      <c r="H236" s="371"/>
      <c r="I236" s="371"/>
      <c r="J236" s="371"/>
      <c r="K236" s="371"/>
      <c r="L236" s="371"/>
      <c r="M236" s="371"/>
      <c r="N236" s="371"/>
      <c r="O236" s="371"/>
      <c r="P236" s="371"/>
      <c r="Q236" s="371"/>
      <c r="R236" s="371"/>
      <c r="S236" s="371"/>
      <c r="T236" s="371"/>
      <c r="U236" s="371"/>
      <c r="V236" s="371"/>
    </row>
    <row r="237" ht="15.75" customHeight="1">
      <c r="A237" s="372">
        <v>1.1527777777777777</v>
      </c>
      <c r="B237" s="371"/>
      <c r="C237" s="371"/>
      <c r="D237" s="371"/>
      <c r="E237" s="371"/>
      <c r="F237" s="371"/>
      <c r="G237" s="371"/>
      <c r="H237" s="371"/>
      <c r="I237" s="371"/>
      <c r="J237" s="371"/>
      <c r="K237" s="371"/>
      <c r="L237" s="371"/>
      <c r="M237" s="371"/>
      <c r="N237" s="371"/>
      <c r="O237" s="371"/>
      <c r="P237" s="371"/>
      <c r="Q237" s="371"/>
      <c r="R237" s="371"/>
      <c r="S237" s="371"/>
      <c r="T237" s="371"/>
      <c r="U237" s="371"/>
      <c r="V237" s="371"/>
    </row>
    <row r="238" ht="15.75" customHeight="1">
      <c r="A238" s="372">
        <v>1.15625</v>
      </c>
      <c r="B238" s="371"/>
      <c r="C238" s="371"/>
      <c r="D238" s="371"/>
      <c r="E238" s="371"/>
      <c r="F238" s="371"/>
      <c r="G238" s="371"/>
      <c r="H238" s="371"/>
      <c r="I238" s="371"/>
      <c r="J238" s="371"/>
      <c r="K238" s="371"/>
      <c r="L238" s="371"/>
      <c r="M238" s="371"/>
      <c r="N238" s="371"/>
      <c r="O238" s="371"/>
      <c r="P238" s="371"/>
      <c r="Q238" s="371"/>
      <c r="R238" s="371"/>
      <c r="S238" s="371"/>
      <c r="T238" s="371"/>
      <c r="U238" s="371"/>
      <c r="V238" s="371"/>
    </row>
    <row r="239" ht="15.75" customHeight="1">
      <c r="A239" s="372">
        <v>1.1597222222222223</v>
      </c>
      <c r="B239" s="371"/>
      <c r="C239" s="371"/>
      <c r="D239" s="371"/>
      <c r="E239" s="371"/>
      <c r="F239" s="371"/>
      <c r="G239" s="371"/>
      <c r="H239" s="371"/>
      <c r="I239" s="371"/>
      <c r="J239" s="371"/>
      <c r="K239" s="371"/>
      <c r="L239" s="371"/>
      <c r="M239" s="371"/>
      <c r="N239" s="371"/>
      <c r="O239" s="371"/>
      <c r="P239" s="371"/>
      <c r="Q239" s="371"/>
      <c r="R239" s="371"/>
      <c r="S239" s="371"/>
      <c r="T239" s="371"/>
      <c r="U239" s="371"/>
      <c r="V239" s="371"/>
    </row>
    <row r="240" ht="15.75" customHeight="1">
      <c r="A240" s="372">
        <v>1.1631944444444444</v>
      </c>
      <c r="B240" s="371"/>
      <c r="C240" s="371"/>
      <c r="D240" s="371"/>
      <c r="E240" s="371"/>
      <c r="F240" s="371"/>
      <c r="G240" s="371"/>
      <c r="H240" s="371"/>
      <c r="I240" s="371"/>
      <c r="J240" s="371"/>
      <c r="K240" s="371"/>
      <c r="L240" s="371"/>
      <c r="M240" s="371"/>
      <c r="N240" s="371"/>
      <c r="O240" s="371"/>
      <c r="P240" s="371"/>
      <c r="Q240" s="371"/>
      <c r="R240" s="371"/>
      <c r="S240" s="371"/>
      <c r="T240" s="371"/>
      <c r="U240" s="371"/>
      <c r="V240" s="371"/>
    </row>
    <row r="241" ht="15.75" customHeight="1">
      <c r="A241" s="372">
        <v>1.1666666666666667</v>
      </c>
      <c r="B241" s="371"/>
      <c r="C241" s="371"/>
      <c r="D241" s="371"/>
      <c r="E241" s="371"/>
      <c r="F241" s="371"/>
      <c r="G241" s="371"/>
      <c r="H241" s="371"/>
      <c r="I241" s="371"/>
      <c r="J241" s="371"/>
      <c r="K241" s="371"/>
      <c r="L241" s="371"/>
      <c r="M241" s="371"/>
      <c r="N241" s="371"/>
      <c r="O241" s="371"/>
      <c r="P241" s="371"/>
      <c r="Q241" s="371"/>
      <c r="R241" s="371"/>
      <c r="S241" s="371"/>
      <c r="T241" s="371"/>
      <c r="U241" s="371"/>
      <c r="V241" s="371"/>
    </row>
    <row r="242" ht="15.75" customHeight="1">
      <c r="A242" s="372">
        <v>1.1701388888888888</v>
      </c>
      <c r="B242" s="371"/>
      <c r="C242" s="371"/>
      <c r="D242" s="371"/>
      <c r="E242" s="371"/>
      <c r="F242" s="371"/>
      <c r="G242" s="371"/>
      <c r="H242" s="371"/>
      <c r="I242" s="371"/>
      <c r="J242" s="371"/>
      <c r="K242" s="371"/>
      <c r="L242" s="371"/>
      <c r="M242" s="371"/>
      <c r="N242" s="371"/>
      <c r="O242" s="371"/>
      <c r="P242" s="371"/>
      <c r="Q242" s="371"/>
      <c r="R242" s="371"/>
      <c r="S242" s="371"/>
      <c r="T242" s="371"/>
      <c r="U242" s="371"/>
      <c r="V242" s="371"/>
    </row>
    <row r="243" ht="15.75" customHeight="1">
      <c r="A243" s="372">
        <v>1.1736111111111112</v>
      </c>
      <c r="B243" s="371"/>
      <c r="C243" s="371"/>
      <c r="D243" s="371"/>
      <c r="E243" s="371"/>
      <c r="F243" s="371"/>
      <c r="G243" s="371"/>
      <c r="H243" s="371"/>
      <c r="I243" s="371"/>
      <c r="J243" s="371"/>
      <c r="K243" s="371"/>
      <c r="L243" s="371"/>
      <c r="M243" s="371"/>
      <c r="N243" s="371"/>
      <c r="O243" s="371"/>
      <c r="P243" s="371"/>
      <c r="Q243" s="371"/>
      <c r="R243" s="371"/>
      <c r="S243" s="371"/>
      <c r="T243" s="371"/>
      <c r="U243" s="371"/>
      <c r="V243" s="371"/>
    </row>
    <row r="244" ht="15.75" customHeight="1">
      <c r="A244" s="372">
        <v>1.1770833333333333</v>
      </c>
      <c r="B244" s="371"/>
      <c r="C244" s="371"/>
      <c r="D244" s="371"/>
      <c r="E244" s="371"/>
      <c r="F244" s="371"/>
      <c r="G244" s="371"/>
      <c r="H244" s="371"/>
      <c r="I244" s="371"/>
      <c r="J244" s="371"/>
      <c r="K244" s="371"/>
      <c r="L244" s="371"/>
      <c r="M244" s="371"/>
      <c r="N244" s="371"/>
      <c r="O244" s="371"/>
      <c r="P244" s="371"/>
      <c r="Q244" s="371"/>
      <c r="R244" s="371"/>
      <c r="S244" s="371"/>
      <c r="T244" s="371"/>
      <c r="U244" s="371"/>
      <c r="V244" s="371"/>
    </row>
    <row r="245" ht="15.75" customHeight="1">
      <c r="A245" s="372">
        <v>1.1805555555555556</v>
      </c>
      <c r="B245" s="371"/>
      <c r="C245" s="371"/>
      <c r="D245" s="371"/>
      <c r="E245" s="371"/>
      <c r="F245" s="371"/>
      <c r="G245" s="371"/>
      <c r="H245" s="371"/>
      <c r="I245" s="371"/>
      <c r="J245" s="371"/>
      <c r="K245" s="371"/>
      <c r="L245" s="371"/>
      <c r="M245" s="371"/>
      <c r="N245" s="371"/>
      <c r="O245" s="371"/>
      <c r="P245" s="371"/>
      <c r="Q245" s="371"/>
      <c r="R245" s="371"/>
      <c r="S245" s="371"/>
      <c r="T245" s="371"/>
      <c r="U245" s="371"/>
      <c r="V245" s="371"/>
    </row>
    <row r="246" ht="15.75" customHeight="1">
      <c r="A246" s="372">
        <v>1.1840277777777777</v>
      </c>
      <c r="B246" s="371"/>
      <c r="C246" s="371"/>
      <c r="D246" s="371"/>
      <c r="E246" s="371"/>
      <c r="F246" s="371"/>
      <c r="G246" s="371"/>
      <c r="H246" s="371"/>
      <c r="I246" s="371"/>
      <c r="J246" s="371"/>
      <c r="K246" s="371"/>
      <c r="L246" s="371"/>
      <c r="M246" s="371"/>
      <c r="N246" s="371"/>
      <c r="O246" s="371"/>
      <c r="P246" s="371"/>
      <c r="Q246" s="371"/>
      <c r="R246" s="371"/>
      <c r="S246" s="371"/>
      <c r="T246" s="371"/>
      <c r="U246" s="371"/>
      <c r="V246" s="371"/>
    </row>
    <row r="247" ht="15.75" customHeight="1">
      <c r="A247" s="372">
        <v>1.1875</v>
      </c>
      <c r="B247" s="371"/>
      <c r="C247" s="371"/>
      <c r="D247" s="371"/>
      <c r="E247" s="371"/>
      <c r="F247" s="371"/>
      <c r="G247" s="371"/>
      <c r="H247" s="371"/>
      <c r="I247" s="371"/>
      <c r="J247" s="371"/>
      <c r="K247" s="371"/>
      <c r="L247" s="371"/>
      <c r="M247" s="371"/>
      <c r="N247" s="371"/>
      <c r="O247" s="371"/>
      <c r="P247" s="371"/>
      <c r="Q247" s="371"/>
      <c r="R247" s="371"/>
      <c r="S247" s="371"/>
      <c r="T247" s="371"/>
      <c r="U247" s="371"/>
      <c r="V247" s="371"/>
    </row>
    <row r="248" ht="15.75" customHeight="1">
      <c r="A248" s="372">
        <v>1.1909722222222223</v>
      </c>
      <c r="B248" s="371"/>
      <c r="C248" s="371"/>
      <c r="D248" s="371"/>
      <c r="E248" s="371"/>
      <c r="F248" s="371"/>
      <c r="G248" s="371"/>
      <c r="H248" s="371"/>
      <c r="I248" s="371"/>
      <c r="J248" s="371"/>
      <c r="K248" s="371"/>
      <c r="L248" s="371"/>
      <c r="M248" s="371"/>
      <c r="N248" s="371"/>
      <c r="O248" s="371"/>
      <c r="P248" s="371"/>
      <c r="Q248" s="371"/>
      <c r="R248" s="371"/>
      <c r="S248" s="371"/>
      <c r="T248" s="371"/>
      <c r="U248" s="371"/>
      <c r="V248" s="371"/>
    </row>
    <row r="249" ht="15.75" customHeight="1">
      <c r="A249" s="372">
        <v>1.1944444444444444</v>
      </c>
      <c r="B249" s="371"/>
      <c r="C249" s="371"/>
      <c r="D249" s="371"/>
      <c r="E249" s="371"/>
      <c r="F249" s="371"/>
      <c r="G249" s="371"/>
      <c r="H249" s="371"/>
      <c r="I249" s="371"/>
      <c r="J249" s="371"/>
      <c r="K249" s="371"/>
      <c r="L249" s="371"/>
      <c r="M249" s="371"/>
      <c r="N249" s="371"/>
      <c r="O249" s="371"/>
      <c r="P249" s="371"/>
      <c r="Q249" s="371"/>
      <c r="R249" s="371"/>
      <c r="S249" s="371"/>
      <c r="T249" s="371"/>
      <c r="U249" s="371"/>
      <c r="V249" s="371"/>
    </row>
    <row r="250" ht="15.75" customHeight="1">
      <c r="A250" s="372">
        <v>1.1979166666666667</v>
      </c>
      <c r="B250" s="371"/>
      <c r="C250" s="371"/>
      <c r="D250" s="371"/>
      <c r="E250" s="371"/>
      <c r="F250" s="371"/>
      <c r="G250" s="371"/>
      <c r="H250" s="371"/>
      <c r="I250" s="371"/>
      <c r="J250" s="371"/>
      <c r="K250" s="371"/>
      <c r="L250" s="371"/>
      <c r="M250" s="371"/>
      <c r="N250" s="371"/>
      <c r="O250" s="371"/>
      <c r="P250" s="371"/>
      <c r="Q250" s="371"/>
      <c r="R250" s="371"/>
      <c r="S250" s="371"/>
      <c r="T250" s="371"/>
      <c r="U250" s="371"/>
      <c r="V250" s="371"/>
    </row>
    <row r="251" ht="15.75" customHeight="1">
      <c r="A251" s="372">
        <v>1.2013888888888888</v>
      </c>
      <c r="B251" s="371"/>
      <c r="C251" s="371"/>
      <c r="D251" s="371"/>
      <c r="E251" s="371"/>
      <c r="F251" s="371"/>
      <c r="G251" s="371"/>
      <c r="H251" s="371"/>
      <c r="I251" s="371"/>
      <c r="J251" s="371"/>
      <c r="K251" s="371"/>
      <c r="L251" s="371"/>
      <c r="M251" s="371"/>
      <c r="N251" s="371"/>
      <c r="O251" s="371"/>
      <c r="P251" s="371"/>
      <c r="Q251" s="371"/>
      <c r="R251" s="371"/>
      <c r="S251" s="371"/>
      <c r="T251" s="371"/>
      <c r="U251" s="371"/>
      <c r="V251" s="371"/>
    </row>
    <row r="252" ht="15.75" customHeight="1">
      <c r="A252" s="372">
        <v>1.2048611111111112</v>
      </c>
      <c r="B252" s="371"/>
      <c r="C252" s="371"/>
      <c r="D252" s="371"/>
      <c r="E252" s="371"/>
      <c r="F252" s="371"/>
      <c r="G252" s="371"/>
      <c r="H252" s="371"/>
      <c r="I252" s="371"/>
      <c r="J252" s="371"/>
      <c r="K252" s="371"/>
      <c r="L252" s="371"/>
      <c r="M252" s="371"/>
      <c r="N252" s="371"/>
      <c r="O252" s="371"/>
      <c r="P252" s="371"/>
      <c r="Q252" s="371"/>
      <c r="R252" s="371"/>
      <c r="S252" s="371"/>
      <c r="T252" s="371"/>
      <c r="U252" s="371"/>
      <c r="V252" s="371"/>
    </row>
    <row r="253" ht="15.75" customHeight="1">
      <c r="A253" s="372">
        <v>1.2083333333333333</v>
      </c>
      <c r="B253" s="371"/>
      <c r="C253" s="371"/>
      <c r="D253" s="371"/>
      <c r="E253" s="371"/>
      <c r="F253" s="371"/>
      <c r="G253" s="371"/>
      <c r="H253" s="371"/>
      <c r="I253" s="371"/>
      <c r="J253" s="371"/>
      <c r="K253" s="371"/>
      <c r="L253" s="371"/>
      <c r="M253" s="371"/>
      <c r="N253" s="371"/>
      <c r="O253" s="371"/>
      <c r="P253" s="371"/>
      <c r="Q253" s="371"/>
      <c r="R253" s="371"/>
      <c r="S253" s="371"/>
      <c r="T253" s="371"/>
      <c r="U253" s="371"/>
      <c r="V253" s="371"/>
    </row>
    <row r="254" ht="15.75" customHeight="1">
      <c r="A254" s="372"/>
      <c r="B254" s="371"/>
      <c r="C254" s="371"/>
      <c r="D254" s="371"/>
      <c r="E254" s="371"/>
      <c r="F254" s="371"/>
      <c r="G254" s="371"/>
      <c r="H254" s="371"/>
      <c r="I254" s="371"/>
      <c r="J254" s="371"/>
      <c r="K254" s="371"/>
      <c r="L254" s="371"/>
      <c r="M254" s="371"/>
      <c r="N254" s="371"/>
      <c r="O254" s="371"/>
      <c r="P254" s="371"/>
      <c r="Q254" s="371"/>
      <c r="R254" s="371"/>
      <c r="S254" s="371"/>
      <c r="T254" s="371"/>
      <c r="U254" s="371"/>
      <c r="V254" s="371"/>
    </row>
    <row r="255" ht="15.75" customHeight="1">
      <c r="A255" s="372"/>
      <c r="B255" s="371"/>
      <c r="C255" s="371"/>
      <c r="D255" s="371"/>
      <c r="E255" s="371"/>
      <c r="F255" s="371"/>
      <c r="G255" s="371"/>
      <c r="H255" s="371"/>
      <c r="I255" s="371"/>
      <c r="J255" s="371"/>
      <c r="K255" s="371"/>
      <c r="L255" s="371"/>
      <c r="M255" s="371"/>
      <c r="N255" s="371"/>
      <c r="O255" s="371"/>
      <c r="P255" s="371"/>
      <c r="Q255" s="371"/>
      <c r="R255" s="371"/>
      <c r="S255" s="371"/>
      <c r="T255" s="371"/>
      <c r="U255" s="371"/>
      <c r="V255" s="371"/>
    </row>
    <row r="256" ht="15.75" customHeight="1">
      <c r="A256" s="372"/>
      <c r="B256" s="371"/>
      <c r="C256" s="371"/>
      <c r="D256" s="371"/>
      <c r="E256" s="371"/>
      <c r="F256" s="371"/>
      <c r="G256" s="371"/>
      <c r="H256" s="371"/>
      <c r="I256" s="371"/>
      <c r="J256" s="371"/>
      <c r="K256" s="371"/>
      <c r="L256" s="371"/>
      <c r="M256" s="371"/>
      <c r="N256" s="371"/>
      <c r="O256" s="371"/>
      <c r="P256" s="371"/>
      <c r="Q256" s="371"/>
      <c r="R256" s="371"/>
      <c r="S256" s="371"/>
      <c r="T256" s="371"/>
      <c r="U256" s="371"/>
      <c r="V256" s="371"/>
    </row>
    <row r="257" ht="15.75" customHeight="1">
      <c r="A257" s="372"/>
      <c r="B257" s="371"/>
      <c r="C257" s="371"/>
      <c r="D257" s="371"/>
      <c r="E257" s="371"/>
      <c r="F257" s="371"/>
      <c r="G257" s="371"/>
      <c r="H257" s="371"/>
      <c r="I257" s="371"/>
      <c r="J257" s="371"/>
      <c r="K257" s="371"/>
      <c r="L257" s="371"/>
      <c r="M257" s="371"/>
      <c r="N257" s="371"/>
      <c r="O257" s="371"/>
      <c r="P257" s="371"/>
      <c r="Q257" s="371"/>
      <c r="R257" s="371"/>
      <c r="S257" s="371"/>
      <c r="T257" s="371"/>
      <c r="U257" s="371"/>
      <c r="V257" s="371"/>
    </row>
    <row r="258" ht="15.75" customHeight="1">
      <c r="A258" s="372"/>
      <c r="B258" s="371"/>
      <c r="C258" s="371"/>
      <c r="D258" s="371"/>
      <c r="E258" s="371"/>
      <c r="F258" s="371"/>
      <c r="G258" s="371"/>
      <c r="H258" s="371"/>
      <c r="I258" s="371"/>
      <c r="J258" s="371"/>
      <c r="K258" s="371"/>
      <c r="L258" s="371"/>
      <c r="M258" s="371"/>
      <c r="N258" s="371"/>
      <c r="O258" s="371"/>
      <c r="P258" s="371"/>
      <c r="Q258" s="371"/>
      <c r="R258" s="371"/>
      <c r="S258" s="371"/>
      <c r="T258" s="371"/>
      <c r="U258" s="371"/>
      <c r="V258" s="371"/>
    </row>
    <row r="259" ht="15.75" customHeight="1">
      <c r="A259" s="372"/>
      <c r="B259" s="371"/>
      <c r="C259" s="371"/>
      <c r="D259" s="371"/>
      <c r="E259" s="371"/>
      <c r="F259" s="371"/>
      <c r="G259" s="371"/>
      <c r="H259" s="371"/>
      <c r="I259" s="371"/>
      <c r="J259" s="371"/>
      <c r="K259" s="371"/>
      <c r="L259" s="371"/>
      <c r="M259" s="371"/>
      <c r="N259" s="371"/>
      <c r="O259" s="371"/>
      <c r="P259" s="371"/>
      <c r="Q259" s="371"/>
      <c r="R259" s="371"/>
      <c r="S259" s="371"/>
      <c r="T259" s="371"/>
      <c r="U259" s="371"/>
      <c r="V259" s="371"/>
    </row>
    <row r="260" ht="15.75" customHeight="1">
      <c r="A260" s="372"/>
      <c r="B260" s="371"/>
      <c r="C260" s="371"/>
      <c r="D260" s="371"/>
      <c r="E260" s="371"/>
      <c r="F260" s="371"/>
      <c r="G260" s="371"/>
      <c r="H260" s="371"/>
      <c r="I260" s="371"/>
      <c r="J260" s="371"/>
      <c r="K260" s="371"/>
      <c r="L260" s="371"/>
      <c r="M260" s="371"/>
      <c r="N260" s="371"/>
      <c r="O260" s="371"/>
      <c r="P260" s="371"/>
      <c r="Q260" s="371"/>
      <c r="R260" s="371"/>
      <c r="S260" s="371"/>
      <c r="T260" s="371"/>
      <c r="U260" s="371"/>
      <c r="V260" s="371"/>
    </row>
    <row r="261" ht="15.75" customHeight="1">
      <c r="A261" s="371"/>
      <c r="B261" s="371"/>
      <c r="C261" s="371"/>
      <c r="D261" s="371"/>
      <c r="E261" s="371"/>
      <c r="F261" s="371"/>
      <c r="G261" s="371"/>
      <c r="H261" s="371"/>
      <c r="I261" s="371"/>
      <c r="J261" s="371"/>
      <c r="K261" s="371"/>
      <c r="L261" s="371"/>
      <c r="M261" s="371"/>
      <c r="N261" s="371"/>
      <c r="O261" s="371"/>
      <c r="P261" s="371"/>
      <c r="Q261" s="371"/>
      <c r="R261" s="371"/>
      <c r="S261" s="371"/>
      <c r="T261" s="371"/>
      <c r="U261" s="371"/>
      <c r="V261" s="371"/>
    </row>
    <row r="262" ht="15.75" customHeight="1">
      <c r="A262" s="371"/>
      <c r="B262" s="371"/>
      <c r="C262" s="371"/>
      <c r="D262" s="371"/>
      <c r="E262" s="371"/>
      <c r="F262" s="371"/>
      <c r="G262" s="371"/>
      <c r="H262" s="371"/>
      <c r="I262" s="371"/>
      <c r="J262" s="371"/>
      <c r="K262" s="371"/>
      <c r="L262" s="371"/>
      <c r="M262" s="371"/>
      <c r="N262" s="371"/>
      <c r="O262" s="371"/>
      <c r="P262" s="371"/>
      <c r="Q262" s="371"/>
      <c r="R262" s="371"/>
      <c r="S262" s="371"/>
      <c r="T262" s="371"/>
      <c r="U262" s="371"/>
      <c r="V262" s="371"/>
    </row>
    <row r="263" ht="15.75" customHeight="1">
      <c r="A263" s="371"/>
      <c r="B263" s="371"/>
      <c r="C263" s="371"/>
      <c r="D263" s="371"/>
      <c r="E263" s="371"/>
      <c r="F263" s="371"/>
      <c r="G263" s="371"/>
      <c r="H263" s="371"/>
      <c r="I263" s="371"/>
      <c r="J263" s="371"/>
      <c r="K263" s="371"/>
      <c r="L263" s="371"/>
      <c r="M263" s="371"/>
      <c r="N263" s="371"/>
      <c r="O263" s="371"/>
      <c r="P263" s="371"/>
      <c r="Q263" s="371"/>
      <c r="R263" s="371"/>
      <c r="S263" s="371"/>
      <c r="T263" s="371"/>
      <c r="U263" s="371"/>
      <c r="V263" s="371"/>
    </row>
    <row r="264" ht="15.75" customHeight="1">
      <c r="A264" s="371"/>
      <c r="B264" s="371"/>
      <c r="C264" s="371"/>
      <c r="D264" s="371"/>
      <c r="E264" s="371"/>
      <c r="F264" s="371"/>
      <c r="G264" s="371"/>
      <c r="H264" s="371"/>
      <c r="I264" s="371"/>
      <c r="J264" s="371"/>
      <c r="K264" s="371"/>
      <c r="L264" s="371"/>
      <c r="M264" s="371"/>
      <c r="N264" s="371"/>
      <c r="O264" s="371"/>
      <c r="P264" s="371"/>
      <c r="Q264" s="371"/>
      <c r="R264" s="371"/>
      <c r="S264" s="371"/>
      <c r="T264" s="371"/>
      <c r="U264" s="371"/>
      <c r="V264" s="371"/>
    </row>
    <row r="265" ht="15.75" customHeight="1">
      <c r="A265" s="371"/>
      <c r="B265" s="371"/>
      <c r="C265" s="371"/>
      <c r="D265" s="371"/>
      <c r="E265" s="371"/>
      <c r="F265" s="371"/>
      <c r="G265" s="371"/>
      <c r="H265" s="371"/>
      <c r="I265" s="371"/>
      <c r="J265" s="371"/>
      <c r="K265" s="371"/>
      <c r="L265" s="371"/>
      <c r="M265" s="371"/>
      <c r="N265" s="371"/>
      <c r="O265" s="371"/>
      <c r="P265" s="371"/>
      <c r="Q265" s="371"/>
      <c r="R265" s="371"/>
      <c r="S265" s="371"/>
      <c r="T265" s="371"/>
      <c r="U265" s="371"/>
      <c r="V265" s="371"/>
    </row>
    <row r="266" ht="15.75" customHeight="1">
      <c r="A266" s="371"/>
      <c r="B266" s="371"/>
      <c r="C266" s="371"/>
      <c r="D266" s="371"/>
      <c r="E266" s="371"/>
      <c r="F266" s="371"/>
      <c r="G266" s="371"/>
      <c r="H266" s="371"/>
      <c r="I266" s="371"/>
      <c r="J266" s="371"/>
      <c r="K266" s="371"/>
      <c r="L266" s="371"/>
      <c r="M266" s="371"/>
      <c r="N266" s="371"/>
      <c r="O266" s="371"/>
      <c r="P266" s="371"/>
      <c r="Q266" s="371"/>
      <c r="R266" s="371"/>
      <c r="S266" s="371"/>
      <c r="T266" s="371"/>
      <c r="U266" s="371"/>
      <c r="V266" s="371"/>
    </row>
    <row r="267" ht="15.75" customHeight="1">
      <c r="A267" s="371"/>
      <c r="B267" s="371"/>
      <c r="C267" s="371"/>
      <c r="D267" s="371"/>
      <c r="E267" s="371"/>
      <c r="F267" s="371"/>
      <c r="G267" s="371"/>
      <c r="H267" s="371"/>
      <c r="I267" s="371"/>
      <c r="J267" s="371"/>
      <c r="K267" s="371"/>
      <c r="L267" s="371"/>
      <c r="M267" s="371"/>
      <c r="N267" s="371"/>
      <c r="O267" s="371"/>
      <c r="P267" s="371"/>
      <c r="Q267" s="371"/>
      <c r="R267" s="371"/>
      <c r="S267" s="371"/>
      <c r="T267" s="371"/>
      <c r="U267" s="371"/>
      <c r="V267" s="371"/>
    </row>
    <row r="268" ht="15.75" customHeight="1">
      <c r="A268" s="371"/>
      <c r="B268" s="371"/>
      <c r="C268" s="371"/>
      <c r="D268" s="371"/>
      <c r="E268" s="371"/>
      <c r="F268" s="371"/>
      <c r="G268" s="371"/>
      <c r="H268" s="371"/>
      <c r="I268" s="371"/>
      <c r="J268" s="371"/>
      <c r="K268" s="371"/>
      <c r="L268" s="371"/>
      <c r="M268" s="371"/>
      <c r="N268" s="371"/>
      <c r="O268" s="371"/>
      <c r="P268" s="371"/>
      <c r="Q268" s="371"/>
      <c r="R268" s="371"/>
      <c r="S268" s="371"/>
      <c r="T268" s="371"/>
      <c r="U268" s="371"/>
      <c r="V268" s="371"/>
    </row>
    <row r="269" ht="15.75" customHeight="1">
      <c r="A269" s="371"/>
      <c r="B269" s="371"/>
      <c r="C269" s="371"/>
      <c r="D269" s="371"/>
      <c r="E269" s="371"/>
      <c r="F269" s="371"/>
      <c r="G269" s="371"/>
      <c r="H269" s="371"/>
      <c r="I269" s="371"/>
      <c r="J269" s="371"/>
      <c r="K269" s="371"/>
      <c r="L269" s="371"/>
      <c r="M269" s="371"/>
      <c r="N269" s="371"/>
      <c r="O269" s="371"/>
      <c r="P269" s="371"/>
      <c r="Q269" s="371"/>
      <c r="R269" s="371"/>
      <c r="S269" s="371"/>
      <c r="T269" s="371"/>
      <c r="U269" s="371"/>
      <c r="V269" s="371"/>
    </row>
    <row r="270" ht="15.75" customHeight="1">
      <c r="A270" s="371"/>
      <c r="B270" s="371"/>
      <c r="C270" s="371"/>
      <c r="D270" s="371"/>
      <c r="E270" s="371"/>
      <c r="F270" s="371"/>
      <c r="G270" s="371"/>
      <c r="H270" s="371"/>
      <c r="I270" s="371"/>
      <c r="J270" s="371"/>
      <c r="K270" s="371"/>
      <c r="L270" s="371"/>
      <c r="M270" s="371"/>
      <c r="N270" s="371"/>
      <c r="O270" s="371"/>
      <c r="P270" s="371"/>
      <c r="Q270" s="371"/>
      <c r="R270" s="371"/>
      <c r="S270" s="371"/>
      <c r="T270" s="371"/>
      <c r="U270" s="371"/>
      <c r="V270" s="371"/>
    </row>
    <row r="271" ht="15.75" customHeight="1">
      <c r="A271" s="371"/>
      <c r="B271" s="371"/>
      <c r="C271" s="371"/>
      <c r="D271" s="371"/>
      <c r="E271" s="371"/>
      <c r="F271" s="371"/>
      <c r="G271" s="371"/>
      <c r="H271" s="371"/>
      <c r="I271" s="371"/>
      <c r="J271" s="371"/>
      <c r="K271" s="371"/>
      <c r="L271" s="371"/>
      <c r="M271" s="371"/>
      <c r="N271" s="371"/>
      <c r="O271" s="371"/>
      <c r="P271" s="371"/>
      <c r="Q271" s="371"/>
      <c r="R271" s="371"/>
      <c r="S271" s="371"/>
      <c r="T271" s="371"/>
      <c r="U271" s="371"/>
      <c r="V271" s="371"/>
    </row>
    <row r="272" ht="15.75" customHeight="1">
      <c r="A272" s="371"/>
      <c r="B272" s="371"/>
      <c r="C272" s="371"/>
      <c r="D272" s="371"/>
      <c r="E272" s="371"/>
      <c r="F272" s="371"/>
      <c r="G272" s="371"/>
      <c r="H272" s="371"/>
      <c r="I272" s="371"/>
      <c r="J272" s="371"/>
      <c r="K272" s="371"/>
      <c r="L272" s="371"/>
      <c r="M272" s="371"/>
      <c r="N272" s="371"/>
      <c r="O272" s="371"/>
      <c r="P272" s="371"/>
      <c r="Q272" s="371"/>
      <c r="R272" s="371"/>
      <c r="S272" s="371"/>
      <c r="T272" s="371"/>
      <c r="U272" s="371"/>
      <c r="V272" s="371"/>
    </row>
    <row r="273" ht="15.75" customHeight="1">
      <c r="A273" s="371"/>
      <c r="B273" s="371"/>
      <c r="C273" s="371"/>
      <c r="D273" s="371"/>
      <c r="E273" s="371"/>
      <c r="F273" s="371"/>
      <c r="G273" s="371"/>
      <c r="H273" s="371"/>
      <c r="I273" s="371"/>
      <c r="J273" s="371"/>
      <c r="K273" s="371"/>
      <c r="L273" s="371"/>
      <c r="M273" s="371"/>
      <c r="N273" s="371"/>
      <c r="O273" s="371"/>
      <c r="P273" s="371"/>
      <c r="Q273" s="371"/>
      <c r="R273" s="371"/>
      <c r="S273" s="371"/>
      <c r="T273" s="371"/>
      <c r="U273" s="371"/>
      <c r="V273" s="371"/>
    </row>
    <row r="274" ht="15.75" customHeight="1">
      <c r="A274" s="371"/>
      <c r="B274" s="371"/>
      <c r="C274" s="371"/>
      <c r="D274" s="371"/>
      <c r="E274" s="371"/>
      <c r="F274" s="371"/>
      <c r="G274" s="371"/>
      <c r="H274" s="371"/>
      <c r="I274" s="371"/>
      <c r="J274" s="371"/>
      <c r="K274" s="371"/>
      <c r="L274" s="371"/>
      <c r="M274" s="371"/>
      <c r="N274" s="371"/>
      <c r="O274" s="371"/>
      <c r="P274" s="371"/>
      <c r="Q274" s="371"/>
      <c r="R274" s="371"/>
      <c r="S274" s="371"/>
      <c r="T274" s="371"/>
      <c r="U274" s="371"/>
      <c r="V274" s="371"/>
    </row>
    <row r="275" ht="15.75" customHeight="1">
      <c r="A275" s="371"/>
      <c r="B275" s="371"/>
      <c r="C275" s="371"/>
      <c r="D275" s="371"/>
      <c r="E275" s="371"/>
      <c r="F275" s="371"/>
      <c r="G275" s="371"/>
      <c r="H275" s="371"/>
      <c r="I275" s="371"/>
      <c r="J275" s="371"/>
      <c r="K275" s="371"/>
      <c r="L275" s="371"/>
      <c r="M275" s="371"/>
      <c r="N275" s="371"/>
      <c r="O275" s="371"/>
      <c r="P275" s="371"/>
      <c r="Q275" s="371"/>
      <c r="R275" s="371"/>
      <c r="S275" s="371"/>
      <c r="T275" s="371"/>
      <c r="U275" s="371"/>
      <c r="V275" s="371"/>
    </row>
    <row r="276" ht="15.75" customHeight="1">
      <c r="A276" s="371"/>
      <c r="B276" s="371"/>
      <c r="C276" s="371"/>
      <c r="D276" s="371"/>
      <c r="E276" s="371"/>
      <c r="F276" s="371"/>
      <c r="G276" s="371"/>
      <c r="H276" s="371"/>
      <c r="I276" s="371"/>
      <c r="J276" s="371"/>
      <c r="K276" s="371"/>
      <c r="L276" s="371"/>
      <c r="M276" s="371"/>
      <c r="N276" s="371"/>
      <c r="O276" s="371"/>
      <c r="P276" s="371"/>
      <c r="Q276" s="371"/>
      <c r="R276" s="371"/>
      <c r="S276" s="371"/>
      <c r="T276" s="371"/>
      <c r="U276" s="371"/>
      <c r="V276" s="371"/>
    </row>
    <row r="277" ht="15.75" customHeight="1">
      <c r="A277" s="371"/>
      <c r="B277" s="371"/>
      <c r="C277" s="371"/>
      <c r="D277" s="371"/>
      <c r="E277" s="371"/>
      <c r="F277" s="371"/>
      <c r="G277" s="371"/>
      <c r="H277" s="371"/>
      <c r="I277" s="371"/>
      <c r="J277" s="371"/>
      <c r="K277" s="371"/>
      <c r="L277" s="371"/>
      <c r="M277" s="371"/>
      <c r="N277" s="371"/>
      <c r="O277" s="371"/>
      <c r="P277" s="371"/>
      <c r="Q277" s="371"/>
      <c r="R277" s="371"/>
      <c r="S277" s="371"/>
      <c r="T277" s="371"/>
      <c r="U277" s="371"/>
      <c r="V277" s="371"/>
    </row>
    <row r="278" ht="15.75" customHeight="1">
      <c r="A278" s="371"/>
      <c r="B278" s="371"/>
      <c r="C278" s="371"/>
      <c r="D278" s="371"/>
      <c r="E278" s="371"/>
      <c r="F278" s="371"/>
      <c r="G278" s="371"/>
      <c r="H278" s="371"/>
      <c r="I278" s="371"/>
      <c r="J278" s="371"/>
      <c r="K278" s="371"/>
      <c r="L278" s="371"/>
      <c r="M278" s="371"/>
      <c r="N278" s="371"/>
      <c r="O278" s="371"/>
      <c r="P278" s="371"/>
      <c r="Q278" s="371"/>
      <c r="R278" s="371"/>
      <c r="S278" s="371"/>
      <c r="T278" s="371"/>
      <c r="U278" s="371"/>
      <c r="V278" s="371"/>
    </row>
    <row r="279" ht="15.75" customHeight="1">
      <c r="A279" s="371"/>
      <c r="B279" s="371"/>
      <c r="C279" s="371"/>
      <c r="D279" s="371"/>
      <c r="E279" s="371"/>
      <c r="F279" s="371"/>
      <c r="G279" s="371"/>
      <c r="H279" s="371"/>
      <c r="I279" s="371"/>
      <c r="J279" s="371"/>
      <c r="K279" s="371"/>
      <c r="L279" s="371"/>
      <c r="M279" s="371"/>
      <c r="N279" s="371"/>
      <c r="O279" s="371"/>
      <c r="P279" s="371"/>
      <c r="Q279" s="371"/>
      <c r="R279" s="371"/>
      <c r="S279" s="371"/>
      <c r="T279" s="371"/>
      <c r="U279" s="371"/>
      <c r="V279" s="371"/>
    </row>
    <row r="280" ht="15.75" customHeight="1">
      <c r="A280" s="371"/>
      <c r="B280" s="371"/>
      <c r="C280" s="371"/>
      <c r="D280" s="371"/>
      <c r="E280" s="371"/>
      <c r="F280" s="371"/>
      <c r="G280" s="371"/>
      <c r="H280" s="371"/>
      <c r="I280" s="371"/>
      <c r="J280" s="371"/>
      <c r="K280" s="371"/>
      <c r="L280" s="371"/>
      <c r="M280" s="371"/>
      <c r="N280" s="371"/>
      <c r="O280" s="371"/>
      <c r="P280" s="371"/>
      <c r="Q280" s="371"/>
      <c r="R280" s="371"/>
      <c r="S280" s="371"/>
      <c r="T280" s="371"/>
      <c r="U280" s="371"/>
      <c r="V280" s="371"/>
    </row>
    <row r="281" ht="15.75" customHeight="1">
      <c r="A281" s="371"/>
      <c r="B281" s="371"/>
      <c r="C281" s="371"/>
      <c r="D281" s="371"/>
      <c r="E281" s="371"/>
      <c r="F281" s="371"/>
      <c r="G281" s="371"/>
      <c r="H281" s="371"/>
      <c r="I281" s="371"/>
      <c r="J281" s="371"/>
      <c r="K281" s="371"/>
      <c r="L281" s="371"/>
      <c r="M281" s="371"/>
      <c r="N281" s="371"/>
      <c r="O281" s="371"/>
      <c r="P281" s="371"/>
      <c r="Q281" s="371"/>
      <c r="R281" s="371"/>
      <c r="S281" s="371"/>
      <c r="T281" s="371"/>
      <c r="U281" s="371"/>
      <c r="V281" s="371"/>
    </row>
    <row r="282" ht="15.75" customHeight="1">
      <c r="A282" s="371"/>
      <c r="B282" s="371"/>
      <c r="C282" s="371"/>
      <c r="D282" s="371"/>
      <c r="E282" s="371"/>
      <c r="F282" s="371"/>
      <c r="G282" s="371"/>
      <c r="H282" s="371"/>
      <c r="I282" s="371"/>
      <c r="J282" s="371"/>
      <c r="K282" s="371"/>
      <c r="L282" s="371"/>
      <c r="M282" s="371"/>
      <c r="N282" s="371"/>
      <c r="O282" s="371"/>
      <c r="P282" s="371"/>
      <c r="Q282" s="371"/>
      <c r="R282" s="371"/>
      <c r="S282" s="371"/>
      <c r="T282" s="371"/>
      <c r="U282" s="371"/>
      <c r="V282" s="371"/>
    </row>
    <row r="283" ht="15.75" customHeight="1">
      <c r="A283" s="371"/>
      <c r="B283" s="371"/>
      <c r="C283" s="371"/>
      <c r="D283" s="371"/>
      <c r="E283" s="371"/>
      <c r="F283" s="371"/>
      <c r="G283" s="371"/>
      <c r="H283" s="371"/>
      <c r="I283" s="371"/>
      <c r="J283" s="371"/>
      <c r="K283" s="371"/>
      <c r="L283" s="371"/>
      <c r="M283" s="371"/>
      <c r="N283" s="371"/>
      <c r="O283" s="371"/>
      <c r="P283" s="371"/>
      <c r="Q283" s="371"/>
      <c r="R283" s="371"/>
      <c r="S283" s="371"/>
      <c r="T283" s="371"/>
      <c r="U283" s="371"/>
      <c r="V283" s="371"/>
    </row>
    <row r="284" ht="15.75" customHeight="1">
      <c r="A284" s="371"/>
      <c r="B284" s="371"/>
      <c r="C284" s="371"/>
      <c r="D284" s="371"/>
      <c r="E284" s="371"/>
      <c r="F284" s="371"/>
      <c r="G284" s="371"/>
      <c r="H284" s="371"/>
      <c r="I284" s="371"/>
      <c r="J284" s="371"/>
      <c r="K284" s="371"/>
      <c r="L284" s="371"/>
      <c r="M284" s="371"/>
      <c r="N284" s="371"/>
      <c r="O284" s="371"/>
      <c r="P284" s="371"/>
      <c r="Q284" s="371"/>
      <c r="R284" s="371"/>
      <c r="S284" s="371"/>
      <c r="T284" s="371"/>
      <c r="U284" s="371"/>
      <c r="V284" s="371"/>
    </row>
    <row r="285" ht="15.75" customHeight="1">
      <c r="A285" s="371"/>
      <c r="B285" s="371"/>
      <c r="C285" s="371"/>
      <c r="D285" s="371"/>
      <c r="E285" s="371"/>
      <c r="F285" s="371"/>
      <c r="G285" s="371"/>
      <c r="H285" s="371"/>
      <c r="I285" s="371"/>
      <c r="J285" s="371"/>
      <c r="K285" s="371"/>
      <c r="L285" s="371"/>
      <c r="M285" s="371"/>
      <c r="N285" s="371"/>
      <c r="O285" s="371"/>
      <c r="P285" s="371"/>
      <c r="Q285" s="371"/>
      <c r="R285" s="371"/>
      <c r="S285" s="371"/>
      <c r="T285" s="371"/>
      <c r="U285" s="371"/>
      <c r="V285" s="371"/>
    </row>
    <row r="286" ht="15.75" customHeight="1">
      <c r="A286" s="371"/>
      <c r="B286" s="371"/>
      <c r="C286" s="371"/>
      <c r="D286" s="371"/>
      <c r="E286" s="371"/>
      <c r="F286" s="371"/>
      <c r="G286" s="371"/>
      <c r="H286" s="371"/>
      <c r="I286" s="371"/>
      <c r="J286" s="371"/>
      <c r="K286" s="371"/>
      <c r="L286" s="371"/>
      <c r="M286" s="371"/>
      <c r="N286" s="371"/>
      <c r="O286" s="371"/>
      <c r="P286" s="371"/>
      <c r="Q286" s="371"/>
      <c r="R286" s="371"/>
      <c r="S286" s="371"/>
      <c r="T286" s="371"/>
      <c r="U286" s="371"/>
      <c r="V286" s="371"/>
    </row>
    <row r="287" ht="15.75" customHeight="1">
      <c r="A287" s="371"/>
      <c r="B287" s="371"/>
      <c r="C287" s="371"/>
      <c r="D287" s="371"/>
      <c r="E287" s="371"/>
      <c r="F287" s="371"/>
      <c r="G287" s="371"/>
      <c r="H287" s="371"/>
      <c r="I287" s="371"/>
      <c r="J287" s="371"/>
      <c r="K287" s="371"/>
      <c r="L287" s="371"/>
      <c r="M287" s="371"/>
      <c r="N287" s="371"/>
      <c r="O287" s="371"/>
      <c r="P287" s="371"/>
      <c r="Q287" s="371"/>
      <c r="R287" s="371"/>
      <c r="S287" s="371"/>
      <c r="T287" s="371"/>
      <c r="U287" s="371"/>
      <c r="V287" s="371"/>
    </row>
    <row r="288" ht="15.75" customHeight="1">
      <c r="A288" s="371"/>
      <c r="B288" s="371"/>
      <c r="C288" s="371"/>
      <c r="D288" s="371"/>
      <c r="E288" s="371"/>
      <c r="F288" s="371"/>
      <c r="G288" s="371"/>
      <c r="H288" s="371"/>
      <c r="I288" s="371"/>
      <c r="J288" s="371"/>
      <c r="K288" s="371"/>
      <c r="L288" s="371"/>
      <c r="M288" s="371"/>
      <c r="N288" s="371"/>
      <c r="O288" s="371"/>
      <c r="P288" s="371"/>
      <c r="Q288" s="371"/>
      <c r="R288" s="371"/>
      <c r="S288" s="371"/>
      <c r="T288" s="371"/>
      <c r="U288" s="371"/>
      <c r="V288" s="371"/>
    </row>
    <row r="289" ht="15.75" customHeight="1">
      <c r="A289" s="371"/>
      <c r="B289" s="371"/>
      <c r="C289" s="371"/>
      <c r="D289" s="371"/>
      <c r="E289" s="371"/>
      <c r="F289" s="371"/>
      <c r="G289" s="371"/>
      <c r="H289" s="371"/>
      <c r="I289" s="371"/>
      <c r="J289" s="371"/>
      <c r="K289" s="371"/>
      <c r="L289" s="371"/>
      <c r="M289" s="371"/>
      <c r="N289" s="371"/>
      <c r="O289" s="371"/>
      <c r="P289" s="371"/>
      <c r="Q289" s="371"/>
      <c r="R289" s="371"/>
      <c r="S289" s="371"/>
      <c r="T289" s="371"/>
      <c r="U289" s="371"/>
      <c r="V289" s="371"/>
    </row>
    <row r="290" ht="15.75" customHeight="1">
      <c r="A290" s="371"/>
      <c r="B290" s="371"/>
      <c r="C290" s="371"/>
      <c r="D290" s="371"/>
      <c r="E290" s="371"/>
      <c r="F290" s="371"/>
      <c r="G290" s="371"/>
      <c r="H290" s="371"/>
      <c r="I290" s="371"/>
      <c r="J290" s="371"/>
      <c r="K290" s="371"/>
      <c r="L290" s="371"/>
      <c r="M290" s="371"/>
      <c r="N290" s="371"/>
      <c r="O290" s="371"/>
      <c r="P290" s="371"/>
      <c r="Q290" s="371"/>
      <c r="R290" s="371"/>
      <c r="S290" s="371"/>
      <c r="T290" s="371"/>
      <c r="U290" s="371"/>
      <c r="V290" s="371"/>
    </row>
    <row r="291" ht="15.75" customHeight="1">
      <c r="A291" s="371"/>
      <c r="B291" s="371"/>
      <c r="C291" s="371"/>
      <c r="D291" s="371"/>
      <c r="E291" s="371"/>
      <c r="F291" s="371"/>
      <c r="G291" s="371"/>
      <c r="H291" s="371"/>
      <c r="I291" s="371"/>
      <c r="J291" s="371"/>
      <c r="K291" s="371"/>
      <c r="L291" s="371"/>
      <c r="M291" s="371"/>
      <c r="N291" s="371"/>
      <c r="O291" s="371"/>
      <c r="P291" s="371"/>
      <c r="Q291" s="371"/>
      <c r="R291" s="371"/>
      <c r="S291" s="371"/>
      <c r="T291" s="371"/>
      <c r="U291" s="371"/>
      <c r="V291" s="371"/>
    </row>
    <row r="292" ht="15.75" customHeight="1">
      <c r="A292" s="371"/>
      <c r="B292" s="371"/>
      <c r="C292" s="371"/>
      <c r="D292" s="371"/>
      <c r="E292" s="371"/>
      <c r="F292" s="371"/>
      <c r="G292" s="371"/>
      <c r="H292" s="371"/>
      <c r="I292" s="371"/>
      <c r="J292" s="371"/>
      <c r="K292" s="371"/>
      <c r="L292" s="371"/>
      <c r="M292" s="371"/>
      <c r="N292" s="371"/>
      <c r="O292" s="371"/>
      <c r="P292" s="371"/>
      <c r="Q292" s="371"/>
      <c r="R292" s="371"/>
      <c r="S292" s="371"/>
      <c r="T292" s="371"/>
      <c r="U292" s="371"/>
      <c r="V292" s="371"/>
    </row>
    <row r="293" ht="15.75" customHeight="1">
      <c r="A293" s="371"/>
      <c r="B293" s="371"/>
      <c r="C293" s="371"/>
      <c r="D293" s="371"/>
      <c r="E293" s="371"/>
      <c r="F293" s="371"/>
      <c r="G293" s="371"/>
      <c r="H293" s="371"/>
      <c r="I293" s="371"/>
      <c r="J293" s="371"/>
      <c r="K293" s="371"/>
      <c r="L293" s="371"/>
      <c r="M293" s="371"/>
      <c r="N293" s="371"/>
      <c r="O293" s="371"/>
      <c r="P293" s="371"/>
      <c r="Q293" s="371"/>
      <c r="R293" s="371"/>
      <c r="S293" s="371"/>
      <c r="T293" s="371"/>
      <c r="U293" s="371"/>
      <c r="V293" s="371"/>
    </row>
    <row r="294" ht="15.75" customHeight="1">
      <c r="A294" s="371"/>
      <c r="B294" s="371"/>
      <c r="C294" s="371"/>
      <c r="D294" s="371"/>
      <c r="E294" s="371"/>
      <c r="F294" s="371"/>
      <c r="G294" s="371"/>
      <c r="H294" s="371"/>
      <c r="I294" s="371"/>
      <c r="J294" s="371"/>
      <c r="K294" s="371"/>
      <c r="L294" s="371"/>
      <c r="M294" s="371"/>
      <c r="N294" s="371"/>
      <c r="O294" s="371"/>
      <c r="P294" s="371"/>
      <c r="Q294" s="371"/>
      <c r="R294" s="371"/>
      <c r="S294" s="371"/>
      <c r="T294" s="371"/>
      <c r="U294" s="371"/>
      <c r="V294" s="371"/>
    </row>
    <row r="295" ht="15.75" customHeight="1">
      <c r="A295" s="371"/>
      <c r="B295" s="371"/>
      <c r="C295" s="371"/>
      <c r="D295" s="371"/>
      <c r="E295" s="371"/>
      <c r="F295" s="371"/>
      <c r="G295" s="371"/>
      <c r="H295" s="371"/>
      <c r="I295" s="371"/>
      <c r="J295" s="371"/>
      <c r="K295" s="371"/>
      <c r="L295" s="371"/>
      <c r="M295" s="371"/>
      <c r="N295" s="371"/>
      <c r="O295" s="371"/>
      <c r="P295" s="371"/>
      <c r="Q295" s="371"/>
      <c r="R295" s="371"/>
      <c r="S295" s="371"/>
      <c r="T295" s="371"/>
      <c r="U295" s="371"/>
      <c r="V295" s="371"/>
    </row>
    <row r="296" ht="15.75" customHeight="1">
      <c r="A296" s="371"/>
      <c r="B296" s="371"/>
      <c r="C296" s="371"/>
      <c r="D296" s="371"/>
      <c r="E296" s="371"/>
      <c r="F296" s="371"/>
      <c r="G296" s="371"/>
      <c r="H296" s="371"/>
      <c r="I296" s="371"/>
      <c r="J296" s="371"/>
      <c r="K296" s="371"/>
      <c r="L296" s="371"/>
      <c r="M296" s="371"/>
      <c r="N296" s="371"/>
      <c r="O296" s="371"/>
      <c r="P296" s="371"/>
      <c r="Q296" s="371"/>
      <c r="R296" s="371"/>
      <c r="S296" s="371"/>
      <c r="T296" s="371"/>
      <c r="U296" s="371"/>
      <c r="V296" s="371"/>
    </row>
    <row r="297" ht="15.75" customHeight="1">
      <c r="A297" s="371"/>
      <c r="B297" s="371"/>
      <c r="C297" s="371"/>
      <c r="D297" s="371"/>
      <c r="E297" s="371"/>
      <c r="F297" s="371"/>
      <c r="G297" s="371"/>
      <c r="H297" s="371"/>
      <c r="I297" s="371"/>
      <c r="J297" s="371"/>
      <c r="K297" s="371"/>
      <c r="L297" s="371"/>
      <c r="M297" s="371"/>
      <c r="N297" s="371"/>
      <c r="O297" s="371"/>
      <c r="P297" s="371"/>
      <c r="Q297" s="371"/>
      <c r="R297" s="371"/>
      <c r="S297" s="371"/>
      <c r="T297" s="371"/>
      <c r="U297" s="371"/>
      <c r="V297" s="371"/>
    </row>
    <row r="298" ht="15.75" customHeight="1">
      <c r="A298" s="371"/>
      <c r="B298" s="371"/>
      <c r="C298" s="371"/>
      <c r="D298" s="371"/>
      <c r="E298" s="371"/>
      <c r="F298" s="371"/>
      <c r="G298" s="371"/>
      <c r="H298" s="371"/>
      <c r="I298" s="371"/>
      <c r="J298" s="371"/>
      <c r="K298" s="371"/>
      <c r="L298" s="371"/>
      <c r="M298" s="371"/>
      <c r="N298" s="371"/>
      <c r="O298" s="371"/>
      <c r="P298" s="371"/>
      <c r="Q298" s="371"/>
      <c r="R298" s="371"/>
      <c r="S298" s="371"/>
      <c r="T298" s="371"/>
      <c r="U298" s="371"/>
      <c r="V298" s="371"/>
    </row>
    <row r="299" ht="15.75" customHeight="1">
      <c r="A299" s="371"/>
      <c r="B299" s="371"/>
      <c r="C299" s="371"/>
      <c r="D299" s="371"/>
      <c r="E299" s="371"/>
      <c r="F299" s="371"/>
      <c r="G299" s="371"/>
      <c r="H299" s="371"/>
      <c r="I299" s="371"/>
      <c r="J299" s="371"/>
      <c r="K299" s="371"/>
      <c r="L299" s="371"/>
      <c r="M299" s="371"/>
      <c r="N299" s="371"/>
      <c r="O299" s="371"/>
      <c r="P299" s="371"/>
      <c r="Q299" s="371"/>
      <c r="R299" s="371"/>
      <c r="S299" s="371"/>
      <c r="T299" s="371"/>
      <c r="U299" s="371"/>
      <c r="V299" s="371"/>
    </row>
    <row r="300" ht="15.75" customHeight="1">
      <c r="A300" s="371"/>
      <c r="B300" s="371"/>
      <c r="C300" s="371"/>
      <c r="D300" s="371"/>
      <c r="E300" s="371"/>
      <c r="F300" s="371"/>
      <c r="G300" s="371"/>
      <c r="H300" s="371"/>
      <c r="I300" s="371"/>
      <c r="J300" s="371"/>
      <c r="K300" s="371"/>
      <c r="L300" s="371"/>
      <c r="M300" s="371"/>
      <c r="N300" s="371"/>
      <c r="O300" s="371"/>
      <c r="P300" s="371"/>
      <c r="Q300" s="371"/>
      <c r="R300" s="371"/>
      <c r="S300" s="371"/>
      <c r="T300" s="371"/>
      <c r="U300" s="371"/>
      <c r="V300" s="371"/>
    </row>
    <row r="301" ht="15.75" customHeight="1">
      <c r="A301" s="371"/>
      <c r="B301" s="371"/>
      <c r="C301" s="371"/>
      <c r="D301" s="371"/>
      <c r="E301" s="371"/>
      <c r="F301" s="371"/>
      <c r="G301" s="371"/>
      <c r="H301" s="371"/>
      <c r="I301" s="371"/>
      <c r="J301" s="371"/>
      <c r="K301" s="371"/>
      <c r="L301" s="371"/>
      <c r="M301" s="371"/>
      <c r="N301" s="371"/>
      <c r="O301" s="371"/>
      <c r="P301" s="371"/>
      <c r="Q301" s="371"/>
      <c r="R301" s="371"/>
      <c r="S301" s="371"/>
      <c r="T301" s="371"/>
      <c r="U301" s="371"/>
      <c r="V301" s="371"/>
    </row>
    <row r="302" ht="15.75" customHeight="1">
      <c r="A302" s="371"/>
      <c r="B302" s="371"/>
      <c r="C302" s="371"/>
      <c r="D302" s="371"/>
      <c r="E302" s="371"/>
      <c r="F302" s="371"/>
      <c r="G302" s="371"/>
      <c r="H302" s="371"/>
      <c r="I302" s="371"/>
      <c r="J302" s="371"/>
      <c r="K302" s="371"/>
      <c r="L302" s="371"/>
      <c r="M302" s="371"/>
      <c r="N302" s="371"/>
      <c r="O302" s="371"/>
      <c r="P302" s="371"/>
      <c r="Q302" s="371"/>
      <c r="R302" s="371"/>
      <c r="S302" s="371"/>
      <c r="T302" s="371"/>
      <c r="U302" s="371"/>
      <c r="V302" s="371"/>
    </row>
    <row r="303" ht="15.75" customHeight="1">
      <c r="A303" s="371"/>
      <c r="B303" s="371"/>
      <c r="C303" s="371"/>
      <c r="D303" s="371"/>
      <c r="E303" s="371"/>
      <c r="F303" s="371"/>
      <c r="G303" s="371"/>
      <c r="H303" s="371"/>
      <c r="I303" s="371"/>
      <c r="J303" s="371"/>
      <c r="K303" s="371"/>
      <c r="L303" s="371"/>
      <c r="M303" s="371"/>
      <c r="N303" s="371"/>
      <c r="O303" s="371"/>
      <c r="P303" s="371"/>
      <c r="Q303" s="371"/>
      <c r="R303" s="371"/>
      <c r="S303" s="371"/>
      <c r="T303" s="371"/>
      <c r="U303" s="371"/>
      <c r="V303" s="371"/>
    </row>
    <row r="304" ht="15.75" customHeight="1">
      <c r="A304" s="371"/>
      <c r="B304" s="371"/>
      <c r="C304" s="371"/>
      <c r="D304" s="371"/>
      <c r="E304" s="371"/>
      <c r="F304" s="371"/>
      <c r="G304" s="371"/>
      <c r="H304" s="371"/>
      <c r="I304" s="371"/>
      <c r="J304" s="371"/>
      <c r="K304" s="371"/>
      <c r="L304" s="371"/>
      <c r="M304" s="371"/>
      <c r="N304" s="371"/>
      <c r="O304" s="371"/>
      <c r="P304" s="371"/>
      <c r="Q304" s="371"/>
      <c r="R304" s="371"/>
      <c r="S304" s="371"/>
      <c r="T304" s="371"/>
      <c r="U304" s="371"/>
      <c r="V304" s="371"/>
    </row>
    <row r="305" ht="15.75" customHeight="1">
      <c r="A305" s="371"/>
      <c r="B305" s="371"/>
      <c r="C305" s="371"/>
      <c r="D305" s="371"/>
      <c r="E305" s="371"/>
      <c r="F305" s="371"/>
      <c r="G305" s="371"/>
      <c r="H305" s="371"/>
      <c r="I305" s="371"/>
      <c r="J305" s="371"/>
      <c r="K305" s="371"/>
      <c r="L305" s="371"/>
      <c r="M305" s="371"/>
      <c r="N305" s="371"/>
      <c r="O305" s="371"/>
      <c r="P305" s="371"/>
      <c r="Q305" s="371"/>
      <c r="R305" s="371"/>
      <c r="S305" s="371"/>
      <c r="T305" s="371"/>
      <c r="U305" s="371"/>
      <c r="V305" s="371"/>
    </row>
    <row r="306" ht="15.75" customHeight="1">
      <c r="A306" s="371"/>
      <c r="B306" s="371"/>
      <c r="C306" s="371"/>
      <c r="D306" s="371"/>
      <c r="E306" s="371"/>
      <c r="F306" s="371"/>
      <c r="G306" s="371"/>
      <c r="H306" s="371"/>
      <c r="I306" s="371"/>
      <c r="J306" s="371"/>
      <c r="K306" s="371"/>
      <c r="L306" s="371"/>
      <c r="M306" s="371"/>
      <c r="N306" s="371"/>
      <c r="O306" s="371"/>
      <c r="P306" s="371"/>
      <c r="Q306" s="371"/>
      <c r="R306" s="371"/>
      <c r="S306" s="371"/>
      <c r="T306" s="371"/>
      <c r="U306" s="371"/>
      <c r="V306" s="371"/>
    </row>
    <row r="307" ht="15.75" customHeight="1">
      <c r="A307" s="371"/>
      <c r="B307" s="371"/>
      <c r="C307" s="371"/>
      <c r="D307" s="371"/>
      <c r="E307" s="371"/>
      <c r="F307" s="371"/>
      <c r="G307" s="371"/>
      <c r="H307" s="371"/>
      <c r="I307" s="371"/>
      <c r="J307" s="371"/>
      <c r="K307" s="371"/>
      <c r="L307" s="371"/>
      <c r="M307" s="371"/>
      <c r="N307" s="371"/>
      <c r="O307" s="371"/>
      <c r="P307" s="371"/>
      <c r="Q307" s="371"/>
      <c r="R307" s="371"/>
      <c r="S307" s="371"/>
      <c r="T307" s="371"/>
      <c r="U307" s="371"/>
      <c r="V307" s="371"/>
    </row>
    <row r="308" ht="15.75" customHeight="1">
      <c r="A308" s="371"/>
      <c r="B308" s="371"/>
      <c r="C308" s="371"/>
      <c r="D308" s="371"/>
      <c r="E308" s="371"/>
      <c r="F308" s="371"/>
      <c r="G308" s="371"/>
      <c r="H308" s="371"/>
      <c r="I308" s="371"/>
      <c r="J308" s="371"/>
      <c r="K308" s="371"/>
      <c r="L308" s="371"/>
      <c r="M308" s="371"/>
      <c r="N308" s="371"/>
      <c r="O308" s="371"/>
      <c r="P308" s="371"/>
      <c r="Q308" s="371"/>
      <c r="R308" s="371"/>
      <c r="S308" s="371"/>
      <c r="T308" s="371"/>
      <c r="U308" s="371"/>
      <c r="V308" s="371"/>
    </row>
    <row r="309" ht="15.75" customHeight="1">
      <c r="A309" s="371"/>
      <c r="B309" s="371"/>
      <c r="C309" s="371"/>
      <c r="D309" s="371"/>
      <c r="E309" s="371"/>
      <c r="F309" s="371"/>
      <c r="G309" s="371"/>
      <c r="H309" s="371"/>
      <c r="I309" s="371"/>
      <c r="J309" s="371"/>
      <c r="K309" s="371"/>
      <c r="L309" s="371"/>
      <c r="M309" s="371"/>
      <c r="N309" s="371"/>
      <c r="O309" s="371"/>
      <c r="P309" s="371"/>
      <c r="Q309" s="371"/>
      <c r="R309" s="371"/>
      <c r="S309" s="371"/>
      <c r="T309" s="371"/>
      <c r="U309" s="371"/>
      <c r="V309" s="371"/>
    </row>
    <row r="310" ht="15.75" customHeight="1">
      <c r="A310" s="371"/>
      <c r="B310" s="371"/>
      <c r="C310" s="371"/>
      <c r="D310" s="371"/>
      <c r="E310" s="371"/>
      <c r="F310" s="371"/>
      <c r="G310" s="371"/>
      <c r="H310" s="371"/>
      <c r="I310" s="371"/>
      <c r="J310" s="371"/>
      <c r="K310" s="371"/>
      <c r="L310" s="371"/>
      <c r="M310" s="371"/>
      <c r="N310" s="371"/>
      <c r="O310" s="371"/>
      <c r="P310" s="371"/>
      <c r="Q310" s="371"/>
      <c r="R310" s="371"/>
      <c r="S310" s="371"/>
      <c r="T310" s="371"/>
      <c r="U310" s="371"/>
      <c r="V310" s="371"/>
    </row>
    <row r="311" ht="15.75" customHeight="1">
      <c r="A311" s="371"/>
      <c r="B311" s="371"/>
      <c r="C311" s="371"/>
      <c r="D311" s="371"/>
      <c r="E311" s="371"/>
      <c r="F311" s="371"/>
      <c r="G311" s="371"/>
      <c r="H311" s="371"/>
      <c r="I311" s="371"/>
      <c r="J311" s="371"/>
      <c r="K311" s="371"/>
      <c r="L311" s="371"/>
      <c r="M311" s="371"/>
      <c r="N311" s="371"/>
      <c r="O311" s="371"/>
      <c r="P311" s="371"/>
      <c r="Q311" s="371"/>
      <c r="R311" s="371"/>
      <c r="S311" s="371"/>
      <c r="T311" s="371"/>
      <c r="U311" s="371"/>
      <c r="V311" s="371"/>
    </row>
    <row r="312" ht="15.75" customHeight="1">
      <c r="A312" s="371"/>
      <c r="B312" s="371"/>
      <c r="C312" s="371"/>
      <c r="D312" s="371"/>
      <c r="E312" s="371"/>
      <c r="F312" s="371"/>
      <c r="G312" s="371"/>
      <c r="H312" s="371"/>
      <c r="I312" s="371"/>
      <c r="J312" s="371"/>
      <c r="K312" s="371"/>
      <c r="L312" s="371"/>
      <c r="M312" s="371"/>
      <c r="N312" s="371"/>
      <c r="O312" s="371"/>
      <c r="P312" s="371"/>
      <c r="Q312" s="371"/>
      <c r="R312" s="371"/>
      <c r="S312" s="371"/>
      <c r="T312" s="371"/>
      <c r="U312" s="371"/>
      <c r="V312" s="371"/>
    </row>
    <row r="313" ht="15.75" customHeight="1">
      <c r="A313" s="371"/>
      <c r="B313" s="371"/>
      <c r="C313" s="371"/>
      <c r="D313" s="371"/>
      <c r="E313" s="371"/>
      <c r="F313" s="371"/>
      <c r="G313" s="371"/>
      <c r="H313" s="371"/>
      <c r="I313" s="371"/>
      <c r="J313" s="371"/>
      <c r="K313" s="371"/>
      <c r="L313" s="371"/>
      <c r="M313" s="371"/>
      <c r="N313" s="371"/>
      <c r="O313" s="371"/>
      <c r="P313" s="371"/>
      <c r="Q313" s="371"/>
      <c r="R313" s="371"/>
      <c r="S313" s="371"/>
      <c r="T313" s="371"/>
      <c r="U313" s="371"/>
      <c r="V313" s="371"/>
    </row>
    <row r="314" ht="15.75" customHeight="1">
      <c r="A314" s="371"/>
      <c r="B314" s="371"/>
      <c r="C314" s="371"/>
      <c r="D314" s="371"/>
      <c r="E314" s="371"/>
      <c r="F314" s="371"/>
      <c r="G314" s="371"/>
      <c r="H314" s="371"/>
      <c r="I314" s="371"/>
      <c r="J314" s="371"/>
      <c r="K314" s="371"/>
      <c r="L314" s="371"/>
      <c r="M314" s="371"/>
      <c r="N314" s="371"/>
      <c r="O314" s="371"/>
      <c r="P314" s="371"/>
      <c r="Q314" s="371"/>
      <c r="R314" s="371"/>
      <c r="S314" s="371"/>
      <c r="T314" s="371"/>
      <c r="U314" s="371"/>
      <c r="V314" s="371"/>
    </row>
    <row r="315" ht="15.75" customHeight="1">
      <c r="A315" s="371"/>
      <c r="B315" s="371"/>
      <c r="C315" s="371"/>
      <c r="D315" s="371"/>
      <c r="E315" s="371"/>
      <c r="F315" s="371"/>
      <c r="G315" s="371"/>
      <c r="H315" s="371"/>
      <c r="I315" s="371"/>
      <c r="J315" s="371"/>
      <c r="K315" s="371"/>
      <c r="L315" s="371"/>
      <c r="M315" s="371"/>
      <c r="N315" s="371"/>
      <c r="O315" s="371"/>
      <c r="P315" s="371"/>
      <c r="Q315" s="371"/>
      <c r="R315" s="371"/>
      <c r="S315" s="371"/>
      <c r="T315" s="371"/>
      <c r="U315" s="371"/>
      <c r="V315" s="371"/>
    </row>
    <row r="316" ht="15.75" customHeight="1">
      <c r="A316" s="371"/>
      <c r="B316" s="371"/>
      <c r="C316" s="371"/>
      <c r="D316" s="371"/>
      <c r="E316" s="371"/>
      <c r="F316" s="371"/>
      <c r="G316" s="371"/>
      <c r="H316" s="371"/>
      <c r="I316" s="371"/>
      <c r="J316" s="371"/>
      <c r="K316" s="371"/>
      <c r="L316" s="371"/>
      <c r="M316" s="371"/>
      <c r="N316" s="371"/>
      <c r="O316" s="371"/>
      <c r="P316" s="371"/>
      <c r="Q316" s="371"/>
      <c r="R316" s="371"/>
      <c r="S316" s="371"/>
      <c r="T316" s="371"/>
      <c r="U316" s="371"/>
      <c r="V316" s="371"/>
    </row>
    <row r="317" ht="15.75" customHeight="1">
      <c r="A317" s="371"/>
      <c r="B317" s="371"/>
      <c r="C317" s="371"/>
      <c r="D317" s="371"/>
      <c r="E317" s="371"/>
      <c r="F317" s="371"/>
      <c r="G317" s="371"/>
      <c r="H317" s="371"/>
      <c r="I317" s="371"/>
      <c r="J317" s="371"/>
      <c r="K317" s="371"/>
      <c r="L317" s="371"/>
      <c r="M317" s="371"/>
      <c r="N317" s="371"/>
      <c r="O317" s="371"/>
      <c r="P317" s="371"/>
      <c r="Q317" s="371"/>
      <c r="R317" s="371"/>
      <c r="S317" s="371"/>
      <c r="T317" s="371"/>
      <c r="U317" s="371"/>
      <c r="V317" s="371"/>
    </row>
    <row r="318" ht="15.75" customHeight="1">
      <c r="A318" s="371"/>
      <c r="B318" s="371"/>
      <c r="C318" s="371"/>
      <c r="D318" s="371"/>
      <c r="E318" s="371"/>
      <c r="F318" s="371"/>
      <c r="G318" s="371"/>
      <c r="H318" s="371"/>
      <c r="I318" s="371"/>
      <c r="J318" s="371"/>
      <c r="K318" s="371"/>
      <c r="L318" s="371"/>
      <c r="M318" s="371"/>
      <c r="N318" s="371"/>
      <c r="O318" s="371"/>
      <c r="P318" s="371"/>
      <c r="Q318" s="371"/>
      <c r="R318" s="371"/>
      <c r="S318" s="371"/>
      <c r="T318" s="371"/>
      <c r="U318" s="371"/>
      <c r="V318" s="371"/>
    </row>
    <row r="319" ht="15.75" customHeight="1">
      <c r="A319" s="371"/>
      <c r="B319" s="371"/>
      <c r="C319" s="371"/>
      <c r="D319" s="371"/>
      <c r="E319" s="371"/>
      <c r="F319" s="371"/>
      <c r="G319" s="371"/>
      <c r="H319" s="371"/>
      <c r="I319" s="371"/>
      <c r="J319" s="371"/>
      <c r="K319" s="371"/>
      <c r="L319" s="371"/>
      <c r="M319" s="371"/>
      <c r="N319" s="371"/>
      <c r="O319" s="371"/>
      <c r="P319" s="371"/>
      <c r="Q319" s="371"/>
      <c r="R319" s="371"/>
      <c r="S319" s="371"/>
      <c r="T319" s="371"/>
      <c r="U319" s="371"/>
      <c r="V319" s="371"/>
    </row>
    <row r="320" ht="15.75" customHeight="1">
      <c r="A320" s="371"/>
      <c r="B320" s="371"/>
      <c r="C320" s="371"/>
      <c r="D320" s="371"/>
      <c r="E320" s="371"/>
      <c r="F320" s="371"/>
      <c r="G320" s="371"/>
      <c r="H320" s="371"/>
      <c r="I320" s="371"/>
      <c r="J320" s="371"/>
      <c r="K320" s="371"/>
      <c r="L320" s="371"/>
      <c r="M320" s="371"/>
      <c r="N320" s="371"/>
      <c r="O320" s="371"/>
      <c r="P320" s="371"/>
      <c r="Q320" s="371"/>
      <c r="R320" s="371"/>
      <c r="S320" s="371"/>
      <c r="T320" s="371"/>
      <c r="U320" s="371"/>
      <c r="V320" s="371"/>
    </row>
    <row r="321" ht="15.75" customHeight="1">
      <c r="A321" s="371"/>
      <c r="B321" s="371"/>
      <c r="C321" s="371"/>
      <c r="D321" s="371"/>
      <c r="E321" s="371"/>
      <c r="F321" s="371"/>
      <c r="G321" s="371"/>
      <c r="H321" s="371"/>
      <c r="I321" s="371"/>
      <c r="J321" s="371"/>
      <c r="K321" s="371"/>
      <c r="L321" s="371"/>
      <c r="M321" s="371"/>
      <c r="N321" s="371"/>
      <c r="O321" s="371"/>
      <c r="P321" s="371"/>
      <c r="Q321" s="371"/>
      <c r="R321" s="371"/>
      <c r="S321" s="371"/>
      <c r="T321" s="371"/>
      <c r="U321" s="371"/>
      <c r="V321" s="371"/>
    </row>
    <row r="322" ht="15.75" customHeight="1">
      <c r="A322" s="371"/>
      <c r="B322" s="371"/>
      <c r="C322" s="371"/>
      <c r="D322" s="371"/>
      <c r="E322" s="371"/>
      <c r="F322" s="371"/>
      <c r="G322" s="371"/>
      <c r="H322" s="371"/>
      <c r="I322" s="371"/>
      <c r="J322" s="371"/>
      <c r="K322" s="371"/>
      <c r="L322" s="371"/>
      <c r="M322" s="371"/>
      <c r="N322" s="371"/>
      <c r="O322" s="371"/>
      <c r="P322" s="371"/>
      <c r="Q322" s="371"/>
      <c r="R322" s="371"/>
      <c r="S322" s="371"/>
      <c r="T322" s="371"/>
      <c r="U322" s="371"/>
      <c r="V322" s="371"/>
    </row>
    <row r="323" ht="15.75" customHeight="1">
      <c r="A323" s="371"/>
      <c r="B323" s="371"/>
      <c r="C323" s="371"/>
      <c r="D323" s="371"/>
      <c r="E323" s="371"/>
      <c r="F323" s="371"/>
      <c r="G323" s="371"/>
      <c r="H323" s="371"/>
      <c r="I323" s="371"/>
      <c r="J323" s="371"/>
      <c r="K323" s="371"/>
      <c r="L323" s="371"/>
      <c r="M323" s="371"/>
      <c r="N323" s="371"/>
      <c r="O323" s="371"/>
      <c r="P323" s="371"/>
      <c r="Q323" s="371"/>
      <c r="R323" s="371"/>
      <c r="S323" s="371"/>
      <c r="T323" s="371"/>
      <c r="U323" s="371"/>
      <c r="V323" s="371"/>
    </row>
    <row r="324" ht="15.75" customHeight="1">
      <c r="A324" s="371"/>
      <c r="B324" s="371"/>
      <c r="C324" s="371"/>
      <c r="D324" s="371"/>
      <c r="E324" s="371"/>
      <c r="F324" s="371"/>
      <c r="G324" s="371"/>
      <c r="H324" s="371"/>
      <c r="I324" s="371"/>
      <c r="J324" s="371"/>
      <c r="K324" s="371"/>
      <c r="L324" s="371"/>
      <c r="M324" s="371"/>
      <c r="N324" s="371"/>
      <c r="O324" s="371"/>
      <c r="P324" s="371"/>
      <c r="Q324" s="371"/>
      <c r="R324" s="371"/>
      <c r="S324" s="371"/>
      <c r="T324" s="371"/>
      <c r="U324" s="371"/>
      <c r="V324" s="371"/>
    </row>
    <row r="325" ht="15.75" customHeight="1">
      <c r="A325" s="371"/>
      <c r="B325" s="371"/>
      <c r="C325" s="371"/>
      <c r="D325" s="371"/>
      <c r="E325" s="371"/>
      <c r="F325" s="371"/>
      <c r="G325" s="371"/>
      <c r="H325" s="371"/>
      <c r="I325" s="371"/>
      <c r="J325" s="371"/>
      <c r="K325" s="371"/>
      <c r="L325" s="371"/>
      <c r="M325" s="371"/>
      <c r="N325" s="371"/>
      <c r="O325" s="371"/>
      <c r="P325" s="371"/>
      <c r="Q325" s="371"/>
      <c r="R325" s="371"/>
      <c r="S325" s="371"/>
      <c r="T325" s="371"/>
      <c r="U325" s="371"/>
      <c r="V325" s="371"/>
    </row>
    <row r="326" ht="15.75" customHeight="1">
      <c r="A326" s="371"/>
      <c r="B326" s="371"/>
      <c r="C326" s="371"/>
      <c r="D326" s="371"/>
      <c r="E326" s="371"/>
      <c r="F326" s="371"/>
      <c r="G326" s="371"/>
      <c r="H326" s="371"/>
      <c r="I326" s="371"/>
      <c r="J326" s="371"/>
      <c r="K326" s="371"/>
      <c r="L326" s="371"/>
      <c r="M326" s="371"/>
      <c r="N326" s="371"/>
      <c r="O326" s="371"/>
      <c r="P326" s="371"/>
      <c r="Q326" s="371"/>
      <c r="R326" s="371"/>
      <c r="S326" s="371"/>
      <c r="T326" s="371"/>
      <c r="U326" s="371"/>
      <c r="V326" s="371"/>
    </row>
    <row r="327" ht="15.75" customHeight="1">
      <c r="A327" s="371"/>
      <c r="B327" s="371"/>
      <c r="C327" s="371"/>
      <c r="D327" s="371"/>
      <c r="E327" s="371"/>
      <c r="F327" s="371"/>
      <c r="G327" s="371"/>
      <c r="H327" s="371"/>
      <c r="I327" s="371"/>
      <c r="J327" s="371"/>
      <c r="K327" s="371"/>
      <c r="L327" s="371"/>
      <c r="M327" s="371"/>
      <c r="N327" s="371"/>
      <c r="O327" s="371"/>
      <c r="P327" s="371"/>
      <c r="Q327" s="371"/>
      <c r="R327" s="371"/>
      <c r="S327" s="371"/>
      <c r="T327" s="371"/>
      <c r="U327" s="371"/>
      <c r="V327" s="371"/>
    </row>
    <row r="328" ht="15.75" customHeight="1">
      <c r="A328" s="371"/>
      <c r="B328" s="371"/>
      <c r="C328" s="371"/>
      <c r="D328" s="371"/>
      <c r="E328" s="371"/>
      <c r="F328" s="371"/>
      <c r="G328" s="371"/>
      <c r="H328" s="371"/>
      <c r="I328" s="371"/>
      <c r="J328" s="371"/>
      <c r="K328" s="371"/>
      <c r="L328" s="371"/>
      <c r="M328" s="371"/>
      <c r="N328" s="371"/>
      <c r="O328" s="371"/>
      <c r="P328" s="371"/>
      <c r="Q328" s="371"/>
      <c r="R328" s="371"/>
      <c r="S328" s="371"/>
      <c r="T328" s="371"/>
      <c r="U328" s="371"/>
      <c r="V328" s="371"/>
    </row>
    <row r="329" ht="15.75" customHeight="1">
      <c r="A329" s="371"/>
      <c r="B329" s="371"/>
      <c r="C329" s="371"/>
      <c r="D329" s="371"/>
      <c r="E329" s="371"/>
      <c r="F329" s="371"/>
      <c r="G329" s="371"/>
      <c r="H329" s="371"/>
      <c r="I329" s="371"/>
      <c r="J329" s="371"/>
      <c r="K329" s="371"/>
      <c r="L329" s="371"/>
      <c r="M329" s="371"/>
      <c r="N329" s="371"/>
      <c r="O329" s="371"/>
      <c r="P329" s="371"/>
      <c r="Q329" s="371"/>
      <c r="R329" s="371"/>
      <c r="S329" s="371"/>
      <c r="T329" s="371"/>
      <c r="U329" s="371"/>
      <c r="V329" s="371"/>
    </row>
    <row r="330" ht="15.75" customHeight="1">
      <c r="A330" s="371"/>
      <c r="B330" s="371"/>
      <c r="C330" s="371"/>
      <c r="D330" s="371"/>
      <c r="E330" s="371"/>
      <c r="F330" s="371"/>
      <c r="G330" s="371"/>
      <c r="H330" s="371"/>
      <c r="I330" s="371"/>
      <c r="J330" s="371"/>
      <c r="K330" s="371"/>
      <c r="L330" s="371"/>
      <c r="M330" s="371"/>
      <c r="N330" s="371"/>
      <c r="O330" s="371"/>
      <c r="P330" s="371"/>
      <c r="Q330" s="371"/>
      <c r="R330" s="371"/>
      <c r="S330" s="371"/>
      <c r="T330" s="371"/>
      <c r="U330" s="371"/>
      <c r="V330" s="371"/>
    </row>
    <row r="331" ht="15.75" customHeight="1">
      <c r="A331" s="371"/>
      <c r="B331" s="371"/>
      <c r="C331" s="371"/>
      <c r="D331" s="371"/>
      <c r="E331" s="371"/>
      <c r="F331" s="371"/>
      <c r="G331" s="371"/>
      <c r="H331" s="371"/>
      <c r="I331" s="371"/>
      <c r="J331" s="371"/>
      <c r="K331" s="371"/>
      <c r="L331" s="371"/>
      <c r="M331" s="371"/>
      <c r="N331" s="371"/>
      <c r="O331" s="371"/>
      <c r="P331" s="371"/>
      <c r="Q331" s="371"/>
      <c r="R331" s="371"/>
      <c r="S331" s="371"/>
      <c r="T331" s="371"/>
      <c r="U331" s="371"/>
      <c r="V331" s="371"/>
    </row>
    <row r="332" ht="15.75" customHeight="1">
      <c r="A332" s="371"/>
      <c r="B332" s="371"/>
      <c r="C332" s="371"/>
      <c r="D332" s="371"/>
      <c r="E332" s="371"/>
      <c r="F332" s="371"/>
      <c r="G332" s="371"/>
      <c r="H332" s="371"/>
      <c r="I332" s="371"/>
      <c r="J332" s="371"/>
      <c r="K332" s="371"/>
      <c r="L332" s="371"/>
      <c r="M332" s="371"/>
      <c r="N332" s="371"/>
      <c r="O332" s="371"/>
      <c r="P332" s="371"/>
      <c r="Q332" s="371"/>
      <c r="R332" s="371"/>
      <c r="S332" s="371"/>
      <c r="T332" s="371"/>
      <c r="U332" s="371"/>
      <c r="V332" s="371"/>
    </row>
    <row r="333" ht="15.75" customHeight="1">
      <c r="A333" s="371"/>
      <c r="B333" s="371"/>
      <c r="C333" s="371"/>
      <c r="D333" s="371"/>
      <c r="E333" s="371"/>
      <c r="F333" s="371"/>
      <c r="G333" s="371"/>
      <c r="H333" s="371"/>
      <c r="I333" s="371"/>
      <c r="J333" s="371"/>
      <c r="K333" s="371"/>
      <c r="L333" s="371"/>
      <c r="M333" s="371"/>
      <c r="N333" s="371"/>
      <c r="O333" s="371"/>
      <c r="P333" s="371"/>
      <c r="Q333" s="371"/>
      <c r="R333" s="371"/>
      <c r="S333" s="371"/>
      <c r="T333" s="371"/>
      <c r="U333" s="371"/>
      <c r="V333" s="371"/>
    </row>
    <row r="334" ht="15.75" customHeight="1">
      <c r="A334" s="371"/>
      <c r="B334" s="371"/>
      <c r="C334" s="371"/>
      <c r="D334" s="371"/>
      <c r="E334" s="371"/>
      <c r="F334" s="371"/>
      <c r="G334" s="371"/>
      <c r="H334" s="371"/>
      <c r="I334" s="371"/>
      <c r="J334" s="371"/>
      <c r="K334" s="371"/>
      <c r="L334" s="371"/>
      <c r="M334" s="371"/>
      <c r="N334" s="371"/>
      <c r="O334" s="371"/>
      <c r="P334" s="371"/>
      <c r="Q334" s="371"/>
      <c r="R334" s="371"/>
      <c r="S334" s="371"/>
      <c r="T334" s="371"/>
      <c r="U334" s="371"/>
      <c r="V334" s="371"/>
    </row>
    <row r="335" ht="15.75" customHeight="1">
      <c r="A335" s="371"/>
      <c r="B335" s="371"/>
      <c r="C335" s="371"/>
      <c r="D335" s="371"/>
      <c r="E335" s="371"/>
      <c r="F335" s="371"/>
      <c r="G335" s="371"/>
      <c r="H335" s="371"/>
      <c r="I335" s="371"/>
      <c r="J335" s="371"/>
      <c r="K335" s="371"/>
      <c r="L335" s="371"/>
      <c r="M335" s="371"/>
      <c r="N335" s="371"/>
      <c r="O335" s="371"/>
      <c r="P335" s="371"/>
      <c r="Q335" s="371"/>
      <c r="R335" s="371"/>
      <c r="S335" s="371"/>
      <c r="T335" s="371"/>
      <c r="U335" s="371"/>
      <c r="V335" s="371"/>
    </row>
    <row r="336" ht="15.75" customHeight="1">
      <c r="A336" s="371"/>
      <c r="B336" s="371"/>
      <c r="C336" s="371"/>
      <c r="D336" s="371"/>
      <c r="E336" s="371"/>
      <c r="F336" s="371"/>
      <c r="G336" s="371"/>
      <c r="H336" s="371"/>
      <c r="I336" s="371"/>
      <c r="J336" s="371"/>
      <c r="K336" s="371"/>
      <c r="L336" s="371"/>
      <c r="M336" s="371"/>
      <c r="N336" s="371"/>
      <c r="O336" s="371"/>
      <c r="P336" s="371"/>
      <c r="Q336" s="371"/>
      <c r="R336" s="371"/>
      <c r="S336" s="371"/>
      <c r="T336" s="371"/>
      <c r="U336" s="371"/>
      <c r="V336" s="371"/>
    </row>
    <row r="337" ht="15.75" customHeight="1">
      <c r="A337" s="371"/>
      <c r="B337" s="371"/>
      <c r="C337" s="371"/>
      <c r="D337" s="371"/>
      <c r="E337" s="371"/>
      <c r="F337" s="371"/>
      <c r="G337" s="371"/>
      <c r="H337" s="371"/>
      <c r="I337" s="371"/>
      <c r="J337" s="371"/>
      <c r="K337" s="371"/>
      <c r="L337" s="371"/>
      <c r="M337" s="371"/>
      <c r="N337" s="371"/>
      <c r="O337" s="371"/>
      <c r="P337" s="371"/>
      <c r="Q337" s="371"/>
      <c r="R337" s="371"/>
      <c r="S337" s="371"/>
      <c r="T337" s="371"/>
      <c r="U337" s="371"/>
      <c r="V337" s="371"/>
    </row>
    <row r="338" ht="15.75" customHeight="1">
      <c r="A338" s="371"/>
      <c r="B338" s="371"/>
      <c r="C338" s="371"/>
      <c r="D338" s="371"/>
      <c r="E338" s="371"/>
      <c r="F338" s="371"/>
      <c r="G338" s="371"/>
      <c r="H338" s="371"/>
      <c r="I338" s="371"/>
      <c r="J338" s="371"/>
      <c r="K338" s="371"/>
      <c r="L338" s="371"/>
      <c r="M338" s="371"/>
      <c r="N338" s="371"/>
      <c r="O338" s="371"/>
      <c r="P338" s="371"/>
      <c r="Q338" s="371"/>
      <c r="R338" s="371"/>
      <c r="S338" s="371"/>
      <c r="T338" s="371"/>
      <c r="U338" s="371"/>
      <c r="V338" s="371"/>
    </row>
    <row r="339" ht="15.75" customHeight="1">
      <c r="A339" s="371"/>
      <c r="B339" s="371"/>
      <c r="C339" s="371"/>
      <c r="D339" s="371"/>
      <c r="E339" s="371"/>
      <c r="F339" s="371"/>
      <c r="G339" s="371"/>
      <c r="H339" s="371"/>
      <c r="I339" s="371"/>
      <c r="J339" s="371"/>
      <c r="K339" s="371"/>
      <c r="L339" s="371"/>
      <c r="M339" s="371"/>
      <c r="N339" s="371"/>
      <c r="O339" s="371"/>
      <c r="P339" s="371"/>
      <c r="Q339" s="371"/>
      <c r="R339" s="371"/>
      <c r="S339" s="371"/>
      <c r="T339" s="371"/>
      <c r="U339" s="371"/>
      <c r="V339" s="371"/>
    </row>
    <row r="340" ht="15.75" customHeight="1">
      <c r="A340" s="371"/>
      <c r="B340" s="371"/>
      <c r="C340" s="371"/>
      <c r="D340" s="371"/>
      <c r="E340" s="371"/>
      <c r="F340" s="371"/>
      <c r="G340" s="371"/>
      <c r="H340" s="371"/>
      <c r="I340" s="371"/>
      <c r="J340" s="371"/>
      <c r="K340" s="371"/>
      <c r="L340" s="371"/>
      <c r="M340" s="371"/>
      <c r="N340" s="371"/>
      <c r="O340" s="371"/>
      <c r="P340" s="371"/>
      <c r="Q340" s="371"/>
      <c r="R340" s="371"/>
      <c r="S340" s="371"/>
      <c r="T340" s="371"/>
      <c r="U340" s="371"/>
      <c r="V340" s="371"/>
    </row>
    <row r="341" ht="15.75" customHeight="1">
      <c r="A341" s="371"/>
      <c r="B341" s="371"/>
      <c r="C341" s="371"/>
      <c r="D341" s="371"/>
      <c r="E341" s="371"/>
      <c r="F341" s="371"/>
      <c r="G341" s="371"/>
      <c r="H341" s="371"/>
      <c r="I341" s="371"/>
      <c r="J341" s="371"/>
      <c r="K341" s="371"/>
      <c r="L341" s="371"/>
      <c r="M341" s="371"/>
      <c r="N341" s="371"/>
      <c r="O341" s="371"/>
      <c r="P341" s="371"/>
      <c r="Q341" s="371"/>
      <c r="R341" s="371"/>
      <c r="S341" s="371"/>
      <c r="T341" s="371"/>
      <c r="U341" s="371"/>
      <c r="V341" s="371"/>
    </row>
    <row r="342" ht="15.75" customHeight="1">
      <c r="A342" s="371"/>
      <c r="B342" s="371"/>
      <c r="C342" s="371"/>
      <c r="D342" s="371"/>
      <c r="E342" s="371"/>
      <c r="F342" s="371"/>
      <c r="G342" s="371"/>
      <c r="H342" s="371"/>
      <c r="I342" s="371"/>
      <c r="J342" s="371"/>
      <c r="K342" s="371"/>
      <c r="L342" s="371"/>
      <c r="M342" s="371"/>
      <c r="N342" s="371"/>
      <c r="O342" s="371"/>
      <c r="P342" s="371"/>
      <c r="Q342" s="371"/>
      <c r="R342" s="371"/>
      <c r="S342" s="371"/>
      <c r="T342" s="371"/>
      <c r="U342" s="371"/>
      <c r="V342" s="371"/>
    </row>
    <row r="343" ht="15.75" customHeight="1">
      <c r="A343" s="371"/>
      <c r="B343" s="371"/>
      <c r="C343" s="371"/>
      <c r="D343" s="371"/>
      <c r="E343" s="371"/>
      <c r="F343" s="371"/>
      <c r="G343" s="371"/>
      <c r="H343" s="371"/>
      <c r="I343" s="371"/>
      <c r="J343" s="371"/>
      <c r="K343" s="371"/>
      <c r="L343" s="371"/>
      <c r="M343" s="371"/>
      <c r="N343" s="371"/>
      <c r="O343" s="371"/>
      <c r="P343" s="371"/>
      <c r="Q343" s="371"/>
      <c r="R343" s="371"/>
      <c r="S343" s="371"/>
      <c r="T343" s="371"/>
      <c r="U343" s="371"/>
      <c r="V343" s="371"/>
    </row>
    <row r="344" ht="15.75" customHeight="1">
      <c r="A344" s="371"/>
      <c r="B344" s="371"/>
      <c r="C344" s="371"/>
      <c r="D344" s="371"/>
      <c r="E344" s="371"/>
      <c r="F344" s="371"/>
      <c r="G344" s="371"/>
      <c r="H344" s="371"/>
      <c r="I344" s="371"/>
      <c r="J344" s="371"/>
      <c r="K344" s="371"/>
      <c r="L344" s="371"/>
      <c r="M344" s="371"/>
      <c r="N344" s="371"/>
      <c r="O344" s="371"/>
      <c r="P344" s="371"/>
      <c r="Q344" s="371"/>
      <c r="R344" s="371"/>
      <c r="S344" s="371"/>
      <c r="T344" s="371"/>
      <c r="U344" s="371"/>
      <c r="V344" s="371"/>
    </row>
    <row r="345" ht="15.75" customHeight="1">
      <c r="A345" s="371"/>
      <c r="B345" s="371"/>
      <c r="C345" s="371"/>
      <c r="D345" s="371"/>
      <c r="E345" s="371"/>
      <c r="F345" s="371"/>
      <c r="G345" s="371"/>
      <c r="H345" s="371"/>
      <c r="I345" s="371"/>
      <c r="J345" s="371"/>
      <c r="K345" s="371"/>
      <c r="L345" s="371"/>
      <c r="M345" s="371"/>
      <c r="N345" s="371"/>
      <c r="O345" s="371"/>
      <c r="P345" s="371"/>
      <c r="Q345" s="371"/>
      <c r="R345" s="371"/>
      <c r="S345" s="371"/>
      <c r="T345" s="371"/>
      <c r="U345" s="371"/>
      <c r="V345" s="371"/>
    </row>
    <row r="346" ht="15.75" customHeight="1">
      <c r="A346" s="371"/>
      <c r="B346" s="371"/>
      <c r="C346" s="371"/>
      <c r="D346" s="371"/>
      <c r="E346" s="371"/>
      <c r="F346" s="371"/>
      <c r="G346" s="371"/>
      <c r="H346" s="371"/>
      <c r="I346" s="371"/>
      <c r="J346" s="371"/>
      <c r="K346" s="371"/>
      <c r="L346" s="371"/>
      <c r="M346" s="371"/>
      <c r="N346" s="371"/>
      <c r="O346" s="371"/>
      <c r="P346" s="371"/>
      <c r="Q346" s="371"/>
      <c r="R346" s="371"/>
      <c r="S346" s="371"/>
      <c r="T346" s="371"/>
      <c r="U346" s="371"/>
      <c r="V346" s="371"/>
    </row>
    <row r="347" ht="15.75" customHeight="1">
      <c r="A347" s="371"/>
      <c r="B347" s="371"/>
      <c r="C347" s="371"/>
      <c r="D347" s="371"/>
      <c r="E347" s="371"/>
      <c r="F347" s="371"/>
      <c r="G347" s="371"/>
      <c r="H347" s="371"/>
      <c r="I347" s="371"/>
      <c r="J347" s="371"/>
      <c r="K347" s="371"/>
      <c r="L347" s="371"/>
      <c r="M347" s="371"/>
      <c r="N347" s="371"/>
      <c r="O347" s="371"/>
      <c r="P347" s="371"/>
      <c r="Q347" s="371"/>
      <c r="R347" s="371"/>
      <c r="S347" s="371"/>
      <c r="T347" s="371"/>
      <c r="U347" s="371"/>
      <c r="V347" s="371"/>
    </row>
    <row r="348" ht="15.75" customHeight="1">
      <c r="A348" s="371"/>
      <c r="B348" s="371"/>
      <c r="C348" s="371"/>
      <c r="D348" s="371"/>
      <c r="E348" s="371"/>
      <c r="F348" s="371"/>
      <c r="G348" s="371"/>
      <c r="H348" s="371"/>
      <c r="I348" s="371"/>
      <c r="J348" s="371"/>
      <c r="K348" s="371"/>
      <c r="L348" s="371"/>
      <c r="M348" s="371"/>
      <c r="N348" s="371"/>
      <c r="O348" s="371"/>
      <c r="P348" s="371"/>
      <c r="Q348" s="371"/>
      <c r="R348" s="371"/>
      <c r="S348" s="371"/>
      <c r="T348" s="371"/>
      <c r="U348" s="371"/>
      <c r="V348" s="371"/>
    </row>
    <row r="349" ht="15.75" customHeight="1">
      <c r="A349" s="371"/>
      <c r="B349" s="371"/>
      <c r="C349" s="371"/>
      <c r="D349" s="371"/>
      <c r="E349" s="371"/>
      <c r="F349" s="371"/>
      <c r="G349" s="371"/>
      <c r="H349" s="371"/>
      <c r="I349" s="371"/>
      <c r="J349" s="371"/>
      <c r="K349" s="371"/>
      <c r="L349" s="371"/>
      <c r="M349" s="371"/>
      <c r="N349" s="371"/>
      <c r="O349" s="371"/>
      <c r="P349" s="371"/>
      <c r="Q349" s="371"/>
      <c r="R349" s="371"/>
      <c r="S349" s="371"/>
      <c r="T349" s="371"/>
      <c r="U349" s="371"/>
      <c r="V349" s="371"/>
    </row>
    <row r="350" ht="15.75" customHeight="1">
      <c r="A350" s="371"/>
      <c r="B350" s="371"/>
      <c r="C350" s="371"/>
      <c r="D350" s="371"/>
      <c r="E350" s="371"/>
      <c r="F350" s="371"/>
      <c r="G350" s="371"/>
      <c r="H350" s="371"/>
      <c r="I350" s="371"/>
      <c r="J350" s="371"/>
      <c r="K350" s="371"/>
      <c r="L350" s="371"/>
      <c r="M350" s="371"/>
      <c r="N350" s="371"/>
      <c r="O350" s="371"/>
      <c r="P350" s="371"/>
      <c r="Q350" s="371"/>
      <c r="R350" s="371"/>
      <c r="S350" s="371"/>
      <c r="T350" s="371"/>
      <c r="U350" s="371"/>
      <c r="V350" s="371"/>
    </row>
    <row r="351" ht="15.75" customHeight="1">
      <c r="A351" s="371"/>
      <c r="B351" s="371"/>
      <c r="C351" s="371"/>
      <c r="D351" s="371"/>
      <c r="E351" s="371"/>
      <c r="F351" s="371"/>
      <c r="G351" s="371"/>
      <c r="H351" s="371"/>
      <c r="I351" s="371"/>
      <c r="J351" s="371"/>
      <c r="K351" s="371"/>
      <c r="L351" s="371"/>
      <c r="M351" s="371"/>
      <c r="N351" s="371"/>
      <c r="O351" s="371"/>
      <c r="P351" s="371"/>
      <c r="Q351" s="371"/>
      <c r="R351" s="371"/>
      <c r="S351" s="371"/>
      <c r="T351" s="371"/>
      <c r="U351" s="371"/>
      <c r="V351" s="371"/>
    </row>
    <row r="352" ht="15.75" customHeight="1">
      <c r="A352" s="371"/>
      <c r="B352" s="371"/>
      <c r="C352" s="371"/>
      <c r="D352" s="371"/>
      <c r="E352" s="371"/>
      <c r="F352" s="371"/>
      <c r="G352" s="371"/>
      <c r="H352" s="371"/>
      <c r="I352" s="371"/>
      <c r="J352" s="371"/>
      <c r="K352" s="371"/>
      <c r="L352" s="371"/>
      <c r="M352" s="371"/>
      <c r="N352" s="371"/>
      <c r="O352" s="371"/>
      <c r="P352" s="371"/>
      <c r="Q352" s="371"/>
      <c r="R352" s="371"/>
      <c r="S352" s="371"/>
      <c r="T352" s="371"/>
      <c r="U352" s="371"/>
      <c r="V352" s="371"/>
    </row>
    <row r="353" ht="15.75" customHeight="1">
      <c r="A353" s="371"/>
      <c r="B353" s="371"/>
      <c r="C353" s="371"/>
      <c r="D353" s="371"/>
      <c r="E353" s="371"/>
      <c r="F353" s="371"/>
      <c r="G353" s="371"/>
      <c r="H353" s="371"/>
      <c r="I353" s="371"/>
      <c r="J353" s="371"/>
      <c r="K353" s="371"/>
      <c r="L353" s="371"/>
      <c r="M353" s="371"/>
      <c r="N353" s="371"/>
      <c r="O353" s="371"/>
      <c r="P353" s="371"/>
      <c r="Q353" s="371"/>
      <c r="R353" s="371"/>
      <c r="S353" s="371"/>
      <c r="T353" s="371"/>
      <c r="U353" s="371"/>
      <c r="V353" s="371"/>
    </row>
    <row r="354" ht="15.75" customHeight="1">
      <c r="A354" s="371"/>
      <c r="B354" s="371"/>
      <c r="C354" s="371"/>
      <c r="D354" s="371"/>
      <c r="E354" s="371"/>
      <c r="F354" s="371"/>
      <c r="G354" s="371"/>
      <c r="H354" s="371"/>
      <c r="I354" s="371"/>
      <c r="J354" s="371"/>
      <c r="K354" s="371"/>
      <c r="L354" s="371"/>
      <c r="M354" s="371"/>
      <c r="N354" s="371"/>
      <c r="O354" s="371"/>
      <c r="P354" s="371"/>
      <c r="Q354" s="371"/>
      <c r="R354" s="371"/>
      <c r="S354" s="371"/>
      <c r="T354" s="371"/>
      <c r="U354" s="371"/>
      <c r="V354" s="371"/>
    </row>
    <row r="355" ht="15.75" customHeight="1">
      <c r="A355" s="371"/>
      <c r="B355" s="371"/>
      <c r="C355" s="371"/>
      <c r="D355" s="371"/>
      <c r="E355" s="371"/>
      <c r="F355" s="371"/>
      <c r="G355" s="371"/>
      <c r="H355" s="371"/>
      <c r="I355" s="371"/>
      <c r="J355" s="371"/>
      <c r="K355" s="371"/>
      <c r="L355" s="371"/>
      <c r="M355" s="371"/>
      <c r="N355" s="371"/>
      <c r="O355" s="371"/>
      <c r="P355" s="371"/>
      <c r="Q355" s="371"/>
      <c r="R355" s="371"/>
      <c r="S355" s="371"/>
      <c r="T355" s="371"/>
      <c r="U355" s="371"/>
      <c r="V355" s="371"/>
    </row>
    <row r="356" ht="15.75" customHeight="1">
      <c r="A356" s="371"/>
      <c r="B356" s="371"/>
      <c r="C356" s="371"/>
      <c r="D356" s="371"/>
      <c r="E356" s="371"/>
      <c r="F356" s="371"/>
      <c r="G356" s="371"/>
      <c r="H356" s="371"/>
      <c r="I356" s="371"/>
      <c r="J356" s="371"/>
      <c r="K356" s="371"/>
      <c r="L356" s="371"/>
      <c r="M356" s="371"/>
      <c r="N356" s="371"/>
      <c r="O356" s="371"/>
      <c r="P356" s="371"/>
      <c r="Q356" s="371"/>
      <c r="R356" s="371"/>
      <c r="S356" s="371"/>
      <c r="T356" s="371"/>
      <c r="U356" s="371"/>
      <c r="V356" s="371"/>
    </row>
    <row r="357" ht="15.75" customHeight="1">
      <c r="A357" s="371"/>
      <c r="B357" s="371"/>
      <c r="C357" s="371"/>
      <c r="D357" s="371"/>
      <c r="E357" s="371"/>
      <c r="F357" s="371"/>
      <c r="G357" s="371"/>
      <c r="H357" s="371"/>
      <c r="I357" s="371"/>
      <c r="J357" s="371"/>
      <c r="K357" s="371"/>
      <c r="L357" s="371"/>
      <c r="M357" s="371"/>
      <c r="N357" s="371"/>
      <c r="O357" s="371"/>
      <c r="P357" s="371"/>
      <c r="Q357" s="371"/>
      <c r="R357" s="371"/>
      <c r="S357" s="371"/>
      <c r="T357" s="371"/>
      <c r="U357" s="371"/>
      <c r="V357" s="371"/>
    </row>
    <row r="358" ht="15.75" customHeight="1">
      <c r="A358" s="371"/>
      <c r="B358" s="371"/>
      <c r="C358" s="371"/>
      <c r="D358" s="371"/>
      <c r="E358" s="371"/>
      <c r="F358" s="371"/>
      <c r="G358" s="371"/>
      <c r="H358" s="371"/>
      <c r="I358" s="371"/>
      <c r="J358" s="371"/>
      <c r="K358" s="371"/>
      <c r="L358" s="371"/>
      <c r="M358" s="371"/>
      <c r="N358" s="371"/>
      <c r="O358" s="371"/>
      <c r="P358" s="371"/>
      <c r="Q358" s="371"/>
      <c r="R358" s="371"/>
      <c r="S358" s="371"/>
      <c r="T358" s="371"/>
      <c r="U358" s="371"/>
      <c r="V358" s="371"/>
    </row>
    <row r="359" ht="15.75" customHeight="1">
      <c r="A359" s="371"/>
      <c r="B359" s="371"/>
      <c r="C359" s="371"/>
      <c r="D359" s="371"/>
      <c r="E359" s="371"/>
      <c r="F359" s="371"/>
      <c r="G359" s="371"/>
      <c r="H359" s="371"/>
      <c r="I359" s="371"/>
      <c r="J359" s="371"/>
      <c r="K359" s="371"/>
      <c r="L359" s="371"/>
      <c r="M359" s="371"/>
      <c r="N359" s="371"/>
      <c r="O359" s="371"/>
      <c r="P359" s="371"/>
      <c r="Q359" s="371"/>
      <c r="R359" s="371"/>
      <c r="S359" s="371"/>
      <c r="T359" s="371"/>
      <c r="U359" s="371"/>
      <c r="V359" s="371"/>
    </row>
    <row r="360" ht="15.75" customHeight="1">
      <c r="A360" s="371"/>
      <c r="B360" s="371"/>
      <c r="C360" s="371"/>
      <c r="D360" s="371"/>
      <c r="E360" s="371"/>
      <c r="F360" s="371"/>
      <c r="G360" s="371"/>
      <c r="H360" s="371"/>
      <c r="I360" s="371"/>
      <c r="J360" s="371"/>
      <c r="K360" s="371"/>
      <c r="L360" s="371"/>
      <c r="M360" s="371"/>
      <c r="N360" s="371"/>
      <c r="O360" s="371"/>
      <c r="P360" s="371"/>
      <c r="Q360" s="371"/>
      <c r="R360" s="371"/>
      <c r="S360" s="371"/>
      <c r="T360" s="371"/>
      <c r="U360" s="371"/>
      <c r="V360" s="371"/>
    </row>
    <row r="361" ht="15.75" customHeight="1">
      <c r="A361" s="371"/>
      <c r="B361" s="371"/>
      <c r="C361" s="371"/>
      <c r="D361" s="371"/>
      <c r="E361" s="371"/>
      <c r="F361" s="371"/>
      <c r="G361" s="371"/>
      <c r="H361" s="371"/>
      <c r="I361" s="371"/>
      <c r="J361" s="371"/>
      <c r="K361" s="371"/>
      <c r="L361" s="371"/>
      <c r="M361" s="371"/>
      <c r="N361" s="371"/>
      <c r="O361" s="371"/>
      <c r="P361" s="371"/>
      <c r="Q361" s="371"/>
      <c r="R361" s="371"/>
      <c r="S361" s="371"/>
      <c r="T361" s="371"/>
      <c r="U361" s="371"/>
      <c r="V361" s="371"/>
    </row>
    <row r="362" ht="15.75" customHeight="1">
      <c r="A362" s="371"/>
      <c r="B362" s="371"/>
      <c r="C362" s="371"/>
      <c r="D362" s="371"/>
      <c r="E362" s="371"/>
      <c r="F362" s="371"/>
      <c r="G362" s="371"/>
      <c r="H362" s="371"/>
      <c r="I362" s="371"/>
      <c r="J362" s="371"/>
      <c r="K362" s="371"/>
      <c r="L362" s="371"/>
      <c r="M362" s="371"/>
      <c r="N362" s="371"/>
      <c r="O362" s="371"/>
      <c r="P362" s="371"/>
      <c r="Q362" s="371"/>
      <c r="R362" s="371"/>
      <c r="S362" s="371"/>
      <c r="T362" s="371"/>
      <c r="U362" s="371"/>
      <c r="V362" s="371"/>
    </row>
    <row r="363" ht="15.75" customHeight="1">
      <c r="A363" s="371"/>
      <c r="B363" s="371"/>
      <c r="C363" s="371"/>
      <c r="D363" s="371"/>
      <c r="E363" s="371"/>
      <c r="F363" s="371"/>
      <c r="G363" s="371"/>
      <c r="H363" s="371"/>
      <c r="I363" s="371"/>
      <c r="J363" s="371"/>
      <c r="K363" s="371"/>
      <c r="L363" s="371"/>
      <c r="M363" s="371"/>
      <c r="N363" s="371"/>
      <c r="O363" s="371"/>
      <c r="P363" s="371"/>
      <c r="Q363" s="371"/>
      <c r="R363" s="371"/>
      <c r="S363" s="371"/>
      <c r="T363" s="371"/>
      <c r="U363" s="371"/>
      <c r="V363" s="371"/>
    </row>
    <row r="364" ht="15.75" customHeight="1">
      <c r="A364" s="371"/>
      <c r="B364" s="371"/>
      <c r="C364" s="371"/>
      <c r="D364" s="371"/>
      <c r="E364" s="371"/>
      <c r="F364" s="371"/>
      <c r="G364" s="371"/>
      <c r="H364" s="371"/>
      <c r="I364" s="371"/>
      <c r="J364" s="371"/>
      <c r="K364" s="371"/>
      <c r="L364" s="371"/>
      <c r="M364" s="371"/>
      <c r="N364" s="371"/>
      <c r="O364" s="371"/>
      <c r="P364" s="371"/>
      <c r="Q364" s="371"/>
      <c r="R364" s="371"/>
      <c r="S364" s="371"/>
      <c r="T364" s="371"/>
      <c r="U364" s="371"/>
      <c r="V364" s="371"/>
    </row>
    <row r="365" ht="15.75" customHeight="1">
      <c r="A365" s="371"/>
      <c r="B365" s="371"/>
      <c r="C365" s="371"/>
      <c r="D365" s="371"/>
      <c r="E365" s="371"/>
      <c r="F365" s="371"/>
      <c r="G365" s="371"/>
      <c r="H365" s="371"/>
      <c r="I365" s="371"/>
      <c r="J365" s="371"/>
      <c r="K365" s="371"/>
      <c r="L365" s="371"/>
      <c r="M365" s="371"/>
      <c r="N365" s="371"/>
      <c r="O365" s="371"/>
      <c r="P365" s="371"/>
      <c r="Q365" s="371"/>
      <c r="R365" s="371"/>
      <c r="S365" s="371"/>
      <c r="T365" s="371"/>
      <c r="U365" s="371"/>
      <c r="V365" s="371"/>
    </row>
    <row r="366" ht="15.75" customHeight="1">
      <c r="A366" s="371"/>
      <c r="B366" s="371"/>
      <c r="C366" s="371"/>
      <c r="D366" s="371"/>
      <c r="E366" s="371"/>
      <c r="F366" s="371"/>
      <c r="G366" s="371"/>
      <c r="H366" s="371"/>
      <c r="I366" s="371"/>
      <c r="J366" s="371"/>
      <c r="K366" s="371"/>
      <c r="L366" s="371"/>
      <c r="M366" s="371"/>
      <c r="N366" s="371"/>
      <c r="O366" s="371"/>
      <c r="P366" s="371"/>
      <c r="Q366" s="371"/>
      <c r="R366" s="371"/>
      <c r="S366" s="371"/>
      <c r="T366" s="371"/>
      <c r="U366" s="371"/>
      <c r="V366" s="371"/>
    </row>
    <row r="367" ht="15.75" customHeight="1">
      <c r="A367" s="371"/>
      <c r="B367" s="371"/>
      <c r="C367" s="371"/>
      <c r="D367" s="371"/>
      <c r="E367" s="371"/>
      <c r="F367" s="371"/>
      <c r="G367" s="371"/>
      <c r="H367" s="371"/>
      <c r="I367" s="371"/>
      <c r="J367" s="371"/>
      <c r="K367" s="371"/>
      <c r="L367" s="371"/>
      <c r="M367" s="371"/>
      <c r="N367" s="371"/>
      <c r="O367" s="371"/>
      <c r="P367" s="371"/>
      <c r="Q367" s="371"/>
      <c r="R367" s="371"/>
      <c r="S367" s="371"/>
      <c r="T367" s="371"/>
      <c r="U367" s="371"/>
      <c r="V367" s="371"/>
    </row>
    <row r="368" ht="15.75" customHeight="1">
      <c r="A368" s="371"/>
      <c r="B368" s="371"/>
      <c r="C368" s="371"/>
      <c r="D368" s="371"/>
      <c r="E368" s="371"/>
      <c r="F368" s="371"/>
      <c r="G368" s="371"/>
      <c r="H368" s="371"/>
      <c r="I368" s="371"/>
      <c r="J368" s="371"/>
      <c r="K368" s="371"/>
      <c r="L368" s="371"/>
      <c r="M368" s="371"/>
      <c r="N368" s="371"/>
      <c r="O368" s="371"/>
      <c r="P368" s="371"/>
      <c r="Q368" s="371"/>
      <c r="R368" s="371"/>
      <c r="S368" s="371"/>
      <c r="T368" s="371"/>
      <c r="U368" s="371"/>
      <c r="V368" s="371"/>
    </row>
    <row r="369" ht="15.75" customHeight="1">
      <c r="A369" s="371"/>
      <c r="B369" s="371"/>
      <c r="C369" s="371"/>
      <c r="D369" s="371"/>
      <c r="E369" s="371"/>
      <c r="F369" s="371"/>
      <c r="G369" s="371"/>
      <c r="H369" s="371"/>
      <c r="I369" s="371"/>
      <c r="J369" s="371"/>
      <c r="K369" s="371"/>
      <c r="L369" s="371"/>
      <c r="M369" s="371"/>
      <c r="N369" s="371"/>
      <c r="O369" s="371"/>
      <c r="P369" s="371"/>
      <c r="Q369" s="371"/>
      <c r="R369" s="371"/>
      <c r="S369" s="371"/>
      <c r="T369" s="371"/>
      <c r="U369" s="371"/>
      <c r="V369" s="371"/>
    </row>
    <row r="370" ht="15.75" customHeight="1">
      <c r="A370" s="371"/>
      <c r="B370" s="371"/>
      <c r="C370" s="371"/>
      <c r="D370" s="371"/>
      <c r="E370" s="371"/>
      <c r="F370" s="371"/>
      <c r="G370" s="371"/>
      <c r="H370" s="371"/>
      <c r="I370" s="371"/>
      <c r="J370" s="371"/>
      <c r="K370" s="371"/>
      <c r="L370" s="371"/>
      <c r="M370" s="371"/>
      <c r="N370" s="371"/>
      <c r="O370" s="371"/>
      <c r="P370" s="371"/>
      <c r="Q370" s="371"/>
      <c r="R370" s="371"/>
      <c r="S370" s="371"/>
      <c r="T370" s="371"/>
      <c r="U370" s="371"/>
      <c r="V370" s="371"/>
    </row>
    <row r="371" ht="15.75" customHeight="1">
      <c r="A371" s="371"/>
      <c r="B371" s="371"/>
      <c r="C371" s="371"/>
      <c r="D371" s="371"/>
      <c r="E371" s="371"/>
      <c r="F371" s="371"/>
      <c r="G371" s="371"/>
      <c r="H371" s="371"/>
      <c r="I371" s="371"/>
      <c r="J371" s="371"/>
      <c r="K371" s="371"/>
      <c r="L371" s="371"/>
      <c r="M371" s="371"/>
      <c r="N371" s="371"/>
      <c r="O371" s="371"/>
      <c r="P371" s="371"/>
      <c r="Q371" s="371"/>
      <c r="R371" s="371"/>
      <c r="S371" s="371"/>
      <c r="T371" s="371"/>
      <c r="U371" s="371"/>
      <c r="V371" s="371"/>
    </row>
    <row r="372" ht="15.75" customHeight="1">
      <c r="A372" s="371"/>
      <c r="B372" s="371"/>
      <c r="C372" s="371"/>
      <c r="D372" s="371"/>
      <c r="E372" s="371"/>
      <c r="F372" s="371"/>
      <c r="G372" s="371"/>
      <c r="H372" s="371"/>
      <c r="I372" s="371"/>
      <c r="J372" s="371"/>
      <c r="K372" s="371"/>
      <c r="L372" s="371"/>
      <c r="M372" s="371"/>
      <c r="N372" s="371"/>
      <c r="O372" s="371"/>
      <c r="P372" s="371"/>
      <c r="Q372" s="371"/>
      <c r="R372" s="371"/>
      <c r="S372" s="371"/>
      <c r="T372" s="371"/>
      <c r="U372" s="371"/>
      <c r="V372" s="371"/>
    </row>
    <row r="373" ht="15.75" customHeight="1">
      <c r="A373" s="371"/>
      <c r="B373" s="371"/>
      <c r="C373" s="371"/>
      <c r="D373" s="371"/>
      <c r="E373" s="371"/>
      <c r="F373" s="371"/>
      <c r="G373" s="371"/>
      <c r="H373" s="371"/>
      <c r="I373" s="371"/>
      <c r="J373" s="371"/>
      <c r="K373" s="371"/>
      <c r="L373" s="371"/>
      <c r="M373" s="371"/>
      <c r="N373" s="371"/>
      <c r="O373" s="371"/>
      <c r="P373" s="371"/>
      <c r="Q373" s="371"/>
      <c r="R373" s="371"/>
      <c r="S373" s="371"/>
      <c r="T373" s="371"/>
      <c r="U373" s="371"/>
      <c r="V373" s="371"/>
    </row>
    <row r="374" ht="15.75" customHeight="1">
      <c r="A374" s="371"/>
      <c r="B374" s="371"/>
      <c r="C374" s="371"/>
      <c r="D374" s="371"/>
      <c r="E374" s="371"/>
      <c r="F374" s="371"/>
      <c r="G374" s="371"/>
      <c r="H374" s="371"/>
      <c r="I374" s="371"/>
      <c r="J374" s="371"/>
      <c r="K374" s="371"/>
      <c r="L374" s="371"/>
      <c r="M374" s="371"/>
      <c r="N374" s="371"/>
      <c r="O374" s="371"/>
      <c r="P374" s="371"/>
      <c r="Q374" s="371"/>
      <c r="R374" s="371"/>
      <c r="S374" s="371"/>
      <c r="T374" s="371"/>
      <c r="U374" s="371"/>
      <c r="V374" s="371"/>
    </row>
    <row r="375" ht="15.75" customHeight="1">
      <c r="A375" s="371"/>
      <c r="B375" s="371"/>
      <c r="C375" s="371"/>
      <c r="D375" s="371"/>
      <c r="E375" s="371"/>
      <c r="F375" s="371"/>
      <c r="G375" s="371"/>
      <c r="H375" s="371"/>
      <c r="I375" s="371"/>
      <c r="J375" s="371"/>
      <c r="K375" s="371"/>
      <c r="L375" s="371"/>
      <c r="M375" s="371"/>
      <c r="N375" s="371"/>
      <c r="O375" s="371"/>
      <c r="P375" s="371"/>
      <c r="Q375" s="371"/>
      <c r="R375" s="371"/>
      <c r="S375" s="371"/>
      <c r="T375" s="371"/>
      <c r="U375" s="371"/>
      <c r="V375" s="371"/>
    </row>
    <row r="376" ht="15.75" customHeight="1">
      <c r="A376" s="371"/>
      <c r="B376" s="371"/>
      <c r="C376" s="371"/>
      <c r="D376" s="371"/>
      <c r="E376" s="371"/>
      <c r="F376" s="371"/>
      <c r="G376" s="371"/>
      <c r="H376" s="371"/>
      <c r="I376" s="371"/>
      <c r="J376" s="371"/>
      <c r="K376" s="371"/>
      <c r="L376" s="371"/>
      <c r="M376" s="371"/>
      <c r="N376" s="371"/>
      <c r="O376" s="371"/>
      <c r="P376" s="371"/>
      <c r="Q376" s="371"/>
      <c r="R376" s="371"/>
      <c r="S376" s="371"/>
      <c r="T376" s="371"/>
      <c r="U376" s="371"/>
      <c r="V376" s="371"/>
    </row>
    <row r="377" ht="15.75" customHeight="1">
      <c r="A377" s="371"/>
      <c r="B377" s="371"/>
      <c r="C377" s="371"/>
      <c r="D377" s="371"/>
      <c r="E377" s="371"/>
      <c r="F377" s="371"/>
      <c r="G377" s="371"/>
      <c r="H377" s="371"/>
      <c r="I377" s="371"/>
      <c r="J377" s="371"/>
      <c r="K377" s="371"/>
      <c r="L377" s="371"/>
      <c r="M377" s="371"/>
      <c r="N377" s="371"/>
      <c r="O377" s="371"/>
      <c r="P377" s="371"/>
      <c r="Q377" s="371"/>
      <c r="R377" s="371"/>
      <c r="S377" s="371"/>
      <c r="T377" s="371"/>
      <c r="U377" s="371"/>
      <c r="V377" s="371"/>
    </row>
    <row r="378" ht="15.75" customHeight="1">
      <c r="A378" s="371"/>
      <c r="B378" s="371"/>
      <c r="C378" s="371"/>
      <c r="D378" s="371"/>
      <c r="E378" s="371"/>
      <c r="F378" s="371"/>
      <c r="G378" s="371"/>
      <c r="H378" s="371"/>
      <c r="I378" s="371"/>
      <c r="J378" s="371"/>
      <c r="K378" s="371"/>
      <c r="L378" s="371"/>
      <c r="M378" s="371"/>
      <c r="N378" s="371"/>
      <c r="O378" s="371"/>
      <c r="P378" s="371"/>
      <c r="Q378" s="371"/>
      <c r="R378" s="371"/>
      <c r="S378" s="371"/>
      <c r="T378" s="371"/>
      <c r="U378" s="371"/>
      <c r="V378" s="371"/>
    </row>
    <row r="379" ht="15.75" customHeight="1">
      <c r="A379" s="371"/>
      <c r="B379" s="371"/>
      <c r="C379" s="371"/>
      <c r="D379" s="371"/>
      <c r="E379" s="371"/>
      <c r="F379" s="371"/>
      <c r="G379" s="371"/>
      <c r="H379" s="371"/>
      <c r="I379" s="371"/>
      <c r="J379" s="371"/>
      <c r="K379" s="371"/>
      <c r="L379" s="371"/>
      <c r="M379" s="371"/>
      <c r="N379" s="371"/>
      <c r="O379" s="371"/>
      <c r="P379" s="371"/>
      <c r="Q379" s="371"/>
      <c r="R379" s="371"/>
      <c r="S379" s="371"/>
      <c r="T379" s="371"/>
      <c r="U379" s="371"/>
      <c r="V379" s="371"/>
    </row>
    <row r="380" ht="15.75" customHeight="1">
      <c r="A380" s="371"/>
      <c r="B380" s="371"/>
      <c r="C380" s="371"/>
      <c r="D380" s="371"/>
      <c r="E380" s="371"/>
      <c r="F380" s="371"/>
      <c r="G380" s="371"/>
      <c r="H380" s="371"/>
      <c r="I380" s="371"/>
      <c r="J380" s="371"/>
      <c r="K380" s="371"/>
      <c r="L380" s="371"/>
      <c r="M380" s="371"/>
      <c r="N380" s="371"/>
      <c r="O380" s="371"/>
      <c r="P380" s="371"/>
      <c r="Q380" s="371"/>
      <c r="R380" s="371"/>
      <c r="S380" s="371"/>
      <c r="T380" s="371"/>
      <c r="U380" s="371"/>
      <c r="V380" s="371"/>
    </row>
    <row r="381" ht="15.75" customHeight="1">
      <c r="A381" s="371"/>
      <c r="B381" s="371"/>
      <c r="C381" s="371"/>
      <c r="D381" s="371"/>
      <c r="E381" s="371"/>
      <c r="F381" s="371"/>
      <c r="G381" s="371"/>
      <c r="H381" s="371"/>
      <c r="I381" s="371"/>
      <c r="J381" s="371"/>
      <c r="K381" s="371"/>
      <c r="L381" s="371"/>
      <c r="M381" s="371"/>
      <c r="N381" s="371"/>
      <c r="O381" s="371"/>
      <c r="P381" s="371"/>
      <c r="Q381" s="371"/>
      <c r="R381" s="371"/>
      <c r="S381" s="371"/>
      <c r="T381" s="371"/>
      <c r="U381" s="371"/>
      <c r="V381" s="371"/>
    </row>
    <row r="382" ht="15.75" customHeight="1">
      <c r="A382" s="371"/>
      <c r="B382" s="371"/>
      <c r="C382" s="371"/>
      <c r="D382" s="371"/>
      <c r="E382" s="371"/>
      <c r="F382" s="371"/>
      <c r="G382" s="371"/>
      <c r="H382" s="371"/>
      <c r="I382" s="371"/>
      <c r="J382" s="371"/>
      <c r="K382" s="371"/>
      <c r="L382" s="371"/>
      <c r="M382" s="371"/>
      <c r="N382" s="371"/>
      <c r="O382" s="371"/>
      <c r="P382" s="371"/>
      <c r="Q382" s="371"/>
      <c r="R382" s="371"/>
      <c r="S382" s="371"/>
      <c r="T382" s="371"/>
      <c r="U382" s="371"/>
      <c r="V382" s="371"/>
    </row>
    <row r="383" ht="15.75" customHeight="1">
      <c r="A383" s="371"/>
      <c r="B383" s="371"/>
      <c r="C383" s="371"/>
      <c r="D383" s="371"/>
      <c r="E383" s="371"/>
      <c r="F383" s="371"/>
      <c r="G383" s="371"/>
      <c r="H383" s="371"/>
      <c r="I383" s="371"/>
      <c r="J383" s="371"/>
      <c r="K383" s="371"/>
      <c r="L383" s="371"/>
      <c r="M383" s="371"/>
      <c r="N383" s="371"/>
      <c r="O383" s="371"/>
      <c r="P383" s="371"/>
      <c r="Q383" s="371"/>
      <c r="R383" s="371"/>
      <c r="S383" s="371"/>
      <c r="T383" s="371"/>
      <c r="U383" s="371"/>
      <c r="V383" s="371"/>
    </row>
    <row r="384" ht="15.75" customHeight="1">
      <c r="A384" s="371"/>
      <c r="B384" s="371"/>
      <c r="C384" s="371"/>
      <c r="D384" s="371"/>
      <c r="E384" s="371"/>
      <c r="F384" s="371"/>
      <c r="G384" s="371"/>
      <c r="H384" s="371"/>
      <c r="I384" s="371"/>
      <c r="J384" s="371"/>
      <c r="K384" s="371"/>
      <c r="L384" s="371"/>
      <c r="M384" s="371"/>
      <c r="N384" s="371"/>
      <c r="O384" s="371"/>
      <c r="P384" s="371"/>
      <c r="Q384" s="371"/>
      <c r="R384" s="371"/>
      <c r="S384" s="371"/>
      <c r="T384" s="371"/>
      <c r="U384" s="371"/>
      <c r="V384" s="371"/>
    </row>
    <row r="385" ht="15.75" customHeight="1">
      <c r="A385" s="371"/>
      <c r="B385" s="371"/>
      <c r="C385" s="371"/>
      <c r="D385" s="371"/>
      <c r="E385" s="371"/>
      <c r="F385" s="371"/>
      <c r="G385" s="371"/>
      <c r="H385" s="371"/>
      <c r="I385" s="371"/>
      <c r="J385" s="371"/>
      <c r="K385" s="371"/>
      <c r="L385" s="371"/>
      <c r="M385" s="371"/>
      <c r="N385" s="371"/>
      <c r="O385" s="371"/>
      <c r="P385" s="371"/>
      <c r="Q385" s="371"/>
      <c r="R385" s="371"/>
      <c r="S385" s="371"/>
      <c r="T385" s="371"/>
      <c r="U385" s="371"/>
      <c r="V385" s="371"/>
    </row>
    <row r="386" ht="15.75" customHeight="1">
      <c r="A386" s="371"/>
      <c r="B386" s="371"/>
      <c r="C386" s="371"/>
      <c r="D386" s="371"/>
      <c r="E386" s="371"/>
      <c r="F386" s="371"/>
      <c r="G386" s="371"/>
      <c r="H386" s="371"/>
      <c r="I386" s="371"/>
      <c r="J386" s="371"/>
      <c r="K386" s="371"/>
      <c r="L386" s="371"/>
      <c r="M386" s="371"/>
      <c r="N386" s="371"/>
      <c r="O386" s="371"/>
      <c r="P386" s="371"/>
      <c r="Q386" s="371"/>
      <c r="R386" s="371"/>
      <c r="S386" s="371"/>
      <c r="T386" s="371"/>
      <c r="U386" s="371"/>
      <c r="V386" s="371"/>
    </row>
    <row r="387" ht="15.75" customHeight="1">
      <c r="A387" s="371"/>
      <c r="B387" s="371"/>
      <c r="C387" s="371"/>
      <c r="D387" s="371"/>
      <c r="E387" s="371"/>
      <c r="F387" s="371"/>
      <c r="G387" s="371"/>
      <c r="H387" s="371"/>
      <c r="I387" s="371"/>
      <c r="J387" s="371"/>
      <c r="K387" s="371"/>
      <c r="L387" s="371"/>
      <c r="M387" s="371"/>
      <c r="N387" s="371"/>
      <c r="O387" s="371"/>
      <c r="P387" s="371"/>
      <c r="Q387" s="371"/>
      <c r="R387" s="371"/>
      <c r="S387" s="371"/>
      <c r="T387" s="371"/>
      <c r="U387" s="371"/>
      <c r="V387" s="371"/>
    </row>
    <row r="388" ht="15.75" customHeight="1">
      <c r="A388" s="371"/>
      <c r="B388" s="371"/>
      <c r="C388" s="371"/>
      <c r="D388" s="371"/>
      <c r="E388" s="371"/>
      <c r="F388" s="371"/>
      <c r="G388" s="371"/>
      <c r="H388" s="371"/>
      <c r="I388" s="371"/>
      <c r="J388" s="371"/>
      <c r="K388" s="371"/>
      <c r="L388" s="371"/>
      <c r="M388" s="371"/>
      <c r="N388" s="371"/>
      <c r="O388" s="371"/>
      <c r="P388" s="371"/>
      <c r="Q388" s="371"/>
      <c r="R388" s="371"/>
      <c r="S388" s="371"/>
      <c r="T388" s="371"/>
      <c r="U388" s="371"/>
      <c r="V388" s="371"/>
    </row>
    <row r="389" ht="15.75" customHeight="1">
      <c r="A389" s="371"/>
      <c r="B389" s="371"/>
      <c r="C389" s="371"/>
      <c r="D389" s="371"/>
      <c r="E389" s="371"/>
      <c r="F389" s="371"/>
      <c r="G389" s="371"/>
      <c r="H389" s="371"/>
      <c r="I389" s="371"/>
      <c r="J389" s="371"/>
      <c r="K389" s="371"/>
      <c r="L389" s="371"/>
      <c r="M389" s="371"/>
      <c r="N389" s="371"/>
      <c r="O389" s="371"/>
      <c r="P389" s="371"/>
      <c r="Q389" s="371"/>
      <c r="R389" s="371"/>
      <c r="S389" s="371"/>
      <c r="T389" s="371"/>
      <c r="U389" s="371"/>
      <c r="V389" s="371"/>
    </row>
    <row r="390" ht="15.75" customHeight="1">
      <c r="A390" s="371"/>
      <c r="B390" s="371"/>
      <c r="C390" s="371"/>
      <c r="D390" s="371"/>
      <c r="E390" s="371"/>
      <c r="F390" s="371"/>
      <c r="G390" s="371"/>
      <c r="H390" s="371"/>
      <c r="I390" s="371"/>
      <c r="J390" s="371"/>
      <c r="K390" s="371"/>
      <c r="L390" s="371"/>
      <c r="M390" s="371"/>
      <c r="N390" s="371"/>
      <c r="O390" s="371"/>
      <c r="P390" s="371"/>
      <c r="Q390" s="371"/>
      <c r="R390" s="371"/>
      <c r="S390" s="371"/>
      <c r="T390" s="371"/>
      <c r="U390" s="371"/>
      <c r="V390" s="371"/>
    </row>
    <row r="391" ht="15.75" customHeight="1">
      <c r="A391" s="371"/>
      <c r="B391" s="371"/>
      <c r="C391" s="371"/>
      <c r="D391" s="371"/>
      <c r="E391" s="371"/>
      <c r="F391" s="371"/>
      <c r="G391" s="371"/>
      <c r="H391" s="371"/>
      <c r="I391" s="371"/>
      <c r="J391" s="371"/>
      <c r="K391" s="371"/>
      <c r="L391" s="371"/>
      <c r="M391" s="371"/>
      <c r="N391" s="371"/>
      <c r="O391" s="371"/>
      <c r="P391" s="371"/>
      <c r="Q391" s="371"/>
      <c r="R391" s="371"/>
      <c r="S391" s="371"/>
      <c r="T391" s="371"/>
      <c r="U391" s="371"/>
      <c r="V391" s="371"/>
    </row>
    <row r="392" ht="15.75" customHeight="1">
      <c r="A392" s="371"/>
      <c r="B392" s="371"/>
      <c r="C392" s="371"/>
      <c r="D392" s="371"/>
      <c r="E392" s="371"/>
      <c r="F392" s="371"/>
      <c r="G392" s="371"/>
      <c r="H392" s="371"/>
      <c r="I392" s="371"/>
      <c r="J392" s="371"/>
      <c r="K392" s="371"/>
      <c r="L392" s="371"/>
      <c r="M392" s="371"/>
      <c r="N392" s="371"/>
      <c r="O392" s="371"/>
      <c r="P392" s="371"/>
      <c r="Q392" s="371"/>
      <c r="R392" s="371"/>
      <c r="S392" s="371"/>
      <c r="T392" s="371"/>
      <c r="U392" s="371"/>
      <c r="V392" s="371"/>
    </row>
    <row r="393" ht="15.75" customHeight="1">
      <c r="A393" s="371"/>
      <c r="B393" s="371"/>
      <c r="C393" s="371"/>
      <c r="D393" s="371"/>
      <c r="E393" s="371"/>
      <c r="F393" s="371"/>
      <c r="G393" s="371"/>
      <c r="H393" s="371"/>
      <c r="I393" s="371"/>
      <c r="J393" s="371"/>
      <c r="K393" s="371"/>
      <c r="L393" s="371"/>
      <c r="M393" s="371"/>
      <c r="N393" s="371"/>
      <c r="O393" s="371"/>
      <c r="P393" s="371"/>
      <c r="Q393" s="371"/>
      <c r="R393" s="371"/>
      <c r="S393" s="371"/>
      <c r="T393" s="371"/>
      <c r="U393" s="371"/>
      <c r="V393" s="371"/>
    </row>
    <row r="394" ht="15.75" customHeight="1">
      <c r="A394" s="371"/>
      <c r="B394" s="371"/>
      <c r="C394" s="371"/>
      <c r="D394" s="371"/>
      <c r="E394" s="371"/>
      <c r="F394" s="371"/>
      <c r="G394" s="371"/>
      <c r="H394" s="371"/>
      <c r="I394" s="371"/>
      <c r="J394" s="371"/>
      <c r="K394" s="371"/>
      <c r="L394" s="371"/>
      <c r="M394" s="371"/>
      <c r="N394" s="371"/>
      <c r="O394" s="371"/>
      <c r="P394" s="371"/>
      <c r="Q394" s="371"/>
      <c r="R394" s="371"/>
      <c r="S394" s="371"/>
      <c r="T394" s="371"/>
      <c r="U394" s="371"/>
      <c r="V394" s="371"/>
    </row>
    <row r="395" ht="15.75" customHeight="1">
      <c r="A395" s="371"/>
      <c r="B395" s="371"/>
      <c r="C395" s="371"/>
      <c r="D395" s="371"/>
      <c r="E395" s="371"/>
      <c r="F395" s="371"/>
      <c r="G395" s="371"/>
      <c r="H395" s="371"/>
      <c r="I395" s="371"/>
      <c r="J395" s="371"/>
      <c r="K395" s="371"/>
      <c r="L395" s="371"/>
      <c r="M395" s="371"/>
      <c r="N395" s="371"/>
      <c r="O395" s="371"/>
      <c r="P395" s="371"/>
      <c r="Q395" s="371"/>
      <c r="R395" s="371"/>
      <c r="S395" s="371"/>
      <c r="T395" s="371"/>
      <c r="U395" s="371"/>
      <c r="V395" s="371"/>
    </row>
    <row r="396" ht="15.75" customHeight="1">
      <c r="A396" s="371"/>
      <c r="B396" s="371"/>
      <c r="C396" s="371"/>
      <c r="D396" s="371"/>
      <c r="E396" s="371"/>
      <c r="F396" s="371"/>
      <c r="G396" s="371"/>
      <c r="H396" s="371"/>
      <c r="I396" s="371"/>
      <c r="J396" s="371"/>
      <c r="K396" s="371"/>
      <c r="L396" s="371"/>
      <c r="M396" s="371"/>
      <c r="N396" s="371"/>
      <c r="O396" s="371"/>
      <c r="P396" s="371"/>
      <c r="Q396" s="371"/>
      <c r="R396" s="371"/>
      <c r="S396" s="371"/>
      <c r="T396" s="371"/>
      <c r="U396" s="371"/>
      <c r="V396" s="371"/>
    </row>
    <row r="397" ht="15.75" customHeight="1">
      <c r="A397" s="371"/>
      <c r="B397" s="371"/>
      <c r="C397" s="371"/>
      <c r="D397" s="371"/>
      <c r="E397" s="371"/>
      <c r="F397" s="371"/>
      <c r="G397" s="371"/>
      <c r="H397" s="371"/>
      <c r="I397" s="371"/>
      <c r="J397" s="371"/>
      <c r="K397" s="371"/>
      <c r="L397" s="371"/>
      <c r="M397" s="371"/>
      <c r="N397" s="371"/>
      <c r="O397" s="371"/>
      <c r="P397" s="371"/>
      <c r="Q397" s="371"/>
      <c r="R397" s="371"/>
      <c r="S397" s="371"/>
      <c r="T397" s="371"/>
      <c r="U397" s="371"/>
      <c r="V397" s="371"/>
    </row>
    <row r="398" ht="15.75" customHeight="1">
      <c r="A398" s="371"/>
      <c r="B398" s="371"/>
      <c r="C398" s="371"/>
      <c r="D398" s="371"/>
      <c r="E398" s="371"/>
      <c r="F398" s="371"/>
      <c r="G398" s="371"/>
      <c r="H398" s="371"/>
      <c r="I398" s="371"/>
      <c r="J398" s="371"/>
      <c r="K398" s="371"/>
      <c r="L398" s="371"/>
      <c r="M398" s="371"/>
      <c r="N398" s="371"/>
      <c r="O398" s="371"/>
      <c r="P398" s="371"/>
      <c r="Q398" s="371"/>
      <c r="R398" s="371"/>
      <c r="S398" s="371"/>
      <c r="T398" s="371"/>
      <c r="U398" s="371"/>
      <c r="V398" s="371"/>
    </row>
    <row r="399" ht="15.75" customHeight="1">
      <c r="A399" s="371"/>
      <c r="B399" s="371"/>
      <c r="C399" s="371"/>
      <c r="D399" s="371"/>
      <c r="E399" s="371"/>
      <c r="F399" s="371"/>
      <c r="G399" s="371"/>
      <c r="H399" s="371"/>
      <c r="I399" s="371"/>
      <c r="J399" s="371"/>
      <c r="K399" s="371"/>
      <c r="L399" s="371"/>
      <c r="M399" s="371"/>
      <c r="N399" s="371"/>
      <c r="O399" s="371"/>
      <c r="P399" s="371"/>
      <c r="Q399" s="371"/>
      <c r="R399" s="371"/>
      <c r="S399" s="371"/>
      <c r="T399" s="371"/>
      <c r="U399" s="371"/>
      <c r="V399" s="371"/>
    </row>
    <row r="400" ht="15.75" customHeight="1">
      <c r="A400" s="371"/>
      <c r="B400" s="371"/>
      <c r="C400" s="371"/>
      <c r="D400" s="371"/>
      <c r="E400" s="371"/>
      <c r="F400" s="371"/>
      <c r="G400" s="371"/>
      <c r="H400" s="371"/>
      <c r="I400" s="371"/>
      <c r="J400" s="371"/>
      <c r="K400" s="371"/>
      <c r="L400" s="371"/>
      <c r="M400" s="371"/>
      <c r="N400" s="371"/>
      <c r="O400" s="371"/>
      <c r="P400" s="371"/>
      <c r="Q400" s="371"/>
      <c r="R400" s="371"/>
      <c r="S400" s="371"/>
      <c r="T400" s="371"/>
      <c r="U400" s="371"/>
      <c r="V400" s="371"/>
    </row>
    <row r="401" ht="15.75" customHeight="1">
      <c r="A401" s="371"/>
      <c r="B401" s="371"/>
      <c r="C401" s="371"/>
      <c r="D401" s="371"/>
      <c r="E401" s="371"/>
      <c r="F401" s="371"/>
      <c r="G401" s="371"/>
      <c r="H401" s="371"/>
      <c r="I401" s="371"/>
      <c r="J401" s="371"/>
      <c r="K401" s="371"/>
      <c r="L401" s="371"/>
      <c r="M401" s="371"/>
      <c r="N401" s="371"/>
      <c r="O401" s="371"/>
      <c r="P401" s="371"/>
      <c r="Q401" s="371"/>
      <c r="R401" s="371"/>
      <c r="S401" s="371"/>
      <c r="T401" s="371"/>
      <c r="U401" s="371"/>
      <c r="V401" s="371"/>
    </row>
    <row r="402" ht="15.75" customHeight="1">
      <c r="A402" s="371"/>
      <c r="B402" s="371"/>
      <c r="C402" s="371"/>
      <c r="D402" s="371"/>
      <c r="E402" s="371"/>
      <c r="F402" s="371"/>
      <c r="G402" s="371"/>
      <c r="H402" s="371"/>
      <c r="I402" s="371"/>
      <c r="J402" s="371"/>
      <c r="K402" s="371"/>
      <c r="L402" s="371"/>
      <c r="M402" s="371"/>
      <c r="N402" s="371"/>
      <c r="O402" s="371"/>
      <c r="P402" s="371"/>
      <c r="Q402" s="371"/>
      <c r="R402" s="371"/>
      <c r="S402" s="371"/>
      <c r="T402" s="371"/>
      <c r="U402" s="371"/>
      <c r="V402" s="371"/>
    </row>
    <row r="403" ht="15.75" customHeight="1">
      <c r="A403" s="371"/>
      <c r="B403" s="371"/>
      <c r="C403" s="371"/>
      <c r="D403" s="371"/>
      <c r="E403" s="371"/>
      <c r="F403" s="371"/>
      <c r="G403" s="371"/>
      <c r="H403" s="371"/>
      <c r="I403" s="371"/>
      <c r="J403" s="371"/>
      <c r="K403" s="371"/>
      <c r="L403" s="371"/>
      <c r="M403" s="371"/>
      <c r="N403" s="371"/>
      <c r="O403" s="371"/>
      <c r="P403" s="371"/>
      <c r="Q403" s="371"/>
      <c r="R403" s="371"/>
      <c r="S403" s="371"/>
      <c r="T403" s="371"/>
      <c r="U403" s="371"/>
      <c r="V403" s="371"/>
    </row>
    <row r="404" ht="15.75" customHeight="1">
      <c r="A404" s="371"/>
      <c r="B404" s="371"/>
      <c r="C404" s="371"/>
      <c r="D404" s="371"/>
      <c r="E404" s="371"/>
      <c r="F404" s="371"/>
      <c r="G404" s="371"/>
      <c r="H404" s="371"/>
      <c r="I404" s="371"/>
      <c r="J404" s="371"/>
      <c r="K404" s="371"/>
      <c r="L404" s="371"/>
      <c r="M404" s="371"/>
      <c r="N404" s="371"/>
      <c r="O404" s="371"/>
      <c r="P404" s="371"/>
      <c r="Q404" s="371"/>
      <c r="R404" s="371"/>
      <c r="S404" s="371"/>
      <c r="T404" s="371"/>
      <c r="U404" s="371"/>
      <c r="V404" s="371"/>
    </row>
    <row r="405" ht="15.75" customHeight="1">
      <c r="A405" s="371"/>
      <c r="B405" s="371"/>
      <c r="C405" s="371"/>
      <c r="D405" s="371"/>
      <c r="E405" s="371"/>
      <c r="F405" s="371"/>
      <c r="G405" s="371"/>
      <c r="H405" s="371"/>
      <c r="I405" s="371"/>
      <c r="J405" s="371"/>
      <c r="K405" s="371"/>
      <c r="L405" s="371"/>
      <c r="M405" s="371"/>
      <c r="N405" s="371"/>
      <c r="O405" s="371"/>
      <c r="P405" s="371"/>
      <c r="Q405" s="371"/>
      <c r="R405" s="371"/>
      <c r="S405" s="371"/>
      <c r="T405" s="371"/>
      <c r="U405" s="371"/>
      <c r="V405" s="371"/>
    </row>
    <row r="406" ht="15.75" customHeight="1">
      <c r="A406" s="371"/>
      <c r="B406" s="371"/>
      <c r="C406" s="371"/>
      <c r="D406" s="371"/>
      <c r="E406" s="371"/>
      <c r="F406" s="371"/>
      <c r="G406" s="371"/>
      <c r="H406" s="371"/>
      <c r="I406" s="371"/>
      <c r="J406" s="371"/>
      <c r="K406" s="371"/>
      <c r="L406" s="371"/>
      <c r="M406" s="371"/>
      <c r="N406" s="371"/>
      <c r="O406" s="371"/>
      <c r="P406" s="371"/>
      <c r="Q406" s="371"/>
      <c r="R406" s="371"/>
      <c r="S406" s="371"/>
      <c r="T406" s="371"/>
      <c r="U406" s="371"/>
      <c r="V406" s="371"/>
    </row>
    <row r="407" ht="15.75" customHeight="1">
      <c r="A407" s="371"/>
      <c r="B407" s="371"/>
      <c r="C407" s="371"/>
      <c r="D407" s="371"/>
      <c r="E407" s="371"/>
      <c r="F407" s="371"/>
      <c r="G407" s="371"/>
      <c r="H407" s="371"/>
      <c r="I407" s="371"/>
      <c r="J407" s="371"/>
      <c r="K407" s="371"/>
      <c r="L407" s="371"/>
      <c r="M407" s="371"/>
      <c r="N407" s="371"/>
      <c r="O407" s="371"/>
      <c r="P407" s="371"/>
      <c r="Q407" s="371"/>
      <c r="R407" s="371"/>
      <c r="S407" s="371"/>
      <c r="T407" s="371"/>
      <c r="U407" s="371"/>
      <c r="V407" s="371"/>
    </row>
    <row r="408" ht="15.75" customHeight="1">
      <c r="A408" s="371"/>
      <c r="B408" s="371"/>
      <c r="C408" s="371"/>
      <c r="D408" s="371"/>
      <c r="E408" s="371"/>
      <c r="F408" s="371"/>
      <c r="G408" s="371"/>
      <c r="H408" s="371"/>
      <c r="I408" s="371"/>
      <c r="J408" s="371"/>
      <c r="K408" s="371"/>
      <c r="L408" s="371"/>
      <c r="M408" s="371"/>
      <c r="N408" s="371"/>
      <c r="O408" s="371"/>
      <c r="P408" s="371"/>
      <c r="Q408" s="371"/>
      <c r="R408" s="371"/>
      <c r="S408" s="371"/>
      <c r="T408" s="371"/>
      <c r="U408" s="371"/>
      <c r="V408" s="371"/>
    </row>
    <row r="409" ht="15.75" customHeight="1">
      <c r="A409" s="371"/>
      <c r="B409" s="371"/>
      <c r="C409" s="371"/>
      <c r="D409" s="371"/>
      <c r="E409" s="371"/>
      <c r="F409" s="371"/>
      <c r="G409" s="371"/>
      <c r="H409" s="371"/>
      <c r="I409" s="371"/>
      <c r="J409" s="371"/>
      <c r="K409" s="371"/>
      <c r="L409" s="371"/>
      <c r="M409" s="371"/>
      <c r="N409" s="371"/>
      <c r="O409" s="371"/>
      <c r="P409" s="371"/>
      <c r="Q409" s="371"/>
      <c r="R409" s="371"/>
      <c r="S409" s="371"/>
      <c r="T409" s="371"/>
      <c r="U409" s="371"/>
      <c r="V409" s="371"/>
    </row>
    <row r="410" ht="15.75" customHeight="1">
      <c r="A410" s="371"/>
      <c r="B410" s="371"/>
      <c r="C410" s="371"/>
      <c r="D410" s="371"/>
      <c r="E410" s="371"/>
      <c r="F410" s="371"/>
      <c r="G410" s="371"/>
      <c r="H410" s="371"/>
      <c r="I410" s="371"/>
      <c r="J410" s="371"/>
      <c r="K410" s="371"/>
      <c r="L410" s="371"/>
      <c r="M410" s="371"/>
      <c r="N410" s="371"/>
      <c r="O410" s="371"/>
      <c r="P410" s="371"/>
      <c r="Q410" s="371"/>
      <c r="R410" s="371"/>
      <c r="S410" s="371"/>
      <c r="T410" s="371"/>
      <c r="U410" s="371"/>
      <c r="V410" s="371"/>
    </row>
    <row r="411" ht="15.75" customHeight="1">
      <c r="A411" s="371"/>
      <c r="B411" s="371"/>
      <c r="C411" s="371"/>
      <c r="D411" s="371"/>
      <c r="E411" s="371"/>
      <c r="F411" s="371"/>
      <c r="G411" s="371"/>
      <c r="H411" s="371"/>
      <c r="I411" s="371"/>
      <c r="J411" s="371"/>
      <c r="K411" s="371"/>
      <c r="L411" s="371"/>
      <c r="M411" s="371"/>
      <c r="N411" s="371"/>
      <c r="O411" s="371"/>
      <c r="P411" s="371"/>
      <c r="Q411" s="371"/>
      <c r="R411" s="371"/>
      <c r="S411" s="371"/>
      <c r="T411" s="371"/>
      <c r="U411" s="371"/>
      <c r="V411" s="371"/>
    </row>
    <row r="412" ht="15.75" customHeight="1">
      <c r="A412" s="371"/>
      <c r="B412" s="371"/>
      <c r="C412" s="371"/>
      <c r="D412" s="371"/>
      <c r="E412" s="371"/>
      <c r="F412" s="371"/>
      <c r="G412" s="371"/>
      <c r="H412" s="371"/>
      <c r="I412" s="371"/>
      <c r="J412" s="371"/>
      <c r="K412" s="371"/>
      <c r="L412" s="371"/>
      <c r="M412" s="371"/>
      <c r="N412" s="371"/>
      <c r="O412" s="371"/>
      <c r="P412" s="371"/>
      <c r="Q412" s="371"/>
      <c r="R412" s="371"/>
      <c r="S412" s="371"/>
      <c r="T412" s="371"/>
      <c r="U412" s="371"/>
      <c r="V412" s="371"/>
    </row>
    <row r="413" ht="15.75" customHeight="1">
      <c r="A413" s="371"/>
      <c r="B413" s="371"/>
      <c r="C413" s="371"/>
      <c r="D413" s="371"/>
      <c r="E413" s="371"/>
      <c r="F413" s="371"/>
      <c r="G413" s="371"/>
      <c r="H413" s="371"/>
      <c r="I413" s="371"/>
      <c r="J413" s="371"/>
      <c r="K413" s="371"/>
      <c r="L413" s="371"/>
      <c r="M413" s="371"/>
      <c r="N413" s="371"/>
      <c r="O413" s="371"/>
      <c r="P413" s="371"/>
      <c r="Q413" s="371"/>
      <c r="R413" s="371"/>
      <c r="S413" s="371"/>
      <c r="T413" s="371"/>
      <c r="U413" s="371"/>
      <c r="V413" s="371"/>
    </row>
    <row r="414" ht="15.75" customHeight="1">
      <c r="A414" s="371"/>
      <c r="B414" s="371"/>
      <c r="C414" s="371"/>
      <c r="D414" s="371"/>
      <c r="E414" s="371"/>
      <c r="F414" s="371"/>
      <c r="G414" s="371"/>
      <c r="H414" s="371"/>
      <c r="I414" s="371"/>
      <c r="J414" s="371"/>
      <c r="K414" s="371"/>
      <c r="L414" s="371"/>
      <c r="M414" s="371"/>
      <c r="N414" s="371"/>
      <c r="O414" s="371"/>
      <c r="P414" s="371"/>
      <c r="Q414" s="371"/>
      <c r="R414" s="371"/>
      <c r="S414" s="371"/>
      <c r="T414" s="371"/>
      <c r="U414" s="371"/>
      <c r="V414" s="371"/>
    </row>
    <row r="415" ht="15.75" customHeight="1">
      <c r="A415" s="371"/>
      <c r="B415" s="371"/>
      <c r="C415" s="371"/>
      <c r="D415" s="371"/>
      <c r="E415" s="371"/>
      <c r="F415" s="371"/>
      <c r="G415" s="371"/>
      <c r="H415" s="371"/>
      <c r="I415" s="371"/>
      <c r="J415" s="371"/>
      <c r="K415" s="371"/>
      <c r="L415" s="371"/>
      <c r="M415" s="371"/>
      <c r="N415" s="371"/>
      <c r="O415" s="371"/>
      <c r="P415" s="371"/>
      <c r="Q415" s="371"/>
      <c r="R415" s="371"/>
      <c r="S415" s="371"/>
      <c r="T415" s="371"/>
      <c r="U415" s="371"/>
      <c r="V415" s="371"/>
    </row>
    <row r="416" ht="15.75" customHeight="1">
      <c r="A416" s="371"/>
      <c r="B416" s="371"/>
      <c r="C416" s="371"/>
      <c r="D416" s="371"/>
      <c r="E416" s="371"/>
      <c r="F416" s="371"/>
      <c r="G416" s="371"/>
      <c r="H416" s="371"/>
      <c r="I416" s="371"/>
      <c r="J416" s="371"/>
      <c r="K416" s="371"/>
      <c r="L416" s="371"/>
      <c r="M416" s="371"/>
      <c r="N416" s="371"/>
      <c r="O416" s="371"/>
      <c r="P416" s="371"/>
      <c r="Q416" s="371"/>
      <c r="R416" s="371"/>
      <c r="S416" s="371"/>
      <c r="T416" s="371"/>
      <c r="U416" s="371"/>
      <c r="V416" s="371"/>
    </row>
    <row r="417" ht="15.75" customHeight="1">
      <c r="A417" s="371"/>
      <c r="B417" s="371"/>
      <c r="C417" s="371"/>
      <c r="D417" s="371"/>
      <c r="E417" s="371"/>
      <c r="F417" s="371"/>
      <c r="G417" s="371"/>
      <c r="H417" s="371"/>
      <c r="I417" s="371"/>
      <c r="J417" s="371"/>
      <c r="K417" s="371"/>
      <c r="L417" s="371"/>
      <c r="M417" s="371"/>
      <c r="N417" s="371"/>
      <c r="O417" s="371"/>
      <c r="P417" s="371"/>
      <c r="Q417" s="371"/>
      <c r="R417" s="371"/>
      <c r="S417" s="371"/>
      <c r="T417" s="371"/>
      <c r="U417" s="371"/>
      <c r="V417" s="371"/>
    </row>
    <row r="418" ht="15.75" customHeight="1">
      <c r="A418" s="371"/>
      <c r="B418" s="371"/>
      <c r="C418" s="371"/>
      <c r="D418" s="371"/>
      <c r="E418" s="371"/>
      <c r="F418" s="371"/>
      <c r="G418" s="371"/>
      <c r="H418" s="371"/>
      <c r="I418" s="371"/>
      <c r="J418" s="371"/>
      <c r="K418" s="371"/>
      <c r="L418" s="371"/>
      <c r="M418" s="371"/>
      <c r="N418" s="371"/>
      <c r="O418" s="371"/>
      <c r="P418" s="371"/>
      <c r="Q418" s="371"/>
      <c r="R418" s="371"/>
      <c r="S418" s="371"/>
      <c r="T418" s="371"/>
      <c r="U418" s="371"/>
      <c r="V418" s="371"/>
    </row>
    <row r="419" ht="15.75" customHeight="1">
      <c r="A419" s="371"/>
      <c r="B419" s="371"/>
      <c r="C419" s="371"/>
      <c r="D419" s="371"/>
      <c r="E419" s="371"/>
      <c r="F419" s="371"/>
      <c r="G419" s="371"/>
      <c r="H419" s="371"/>
      <c r="I419" s="371"/>
      <c r="J419" s="371"/>
      <c r="K419" s="371"/>
      <c r="L419" s="371"/>
      <c r="M419" s="371"/>
      <c r="N419" s="371"/>
      <c r="O419" s="371"/>
      <c r="P419" s="371"/>
      <c r="Q419" s="371"/>
      <c r="R419" s="371"/>
      <c r="S419" s="371"/>
      <c r="T419" s="371"/>
      <c r="U419" s="371"/>
      <c r="V419" s="371"/>
    </row>
    <row r="420" ht="15.75" customHeight="1">
      <c r="A420" s="371"/>
      <c r="B420" s="371"/>
      <c r="C420" s="371"/>
      <c r="D420" s="371"/>
      <c r="E420" s="371"/>
      <c r="F420" s="371"/>
      <c r="G420" s="371"/>
      <c r="H420" s="371"/>
      <c r="I420" s="371"/>
      <c r="J420" s="371"/>
      <c r="K420" s="371"/>
      <c r="L420" s="371"/>
      <c r="M420" s="371"/>
      <c r="N420" s="371"/>
      <c r="O420" s="371"/>
      <c r="P420" s="371"/>
      <c r="Q420" s="371"/>
      <c r="R420" s="371"/>
      <c r="S420" s="371"/>
      <c r="T420" s="371"/>
      <c r="U420" s="371"/>
      <c r="V420" s="371"/>
    </row>
    <row r="421" ht="15.75" customHeight="1">
      <c r="A421" s="371"/>
      <c r="B421" s="371"/>
      <c r="C421" s="371"/>
      <c r="D421" s="371"/>
      <c r="E421" s="371"/>
      <c r="F421" s="371"/>
      <c r="G421" s="371"/>
      <c r="H421" s="371"/>
      <c r="I421" s="371"/>
      <c r="J421" s="371"/>
      <c r="K421" s="371"/>
      <c r="L421" s="371"/>
      <c r="M421" s="371"/>
      <c r="N421" s="371"/>
      <c r="O421" s="371"/>
      <c r="P421" s="371"/>
      <c r="Q421" s="371"/>
      <c r="R421" s="371"/>
      <c r="S421" s="371"/>
      <c r="T421" s="371"/>
      <c r="U421" s="371"/>
      <c r="V421" s="371"/>
    </row>
    <row r="422" ht="15.75" customHeight="1">
      <c r="A422" s="371"/>
      <c r="B422" s="371"/>
      <c r="C422" s="371"/>
      <c r="D422" s="371"/>
      <c r="E422" s="371"/>
      <c r="F422" s="371"/>
      <c r="G422" s="371"/>
      <c r="H422" s="371"/>
      <c r="I422" s="371"/>
      <c r="J422" s="371"/>
      <c r="K422" s="371"/>
      <c r="L422" s="371"/>
      <c r="M422" s="371"/>
      <c r="N422" s="371"/>
      <c r="O422" s="371"/>
      <c r="P422" s="371"/>
      <c r="Q422" s="371"/>
      <c r="R422" s="371"/>
      <c r="S422" s="371"/>
      <c r="T422" s="371"/>
      <c r="U422" s="371"/>
      <c r="V422" s="371"/>
    </row>
    <row r="423" ht="15.75" customHeight="1">
      <c r="A423" s="371"/>
      <c r="B423" s="371"/>
      <c r="C423" s="371"/>
      <c r="D423" s="371"/>
      <c r="E423" s="371"/>
      <c r="F423" s="371"/>
      <c r="G423" s="371"/>
      <c r="H423" s="371"/>
      <c r="I423" s="371"/>
      <c r="J423" s="371"/>
      <c r="K423" s="371"/>
      <c r="L423" s="371"/>
      <c r="M423" s="371"/>
      <c r="N423" s="371"/>
      <c r="O423" s="371"/>
      <c r="P423" s="371"/>
      <c r="Q423" s="371"/>
      <c r="R423" s="371"/>
      <c r="S423" s="371"/>
      <c r="T423" s="371"/>
      <c r="U423" s="371"/>
      <c r="V423" s="371"/>
    </row>
    <row r="424" ht="15.75" customHeight="1">
      <c r="A424" s="371"/>
      <c r="B424" s="371"/>
      <c r="C424" s="371"/>
      <c r="D424" s="371"/>
      <c r="E424" s="371"/>
      <c r="F424" s="371"/>
      <c r="G424" s="371"/>
      <c r="H424" s="371"/>
      <c r="I424" s="371"/>
      <c r="J424" s="371"/>
      <c r="K424" s="371"/>
      <c r="L424" s="371"/>
      <c r="M424" s="371"/>
      <c r="N424" s="371"/>
      <c r="O424" s="371"/>
      <c r="P424" s="371"/>
      <c r="Q424" s="371"/>
      <c r="R424" s="371"/>
      <c r="S424" s="371"/>
      <c r="T424" s="371"/>
      <c r="U424" s="371"/>
      <c r="V424" s="371"/>
    </row>
    <row r="425" ht="15.75" customHeight="1">
      <c r="A425" s="371"/>
      <c r="B425" s="371"/>
      <c r="C425" s="371"/>
      <c r="D425" s="371"/>
      <c r="E425" s="371"/>
      <c r="F425" s="371"/>
      <c r="G425" s="371"/>
      <c r="H425" s="371"/>
      <c r="I425" s="371"/>
      <c r="J425" s="371"/>
      <c r="K425" s="371"/>
      <c r="L425" s="371"/>
      <c r="M425" s="371"/>
      <c r="N425" s="371"/>
      <c r="O425" s="371"/>
      <c r="P425" s="371"/>
      <c r="Q425" s="371"/>
      <c r="R425" s="371"/>
      <c r="S425" s="371"/>
      <c r="T425" s="371"/>
      <c r="U425" s="371"/>
      <c r="V425" s="371"/>
    </row>
    <row r="426" ht="15.75" customHeight="1">
      <c r="A426" s="371"/>
      <c r="B426" s="371"/>
      <c r="C426" s="371"/>
      <c r="D426" s="371"/>
      <c r="E426" s="371"/>
      <c r="F426" s="371"/>
      <c r="G426" s="371"/>
      <c r="H426" s="371"/>
      <c r="I426" s="371"/>
      <c r="J426" s="371"/>
      <c r="K426" s="371"/>
      <c r="L426" s="371"/>
      <c r="M426" s="371"/>
      <c r="N426" s="371"/>
      <c r="O426" s="371"/>
      <c r="P426" s="371"/>
      <c r="Q426" s="371"/>
      <c r="R426" s="371"/>
      <c r="S426" s="371"/>
      <c r="T426" s="371"/>
      <c r="U426" s="371"/>
      <c r="V426" s="371"/>
    </row>
    <row r="427" ht="15.75" customHeight="1">
      <c r="A427" s="371"/>
      <c r="B427" s="371"/>
      <c r="C427" s="371"/>
      <c r="D427" s="371"/>
      <c r="E427" s="371"/>
      <c r="F427" s="371"/>
      <c r="G427" s="371"/>
      <c r="H427" s="371"/>
      <c r="I427" s="371"/>
      <c r="J427" s="371"/>
      <c r="K427" s="371"/>
      <c r="L427" s="371"/>
      <c r="M427" s="371"/>
      <c r="N427" s="371"/>
      <c r="O427" s="371"/>
      <c r="P427" s="371"/>
      <c r="Q427" s="371"/>
      <c r="R427" s="371"/>
      <c r="S427" s="371"/>
      <c r="T427" s="371"/>
      <c r="U427" s="371"/>
      <c r="V427" s="371"/>
    </row>
    <row r="428" ht="15.75" customHeight="1">
      <c r="A428" s="371"/>
      <c r="B428" s="371"/>
      <c r="C428" s="371"/>
      <c r="D428" s="371"/>
      <c r="E428" s="371"/>
      <c r="F428" s="371"/>
      <c r="G428" s="371"/>
      <c r="H428" s="371"/>
      <c r="I428" s="371"/>
      <c r="J428" s="371"/>
      <c r="K428" s="371"/>
      <c r="L428" s="371"/>
      <c r="M428" s="371"/>
      <c r="N428" s="371"/>
      <c r="O428" s="371"/>
      <c r="P428" s="371"/>
      <c r="Q428" s="371"/>
      <c r="R428" s="371"/>
      <c r="S428" s="371"/>
      <c r="T428" s="371"/>
      <c r="U428" s="371"/>
      <c r="V428" s="371"/>
    </row>
    <row r="429" ht="15.75" customHeight="1">
      <c r="A429" s="371"/>
      <c r="B429" s="371"/>
      <c r="C429" s="371"/>
      <c r="D429" s="371"/>
      <c r="E429" s="371"/>
      <c r="F429" s="371"/>
      <c r="G429" s="371"/>
      <c r="H429" s="371"/>
      <c r="I429" s="371"/>
      <c r="J429" s="371"/>
      <c r="K429" s="371"/>
      <c r="L429" s="371"/>
      <c r="M429" s="371"/>
      <c r="N429" s="371"/>
      <c r="O429" s="371"/>
      <c r="P429" s="371"/>
      <c r="Q429" s="371"/>
      <c r="R429" s="371"/>
      <c r="S429" s="371"/>
      <c r="T429" s="371"/>
      <c r="U429" s="371"/>
      <c r="V429" s="371"/>
    </row>
    <row r="430" ht="15.75" customHeight="1">
      <c r="A430" s="371"/>
      <c r="B430" s="371"/>
      <c r="C430" s="371"/>
      <c r="D430" s="371"/>
      <c r="E430" s="371"/>
      <c r="F430" s="371"/>
      <c r="G430" s="371"/>
      <c r="H430" s="371"/>
      <c r="I430" s="371"/>
      <c r="J430" s="371"/>
      <c r="K430" s="371"/>
      <c r="L430" s="371"/>
      <c r="M430" s="371"/>
      <c r="N430" s="371"/>
      <c r="O430" s="371"/>
      <c r="P430" s="371"/>
      <c r="Q430" s="371"/>
      <c r="R430" s="371"/>
      <c r="S430" s="371"/>
      <c r="T430" s="371"/>
      <c r="U430" s="371"/>
      <c r="V430" s="371"/>
    </row>
    <row r="431" ht="15.75" customHeight="1">
      <c r="A431" s="371"/>
      <c r="B431" s="371"/>
      <c r="C431" s="371"/>
      <c r="D431" s="371"/>
      <c r="E431" s="371"/>
      <c r="F431" s="371"/>
      <c r="G431" s="371"/>
      <c r="H431" s="371"/>
      <c r="I431" s="371"/>
      <c r="J431" s="371"/>
      <c r="K431" s="371"/>
      <c r="L431" s="371"/>
      <c r="M431" s="371"/>
      <c r="N431" s="371"/>
      <c r="O431" s="371"/>
      <c r="P431" s="371"/>
      <c r="Q431" s="371"/>
      <c r="R431" s="371"/>
      <c r="S431" s="371"/>
      <c r="T431" s="371"/>
      <c r="U431" s="371"/>
      <c r="V431" s="371"/>
    </row>
    <row r="432" ht="15.75" customHeight="1">
      <c r="A432" s="371"/>
      <c r="B432" s="371"/>
      <c r="C432" s="371"/>
      <c r="D432" s="371"/>
      <c r="E432" s="371"/>
      <c r="F432" s="371"/>
      <c r="G432" s="371"/>
      <c r="H432" s="371"/>
      <c r="I432" s="371"/>
      <c r="J432" s="371"/>
      <c r="K432" s="371"/>
      <c r="L432" s="371"/>
      <c r="M432" s="371"/>
      <c r="N432" s="371"/>
      <c r="O432" s="371"/>
      <c r="P432" s="371"/>
      <c r="Q432" s="371"/>
      <c r="R432" s="371"/>
      <c r="S432" s="371"/>
      <c r="T432" s="371"/>
      <c r="U432" s="371"/>
      <c r="V432" s="371"/>
    </row>
    <row r="433" ht="15.75" customHeight="1">
      <c r="A433" s="371"/>
      <c r="B433" s="371"/>
      <c r="C433" s="371"/>
      <c r="D433" s="371"/>
      <c r="E433" s="371"/>
      <c r="F433" s="371"/>
      <c r="G433" s="371"/>
      <c r="H433" s="371"/>
      <c r="I433" s="371"/>
      <c r="J433" s="371"/>
      <c r="K433" s="371"/>
      <c r="L433" s="371"/>
      <c r="M433" s="371"/>
      <c r="N433" s="371"/>
      <c r="O433" s="371"/>
      <c r="P433" s="371"/>
      <c r="Q433" s="371"/>
      <c r="R433" s="371"/>
      <c r="S433" s="371"/>
      <c r="T433" s="371"/>
      <c r="U433" s="371"/>
      <c r="V433" s="371"/>
    </row>
    <row r="434" ht="15.75" customHeight="1">
      <c r="A434" s="371"/>
      <c r="B434" s="371"/>
      <c r="C434" s="371"/>
      <c r="D434" s="371"/>
      <c r="E434" s="371"/>
      <c r="F434" s="371"/>
      <c r="G434" s="371"/>
      <c r="H434" s="371"/>
      <c r="I434" s="371"/>
      <c r="J434" s="371"/>
      <c r="K434" s="371"/>
      <c r="L434" s="371"/>
      <c r="M434" s="371"/>
      <c r="N434" s="371"/>
      <c r="O434" s="371"/>
      <c r="P434" s="371"/>
      <c r="Q434" s="371"/>
      <c r="R434" s="371"/>
      <c r="S434" s="371"/>
      <c r="T434" s="371"/>
      <c r="U434" s="371"/>
      <c r="V434" s="371"/>
    </row>
    <row r="435" ht="15.75" customHeight="1">
      <c r="A435" s="371"/>
      <c r="B435" s="371"/>
      <c r="C435" s="371"/>
      <c r="D435" s="371"/>
      <c r="E435" s="371"/>
      <c r="F435" s="371"/>
      <c r="G435" s="371"/>
      <c r="H435" s="371"/>
      <c r="I435" s="371"/>
      <c r="J435" s="371"/>
      <c r="K435" s="371"/>
      <c r="L435" s="371"/>
      <c r="M435" s="371"/>
      <c r="N435" s="371"/>
      <c r="O435" s="371"/>
      <c r="P435" s="371"/>
      <c r="Q435" s="371"/>
      <c r="R435" s="371"/>
      <c r="S435" s="371"/>
      <c r="T435" s="371"/>
      <c r="U435" s="371"/>
      <c r="V435" s="371"/>
    </row>
    <row r="436" ht="15.75" customHeight="1">
      <c r="A436" s="371"/>
      <c r="B436" s="371"/>
      <c r="C436" s="371"/>
      <c r="D436" s="371"/>
      <c r="E436" s="371"/>
      <c r="F436" s="371"/>
      <c r="G436" s="371"/>
      <c r="H436" s="371"/>
      <c r="I436" s="371"/>
      <c r="J436" s="371"/>
      <c r="K436" s="371"/>
      <c r="L436" s="371"/>
      <c r="M436" s="371"/>
      <c r="N436" s="371"/>
      <c r="O436" s="371"/>
      <c r="P436" s="371"/>
      <c r="Q436" s="371"/>
      <c r="R436" s="371"/>
      <c r="S436" s="371"/>
      <c r="T436" s="371"/>
      <c r="U436" s="371"/>
      <c r="V436" s="371"/>
    </row>
    <row r="437" ht="15.75" customHeight="1">
      <c r="A437" s="371"/>
      <c r="B437" s="371"/>
      <c r="C437" s="371"/>
      <c r="D437" s="371"/>
      <c r="E437" s="371"/>
      <c r="F437" s="371"/>
      <c r="G437" s="371"/>
      <c r="H437" s="371"/>
      <c r="I437" s="371"/>
      <c r="J437" s="371"/>
      <c r="K437" s="371"/>
      <c r="L437" s="371"/>
      <c r="M437" s="371"/>
      <c r="N437" s="371"/>
      <c r="O437" s="371"/>
      <c r="P437" s="371"/>
      <c r="Q437" s="371"/>
      <c r="R437" s="371"/>
      <c r="S437" s="371"/>
      <c r="T437" s="371"/>
      <c r="U437" s="371"/>
      <c r="V437" s="371"/>
    </row>
    <row r="438" ht="15.75" customHeight="1">
      <c r="A438" s="371"/>
      <c r="B438" s="371"/>
      <c r="C438" s="371"/>
      <c r="D438" s="371"/>
      <c r="E438" s="371"/>
      <c r="F438" s="371"/>
      <c r="G438" s="371"/>
      <c r="H438" s="371"/>
      <c r="I438" s="371"/>
      <c r="J438" s="371"/>
      <c r="K438" s="371"/>
      <c r="L438" s="371"/>
      <c r="M438" s="371"/>
      <c r="N438" s="371"/>
      <c r="O438" s="371"/>
      <c r="P438" s="371"/>
      <c r="Q438" s="371"/>
      <c r="R438" s="371"/>
      <c r="S438" s="371"/>
      <c r="T438" s="371"/>
      <c r="U438" s="371"/>
      <c r="V438" s="371"/>
    </row>
    <row r="439" ht="15.75" customHeight="1">
      <c r="A439" s="371"/>
      <c r="B439" s="371"/>
      <c r="C439" s="371"/>
      <c r="D439" s="371"/>
      <c r="E439" s="371"/>
      <c r="F439" s="371"/>
      <c r="G439" s="371"/>
      <c r="H439" s="371"/>
      <c r="I439" s="371"/>
      <c r="J439" s="371"/>
      <c r="K439" s="371"/>
      <c r="L439" s="371"/>
      <c r="M439" s="371"/>
      <c r="N439" s="371"/>
      <c r="O439" s="371"/>
      <c r="P439" s="371"/>
      <c r="Q439" s="371"/>
      <c r="R439" s="371"/>
      <c r="S439" s="371"/>
      <c r="T439" s="371"/>
      <c r="U439" s="371"/>
      <c r="V439" s="371"/>
    </row>
    <row r="440" ht="15.75" customHeight="1">
      <c r="A440" s="371"/>
      <c r="B440" s="371"/>
      <c r="C440" s="371"/>
      <c r="D440" s="371"/>
      <c r="E440" s="371"/>
      <c r="F440" s="371"/>
      <c r="G440" s="371"/>
      <c r="H440" s="371"/>
      <c r="I440" s="371"/>
      <c r="J440" s="371"/>
      <c r="K440" s="371"/>
      <c r="L440" s="371"/>
      <c r="M440" s="371"/>
      <c r="N440" s="371"/>
      <c r="O440" s="371"/>
      <c r="P440" s="371"/>
      <c r="Q440" s="371"/>
      <c r="R440" s="371"/>
      <c r="S440" s="371"/>
      <c r="T440" s="371"/>
      <c r="U440" s="371"/>
      <c r="V440" s="371"/>
    </row>
    <row r="441" ht="15.75" customHeight="1">
      <c r="A441" s="371"/>
      <c r="B441" s="371"/>
      <c r="C441" s="371"/>
      <c r="D441" s="371"/>
      <c r="E441" s="371"/>
      <c r="F441" s="371"/>
      <c r="G441" s="371"/>
      <c r="H441" s="371"/>
      <c r="I441" s="371"/>
      <c r="J441" s="371"/>
      <c r="K441" s="371"/>
      <c r="L441" s="371"/>
      <c r="M441" s="371"/>
      <c r="N441" s="371"/>
      <c r="O441" s="371"/>
      <c r="P441" s="371"/>
      <c r="Q441" s="371"/>
      <c r="R441" s="371"/>
      <c r="S441" s="371"/>
      <c r="T441" s="371"/>
      <c r="U441" s="371"/>
      <c r="V441" s="371"/>
    </row>
    <row r="442" ht="15.75" customHeight="1">
      <c r="A442" s="371"/>
      <c r="B442" s="371"/>
      <c r="C442" s="371"/>
      <c r="D442" s="371"/>
      <c r="E442" s="371"/>
      <c r="F442" s="371"/>
      <c r="G442" s="371"/>
      <c r="H442" s="371"/>
      <c r="I442" s="371"/>
      <c r="J442" s="371"/>
      <c r="K442" s="371"/>
      <c r="L442" s="371"/>
      <c r="M442" s="371"/>
      <c r="N442" s="371"/>
      <c r="O442" s="371"/>
      <c r="P442" s="371"/>
      <c r="Q442" s="371"/>
      <c r="R442" s="371"/>
      <c r="S442" s="371"/>
      <c r="T442" s="371"/>
      <c r="U442" s="371"/>
      <c r="V442" s="371"/>
    </row>
    <row r="443" ht="15.75" customHeight="1">
      <c r="A443" s="371"/>
      <c r="B443" s="371"/>
      <c r="C443" s="371"/>
      <c r="D443" s="371"/>
      <c r="E443" s="371"/>
      <c r="F443" s="371"/>
      <c r="G443" s="371"/>
      <c r="H443" s="371"/>
      <c r="I443" s="371"/>
      <c r="J443" s="371"/>
      <c r="K443" s="371"/>
      <c r="L443" s="371"/>
      <c r="M443" s="371"/>
      <c r="N443" s="371"/>
      <c r="O443" s="371"/>
      <c r="P443" s="371"/>
      <c r="Q443" s="371"/>
      <c r="R443" s="371"/>
      <c r="S443" s="371"/>
      <c r="T443" s="371"/>
      <c r="U443" s="371"/>
      <c r="V443" s="371"/>
    </row>
    <row r="444" ht="15.75" customHeight="1">
      <c r="A444" s="371"/>
      <c r="B444" s="371"/>
      <c r="C444" s="371"/>
      <c r="D444" s="371"/>
      <c r="E444" s="371"/>
      <c r="F444" s="371"/>
      <c r="G444" s="371"/>
      <c r="H444" s="371"/>
      <c r="I444" s="371"/>
      <c r="J444" s="371"/>
      <c r="K444" s="371"/>
      <c r="L444" s="371"/>
      <c r="M444" s="371"/>
      <c r="N444" s="371"/>
      <c r="O444" s="371"/>
      <c r="P444" s="371"/>
      <c r="Q444" s="371"/>
      <c r="R444" s="371"/>
      <c r="S444" s="371"/>
      <c r="T444" s="371"/>
      <c r="U444" s="371"/>
      <c r="V444" s="371"/>
    </row>
    <row r="445" ht="15.75" customHeight="1">
      <c r="A445" s="371"/>
      <c r="B445" s="371"/>
      <c r="C445" s="371"/>
      <c r="D445" s="371"/>
      <c r="E445" s="371"/>
      <c r="F445" s="371"/>
      <c r="G445" s="371"/>
      <c r="H445" s="371"/>
      <c r="I445" s="371"/>
      <c r="J445" s="371"/>
      <c r="K445" s="371"/>
      <c r="L445" s="371"/>
      <c r="M445" s="371"/>
      <c r="N445" s="371"/>
      <c r="O445" s="371"/>
      <c r="P445" s="371"/>
      <c r="Q445" s="371"/>
      <c r="R445" s="371"/>
      <c r="S445" s="371"/>
      <c r="T445" s="371"/>
      <c r="U445" s="371"/>
      <c r="V445" s="371"/>
    </row>
    <row r="446" ht="15.75" customHeight="1">
      <c r="A446" s="371"/>
      <c r="B446" s="371"/>
      <c r="C446" s="371"/>
      <c r="D446" s="371"/>
      <c r="E446" s="371"/>
      <c r="F446" s="371"/>
      <c r="G446" s="371"/>
      <c r="H446" s="371"/>
      <c r="I446" s="371"/>
      <c r="J446" s="371"/>
      <c r="K446" s="371"/>
      <c r="L446" s="371"/>
      <c r="M446" s="371"/>
      <c r="N446" s="371"/>
      <c r="O446" s="371"/>
      <c r="P446" s="371"/>
      <c r="Q446" s="371"/>
      <c r="R446" s="371"/>
      <c r="S446" s="371"/>
      <c r="T446" s="371"/>
      <c r="U446" s="371"/>
      <c r="V446" s="371"/>
    </row>
    <row r="447" ht="15.75" customHeight="1">
      <c r="A447" s="371"/>
      <c r="B447" s="371"/>
      <c r="C447" s="371"/>
      <c r="D447" s="371"/>
      <c r="E447" s="371"/>
      <c r="F447" s="371"/>
      <c r="G447" s="371"/>
      <c r="H447" s="371"/>
      <c r="I447" s="371"/>
      <c r="J447" s="371"/>
      <c r="K447" s="371"/>
      <c r="L447" s="371"/>
      <c r="M447" s="371"/>
      <c r="N447" s="371"/>
      <c r="O447" s="371"/>
      <c r="P447" s="371"/>
      <c r="Q447" s="371"/>
      <c r="R447" s="371"/>
      <c r="S447" s="371"/>
      <c r="T447" s="371"/>
      <c r="U447" s="371"/>
      <c r="V447" s="371"/>
    </row>
    <row r="448" ht="15.75" customHeight="1">
      <c r="A448" s="371"/>
      <c r="B448" s="371"/>
      <c r="C448" s="371"/>
      <c r="D448" s="371"/>
      <c r="E448" s="371"/>
      <c r="F448" s="371"/>
      <c r="G448" s="371"/>
      <c r="H448" s="371"/>
      <c r="I448" s="371"/>
      <c r="J448" s="371"/>
      <c r="K448" s="371"/>
      <c r="L448" s="371"/>
      <c r="M448" s="371"/>
      <c r="N448" s="371"/>
      <c r="O448" s="371"/>
      <c r="P448" s="371"/>
      <c r="Q448" s="371"/>
      <c r="R448" s="371"/>
      <c r="S448" s="371"/>
      <c r="T448" s="371"/>
      <c r="U448" s="371"/>
      <c r="V448" s="371"/>
    </row>
    <row r="449" ht="15.75" customHeight="1">
      <c r="A449" s="371"/>
      <c r="B449" s="371"/>
      <c r="C449" s="371"/>
      <c r="D449" s="371"/>
      <c r="E449" s="371"/>
      <c r="F449" s="371"/>
      <c r="G449" s="371"/>
      <c r="H449" s="371"/>
      <c r="I449" s="371"/>
      <c r="J449" s="371"/>
      <c r="K449" s="371"/>
      <c r="L449" s="371"/>
      <c r="M449" s="371"/>
      <c r="N449" s="371"/>
      <c r="O449" s="371"/>
      <c r="P449" s="371"/>
      <c r="Q449" s="371"/>
      <c r="R449" s="371"/>
      <c r="S449" s="371"/>
      <c r="T449" s="371"/>
      <c r="U449" s="371"/>
      <c r="V449" s="371"/>
    </row>
    <row r="450" ht="15.75" customHeight="1">
      <c r="A450" s="371"/>
      <c r="B450" s="371"/>
      <c r="C450" s="371"/>
      <c r="D450" s="371"/>
      <c r="E450" s="371"/>
      <c r="F450" s="371"/>
      <c r="G450" s="371"/>
      <c r="H450" s="371"/>
      <c r="I450" s="371"/>
      <c r="J450" s="371"/>
      <c r="K450" s="371"/>
      <c r="L450" s="371"/>
      <c r="M450" s="371"/>
      <c r="N450" s="371"/>
      <c r="O450" s="371"/>
      <c r="P450" s="371"/>
      <c r="Q450" s="371"/>
      <c r="R450" s="371"/>
      <c r="S450" s="371"/>
      <c r="T450" s="371"/>
      <c r="U450" s="371"/>
      <c r="V450" s="371"/>
    </row>
    <row r="451" ht="15.75" customHeight="1">
      <c r="A451" s="371"/>
      <c r="B451" s="371"/>
      <c r="C451" s="371"/>
      <c r="D451" s="371"/>
      <c r="E451" s="371"/>
      <c r="F451" s="371"/>
      <c r="G451" s="371"/>
      <c r="H451" s="371"/>
      <c r="I451" s="371"/>
      <c r="J451" s="371"/>
      <c r="K451" s="371"/>
      <c r="L451" s="371"/>
      <c r="M451" s="371"/>
      <c r="N451" s="371"/>
      <c r="O451" s="371"/>
      <c r="P451" s="371"/>
      <c r="Q451" s="371"/>
      <c r="R451" s="371"/>
      <c r="S451" s="371"/>
      <c r="T451" s="371"/>
      <c r="U451" s="371"/>
      <c r="V451" s="371"/>
    </row>
    <row r="452" ht="15.75" customHeight="1">
      <c r="A452" s="371"/>
      <c r="B452" s="371"/>
      <c r="C452" s="371"/>
      <c r="D452" s="371"/>
      <c r="E452" s="371"/>
      <c r="F452" s="371"/>
      <c r="G452" s="371"/>
      <c r="H452" s="371"/>
      <c r="I452" s="371"/>
      <c r="J452" s="371"/>
      <c r="K452" s="371"/>
      <c r="L452" s="371"/>
      <c r="M452" s="371"/>
      <c r="N452" s="371"/>
      <c r="O452" s="371"/>
      <c r="P452" s="371"/>
      <c r="Q452" s="371"/>
      <c r="R452" s="371"/>
      <c r="S452" s="371"/>
      <c r="T452" s="371"/>
      <c r="U452" s="371"/>
      <c r="V452" s="371"/>
    </row>
    <row r="453" ht="15.75" customHeight="1">
      <c r="A453" s="371"/>
      <c r="B453" s="371"/>
      <c r="C453" s="371"/>
      <c r="D453" s="371"/>
      <c r="E453" s="371"/>
      <c r="F453" s="371"/>
      <c r="G453" s="371"/>
      <c r="H453" s="371"/>
      <c r="I453" s="371"/>
      <c r="J453" s="371"/>
      <c r="K453" s="371"/>
      <c r="L453" s="371"/>
      <c r="M453" s="371"/>
      <c r="N453" s="371"/>
      <c r="O453" s="371"/>
      <c r="P453" s="371"/>
      <c r="Q453" s="371"/>
      <c r="R453" s="371"/>
      <c r="S453" s="371"/>
      <c r="T453" s="371"/>
      <c r="U453" s="371"/>
      <c r="V453" s="371"/>
    </row>
    <row r="454" ht="15.75" customHeight="1">
      <c r="F454" s="227"/>
    </row>
    <row r="455" ht="15.75" customHeight="1">
      <c r="F455" s="227"/>
    </row>
    <row r="456" ht="15.75" customHeight="1">
      <c r="F456" s="227"/>
    </row>
    <row r="457" ht="15.75" customHeight="1">
      <c r="F457" s="227"/>
    </row>
    <row r="458" ht="15.75" customHeight="1">
      <c r="F458" s="227"/>
    </row>
    <row r="459" ht="15.75" customHeight="1">
      <c r="F459" s="227"/>
    </row>
    <row r="460" ht="15.75" customHeight="1">
      <c r="F460" s="227"/>
    </row>
    <row r="461" ht="15.75" customHeight="1">
      <c r="F461" s="227"/>
    </row>
    <row r="462" ht="15.75" customHeight="1">
      <c r="F462" s="227"/>
    </row>
    <row r="463" ht="15.75" customHeight="1">
      <c r="F463" s="227"/>
    </row>
    <row r="464" ht="15.75" customHeight="1">
      <c r="F464" s="227"/>
    </row>
    <row r="465" ht="15.75" customHeight="1">
      <c r="F465" s="227"/>
    </row>
    <row r="466" ht="15.75" customHeight="1">
      <c r="F466" s="227"/>
    </row>
    <row r="467" ht="15.75" customHeight="1">
      <c r="F467" s="227"/>
    </row>
    <row r="468" ht="15.75" customHeight="1">
      <c r="F468" s="227"/>
    </row>
    <row r="469" ht="15.75" customHeight="1">
      <c r="F469" s="227"/>
    </row>
    <row r="470" ht="15.75" customHeight="1">
      <c r="F470" s="227"/>
    </row>
    <row r="471" ht="15.75" customHeight="1">
      <c r="F471" s="227"/>
    </row>
    <row r="472" ht="15.75" customHeight="1">
      <c r="F472" s="227"/>
    </row>
    <row r="473" ht="15.75" customHeight="1">
      <c r="F473" s="227"/>
    </row>
    <row r="474" ht="15.75" customHeight="1">
      <c r="F474" s="227"/>
    </row>
    <row r="475" ht="15.75" customHeight="1">
      <c r="F475" s="227"/>
    </row>
    <row r="476" ht="15.75" customHeight="1">
      <c r="F476" s="227"/>
    </row>
    <row r="477" ht="15.75" customHeight="1">
      <c r="F477" s="227"/>
    </row>
    <row r="478" ht="15.75" customHeight="1">
      <c r="F478" s="227"/>
    </row>
    <row r="479" ht="15.75" customHeight="1">
      <c r="F479" s="227"/>
    </row>
    <row r="480" ht="15.75" customHeight="1">
      <c r="F480" s="227"/>
    </row>
    <row r="481" ht="15.75" customHeight="1">
      <c r="F481" s="227"/>
    </row>
    <row r="482" ht="15.75" customHeight="1">
      <c r="F482" s="227"/>
    </row>
    <row r="483" ht="15.75" customHeight="1">
      <c r="F483" s="227"/>
    </row>
    <row r="484" ht="15.75" customHeight="1">
      <c r="F484" s="227"/>
    </row>
    <row r="485" ht="15.75" customHeight="1">
      <c r="F485" s="227"/>
    </row>
    <row r="486" ht="15.75" customHeight="1">
      <c r="F486" s="227"/>
    </row>
    <row r="487" ht="15.75" customHeight="1">
      <c r="F487" s="227"/>
    </row>
    <row r="488" ht="15.75" customHeight="1">
      <c r="F488" s="227"/>
    </row>
    <row r="489" ht="15.75" customHeight="1">
      <c r="F489" s="227"/>
    </row>
    <row r="490" ht="15.75" customHeight="1">
      <c r="F490" s="227"/>
    </row>
    <row r="491" ht="15.75" customHeight="1">
      <c r="F491" s="227"/>
    </row>
    <row r="492" ht="15.75" customHeight="1">
      <c r="F492" s="227"/>
    </row>
    <row r="493" ht="15.75" customHeight="1">
      <c r="F493" s="227"/>
    </row>
    <row r="494" ht="15.75" customHeight="1">
      <c r="F494" s="227"/>
    </row>
    <row r="495" ht="15.75" customHeight="1">
      <c r="F495" s="227"/>
    </row>
    <row r="496" ht="15.75" customHeight="1">
      <c r="F496" s="227"/>
    </row>
    <row r="497" ht="15.75" customHeight="1">
      <c r="F497" s="227"/>
    </row>
    <row r="498" ht="15.75" customHeight="1">
      <c r="F498" s="227"/>
    </row>
    <row r="499" ht="15.75" customHeight="1">
      <c r="F499" s="227"/>
    </row>
    <row r="500" ht="15.75" customHeight="1">
      <c r="F500" s="227"/>
    </row>
    <row r="501" ht="15.75" customHeight="1">
      <c r="F501" s="227"/>
    </row>
    <row r="502" ht="15.75" customHeight="1">
      <c r="F502" s="227"/>
    </row>
    <row r="503" ht="15.75" customHeight="1">
      <c r="F503" s="227"/>
    </row>
    <row r="504" ht="15.75" customHeight="1">
      <c r="F504" s="227"/>
    </row>
    <row r="505" ht="15.75" customHeight="1">
      <c r="F505" s="227"/>
    </row>
    <row r="506" ht="15.75" customHeight="1">
      <c r="F506" s="227"/>
    </row>
    <row r="507" ht="15.75" customHeight="1">
      <c r="F507" s="227"/>
    </row>
    <row r="508" ht="15.75" customHeight="1">
      <c r="F508" s="227"/>
    </row>
    <row r="509" ht="15.75" customHeight="1">
      <c r="F509" s="227"/>
    </row>
    <row r="510" ht="15.75" customHeight="1">
      <c r="F510" s="227"/>
    </row>
    <row r="511" ht="15.75" customHeight="1">
      <c r="F511" s="227"/>
    </row>
    <row r="512" ht="15.75" customHeight="1">
      <c r="F512" s="227"/>
    </row>
    <row r="513" ht="15.75" customHeight="1">
      <c r="F513" s="227"/>
    </row>
    <row r="514" ht="15.75" customHeight="1">
      <c r="F514" s="227"/>
    </row>
    <row r="515" ht="15.75" customHeight="1">
      <c r="F515" s="227"/>
    </row>
    <row r="516" ht="15.75" customHeight="1">
      <c r="F516" s="227"/>
    </row>
    <row r="517" ht="15.75" customHeight="1">
      <c r="F517" s="227"/>
    </row>
    <row r="518" ht="15.75" customHeight="1">
      <c r="F518" s="227"/>
    </row>
    <row r="519" ht="15.75" customHeight="1">
      <c r="F519" s="227"/>
    </row>
    <row r="520" ht="15.75" customHeight="1">
      <c r="F520" s="227"/>
    </row>
    <row r="521" ht="15.75" customHeight="1">
      <c r="F521" s="227"/>
    </row>
    <row r="522" ht="15.75" customHeight="1">
      <c r="F522" s="227"/>
    </row>
    <row r="523" ht="15.75" customHeight="1">
      <c r="F523" s="227"/>
    </row>
    <row r="524" ht="15.75" customHeight="1">
      <c r="F524" s="227"/>
    </row>
    <row r="525" ht="15.75" customHeight="1">
      <c r="F525" s="227"/>
    </row>
    <row r="526" ht="15.75" customHeight="1">
      <c r="F526" s="227"/>
    </row>
    <row r="527" ht="15.75" customHeight="1">
      <c r="F527" s="227"/>
    </row>
    <row r="528" ht="15.75" customHeight="1">
      <c r="F528" s="227"/>
    </row>
    <row r="529" ht="15.75" customHeight="1">
      <c r="F529" s="227"/>
    </row>
    <row r="530" ht="15.75" customHeight="1">
      <c r="F530" s="227"/>
    </row>
    <row r="531" ht="15.75" customHeight="1">
      <c r="F531" s="227"/>
    </row>
    <row r="532" ht="15.75" customHeight="1">
      <c r="F532" s="227"/>
    </row>
    <row r="533" ht="15.75" customHeight="1">
      <c r="F533" s="227"/>
    </row>
    <row r="534" ht="15.75" customHeight="1">
      <c r="F534" s="227"/>
    </row>
    <row r="535" ht="15.75" customHeight="1">
      <c r="F535" s="227"/>
    </row>
    <row r="536" ht="15.75" customHeight="1">
      <c r="F536" s="227"/>
    </row>
    <row r="537" ht="15.75" customHeight="1">
      <c r="F537" s="227"/>
    </row>
    <row r="538" ht="15.75" customHeight="1">
      <c r="F538" s="227"/>
    </row>
    <row r="539" ht="15.75" customHeight="1">
      <c r="F539" s="227"/>
    </row>
    <row r="540" ht="15.75" customHeight="1">
      <c r="F540" s="227"/>
    </row>
    <row r="541" ht="15.75" customHeight="1">
      <c r="F541" s="227"/>
    </row>
    <row r="542" ht="15.75" customHeight="1">
      <c r="F542" s="227"/>
    </row>
    <row r="543" ht="15.75" customHeight="1">
      <c r="F543" s="227"/>
    </row>
    <row r="544" ht="15.75" customHeight="1">
      <c r="F544" s="227"/>
    </row>
    <row r="545" ht="15.75" customHeight="1">
      <c r="F545" s="227"/>
    </row>
    <row r="546" ht="15.75" customHeight="1">
      <c r="F546" s="227"/>
    </row>
    <row r="547" ht="15.75" customHeight="1">
      <c r="F547" s="227"/>
    </row>
    <row r="548" ht="15.75" customHeight="1">
      <c r="F548" s="227"/>
    </row>
    <row r="549" ht="15.75" customHeight="1">
      <c r="F549" s="227"/>
    </row>
    <row r="550" ht="15.75" customHeight="1">
      <c r="F550" s="227"/>
    </row>
    <row r="551" ht="15.75" customHeight="1">
      <c r="F551" s="227"/>
    </row>
    <row r="552" ht="15.75" customHeight="1">
      <c r="F552" s="227"/>
    </row>
    <row r="553" ht="15.75" customHeight="1">
      <c r="F553" s="227"/>
    </row>
    <row r="554" ht="15.75" customHeight="1">
      <c r="F554" s="227"/>
    </row>
    <row r="555" ht="15.75" customHeight="1">
      <c r="F555" s="227"/>
    </row>
    <row r="556" ht="15.75" customHeight="1">
      <c r="F556" s="227"/>
    </row>
    <row r="557" ht="15.75" customHeight="1">
      <c r="F557" s="227"/>
    </row>
    <row r="558" ht="15.75" customHeight="1">
      <c r="F558" s="227"/>
    </row>
    <row r="559" ht="15.75" customHeight="1">
      <c r="F559" s="227"/>
    </row>
    <row r="560" ht="15.75" customHeight="1">
      <c r="F560" s="227"/>
    </row>
    <row r="561" ht="15.75" customHeight="1">
      <c r="F561" s="227"/>
    </row>
    <row r="562" ht="15.75" customHeight="1">
      <c r="F562" s="227"/>
    </row>
    <row r="563" ht="15.75" customHeight="1">
      <c r="F563" s="227"/>
    </row>
    <row r="564" ht="15.75" customHeight="1">
      <c r="F564" s="227"/>
    </row>
    <row r="565" ht="15.75" customHeight="1">
      <c r="F565" s="227"/>
    </row>
    <row r="566" ht="15.75" customHeight="1">
      <c r="F566" s="227"/>
    </row>
    <row r="567" ht="15.75" customHeight="1">
      <c r="F567" s="227"/>
    </row>
    <row r="568" ht="15.75" customHeight="1">
      <c r="F568" s="227"/>
    </row>
    <row r="569" ht="15.75" customHeight="1">
      <c r="F569" s="227"/>
    </row>
    <row r="570" ht="15.75" customHeight="1">
      <c r="F570" s="227"/>
    </row>
    <row r="571" ht="15.75" customHeight="1">
      <c r="F571" s="227"/>
    </row>
    <row r="572" ht="15.75" customHeight="1">
      <c r="F572" s="227"/>
    </row>
    <row r="573" ht="15.75" customHeight="1">
      <c r="F573" s="227"/>
    </row>
    <row r="574" ht="15.75" customHeight="1">
      <c r="F574" s="227"/>
    </row>
    <row r="575" ht="15.75" customHeight="1">
      <c r="F575" s="227"/>
    </row>
    <row r="576" ht="15.75" customHeight="1">
      <c r="F576" s="227"/>
    </row>
    <row r="577" ht="15.75" customHeight="1">
      <c r="F577" s="227"/>
    </row>
    <row r="578" ht="15.75" customHeight="1">
      <c r="F578" s="227"/>
    </row>
    <row r="579" ht="15.75" customHeight="1">
      <c r="F579" s="227"/>
    </row>
    <row r="580" ht="15.75" customHeight="1">
      <c r="F580" s="227"/>
    </row>
    <row r="581" ht="15.75" customHeight="1">
      <c r="F581" s="227"/>
    </row>
    <row r="582" ht="15.75" customHeight="1">
      <c r="F582" s="227"/>
    </row>
    <row r="583" ht="15.75" customHeight="1">
      <c r="F583" s="227"/>
    </row>
    <row r="584" ht="15.75" customHeight="1">
      <c r="F584" s="227"/>
    </row>
    <row r="585" ht="15.75" customHeight="1">
      <c r="F585" s="227"/>
    </row>
    <row r="586" ht="15.75" customHeight="1">
      <c r="F586" s="227"/>
    </row>
    <row r="587" ht="15.75" customHeight="1">
      <c r="F587" s="227"/>
    </row>
    <row r="588" ht="15.75" customHeight="1">
      <c r="F588" s="227"/>
    </row>
    <row r="589" ht="15.75" customHeight="1">
      <c r="F589" s="227"/>
    </row>
    <row r="590" ht="15.75" customHeight="1">
      <c r="F590" s="227"/>
    </row>
    <row r="591" ht="15.75" customHeight="1">
      <c r="F591" s="227"/>
    </row>
    <row r="592" ht="15.75" customHeight="1">
      <c r="F592" s="227"/>
    </row>
    <row r="593" ht="15.75" customHeight="1">
      <c r="F593" s="227"/>
    </row>
    <row r="594" ht="15.75" customHeight="1">
      <c r="F594" s="227"/>
    </row>
    <row r="595" ht="15.75" customHeight="1">
      <c r="F595" s="227"/>
    </row>
    <row r="596" ht="15.75" customHeight="1">
      <c r="F596" s="227"/>
    </row>
    <row r="597" ht="15.75" customHeight="1">
      <c r="F597" s="227"/>
    </row>
    <row r="598" ht="15.75" customHeight="1">
      <c r="F598" s="227"/>
    </row>
    <row r="599" ht="15.75" customHeight="1">
      <c r="F599" s="227"/>
    </row>
    <row r="600" ht="15.75" customHeight="1">
      <c r="F600" s="227"/>
    </row>
    <row r="601" ht="15.75" customHeight="1">
      <c r="F601" s="227"/>
    </row>
    <row r="602" ht="15.75" customHeight="1">
      <c r="F602" s="227"/>
    </row>
    <row r="603" ht="15.75" customHeight="1">
      <c r="F603" s="227"/>
    </row>
    <row r="604" ht="15.75" customHeight="1">
      <c r="F604" s="227"/>
    </row>
    <row r="605" ht="15.75" customHeight="1">
      <c r="F605" s="227"/>
    </row>
    <row r="606" ht="15.75" customHeight="1">
      <c r="F606" s="227"/>
    </row>
    <row r="607" ht="15.75" customHeight="1">
      <c r="F607" s="227"/>
    </row>
    <row r="608" ht="15.75" customHeight="1">
      <c r="F608" s="227"/>
    </row>
    <row r="609" ht="15.75" customHeight="1">
      <c r="F609" s="227"/>
    </row>
    <row r="610" ht="15.75" customHeight="1">
      <c r="F610" s="227"/>
    </row>
    <row r="611" ht="15.75" customHeight="1">
      <c r="F611" s="227"/>
    </row>
    <row r="612" ht="15.75" customHeight="1">
      <c r="F612" s="227"/>
    </row>
    <row r="613" ht="15.75" customHeight="1">
      <c r="F613" s="227"/>
    </row>
    <row r="614" ht="15.75" customHeight="1">
      <c r="F614" s="227"/>
    </row>
    <row r="615" ht="15.75" customHeight="1">
      <c r="F615" s="227"/>
    </row>
    <row r="616" ht="15.75" customHeight="1">
      <c r="F616" s="227"/>
    </row>
    <row r="617" ht="15.75" customHeight="1">
      <c r="F617" s="227"/>
    </row>
    <row r="618" ht="15.75" customHeight="1">
      <c r="F618" s="227"/>
    </row>
    <row r="619" ht="15.75" customHeight="1">
      <c r="F619" s="227"/>
    </row>
    <row r="620" ht="15.75" customHeight="1">
      <c r="F620" s="227"/>
    </row>
    <row r="621" ht="15.75" customHeight="1">
      <c r="F621" s="227"/>
    </row>
    <row r="622" ht="15.75" customHeight="1">
      <c r="F622" s="227"/>
    </row>
    <row r="623" ht="15.75" customHeight="1">
      <c r="F623" s="227"/>
    </row>
    <row r="624" ht="15.75" customHeight="1">
      <c r="F624" s="227"/>
    </row>
    <row r="625" ht="15.75" customHeight="1">
      <c r="F625" s="227"/>
    </row>
    <row r="626" ht="15.75" customHeight="1">
      <c r="F626" s="227"/>
    </row>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M$1:$N$59">
    <sortState ref="M1:N59">
      <sortCondition ref="N1:N59"/>
      <sortCondition ref="M1:M59"/>
    </sortState>
  </autoFilter>
  <dataValidations>
    <dataValidation type="list" allowBlank="1" showDropDown="1" showErrorMessage="1" sqref="M3:M76">
      <formula1>REF!$L$3:$L$100</formula1>
    </dataValidation>
    <dataValidation type="list" allowBlank="1" showDropDown="1" showErrorMessage="1" sqref="F2:F626">
      <formula1>REF!$L$2:$L$54</formula1>
    </dataValidation>
  </dataValidations>
  <drawing r:id="rId1"/>
  <tableParts count="2">
    <tablePart r:id="rId4"/>
    <tablePart r:id="rId5"/>
  </tableParts>
</worksheet>
</file>